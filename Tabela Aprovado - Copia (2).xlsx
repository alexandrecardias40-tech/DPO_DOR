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bbr-my.sharepoint.com/personal/dsouza_unb_br/Documents/2025/Power BI/Teste 2/"/>
    </mc:Choice>
  </mc:AlternateContent>
  <xr:revisionPtr revIDLastSave="20" documentId="11_0ECE4A973717381E36BCC4A747CCAC75B563FBF9" xr6:coauthVersionLast="47" xr6:coauthVersionMax="47" xr10:uidLastSave="{F5F3F9B1-F3B2-4AF3-BBA2-40573708469D}"/>
  <bookViews>
    <workbookView xWindow="36" yWindow="48" windowWidth="23004" windowHeight="12192" tabRatio="500" xr2:uid="{00000000-000D-0000-FFFF-FFFF00000000}"/>
  </bookViews>
  <sheets>
    <sheet name="Total aprovado" sheetId="1" r:id="rId1"/>
  </sheets>
  <definedNames>
    <definedName name="_xlnm._FilterDatabase" localSheetId="0" hidden="1">'Total aprovado'!$A$1:$H$67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" i="1" l="1"/>
  <c r="G67" i="1"/>
  <c r="H67" i="1" s="1"/>
  <c r="G66" i="1"/>
  <c r="H66" i="1" s="1"/>
  <c r="G65" i="1"/>
  <c r="H65" i="1" s="1"/>
  <c r="G64" i="1"/>
  <c r="H64" i="1" s="1"/>
  <c r="G63" i="1"/>
  <c r="H63" i="1" s="1"/>
  <c r="G62" i="1"/>
  <c r="H62" i="1" s="1"/>
  <c r="G61" i="1"/>
  <c r="H61" i="1" s="1"/>
  <c r="G60" i="1"/>
  <c r="H60" i="1" s="1"/>
  <c r="G59" i="1"/>
  <c r="H59" i="1" s="1"/>
  <c r="G58" i="1"/>
  <c r="H58" i="1" s="1"/>
  <c r="G57" i="1"/>
  <c r="H57" i="1" s="1"/>
  <c r="G56" i="1"/>
  <c r="H56" i="1" s="1"/>
  <c r="G55" i="1"/>
  <c r="H55" i="1" s="1"/>
  <c r="G54" i="1"/>
  <c r="H54" i="1" s="1"/>
  <c r="G53" i="1"/>
  <c r="H53" i="1" s="1"/>
  <c r="G52" i="1"/>
  <c r="H52" i="1" s="1"/>
  <c r="G51" i="1"/>
  <c r="H51" i="1" s="1"/>
  <c r="G50" i="1"/>
  <c r="H50" i="1" s="1"/>
  <c r="G49" i="1"/>
  <c r="H49" i="1" s="1"/>
  <c r="G48" i="1"/>
  <c r="H48" i="1" s="1"/>
  <c r="G47" i="1"/>
  <c r="H47" i="1" s="1"/>
  <c r="G46" i="1"/>
  <c r="H46" i="1" s="1"/>
  <c r="G45" i="1"/>
  <c r="H45" i="1" s="1"/>
  <c r="G44" i="1"/>
  <c r="H44" i="1" s="1"/>
  <c r="G43" i="1"/>
  <c r="H43" i="1" s="1"/>
  <c r="G42" i="1"/>
  <c r="H42" i="1" s="1"/>
  <c r="G41" i="1"/>
  <c r="H41" i="1" s="1"/>
  <c r="G40" i="1"/>
  <c r="H40" i="1" s="1"/>
  <c r="G39" i="1"/>
  <c r="H39" i="1" s="1"/>
  <c r="G38" i="1"/>
  <c r="H38" i="1" s="1"/>
  <c r="G37" i="1"/>
  <c r="H37" i="1" s="1"/>
  <c r="G36" i="1"/>
  <c r="H36" i="1" s="1"/>
  <c r="G35" i="1"/>
  <c r="H35" i="1" s="1"/>
  <c r="G34" i="1"/>
  <c r="H34" i="1" s="1"/>
  <c r="G33" i="1"/>
  <c r="H33" i="1" s="1"/>
  <c r="G32" i="1"/>
  <c r="H32" i="1" s="1"/>
  <c r="G31" i="1"/>
  <c r="H31" i="1" s="1"/>
  <c r="G30" i="1"/>
  <c r="H30" i="1" s="1"/>
  <c r="G29" i="1"/>
  <c r="H29" i="1" s="1"/>
  <c r="G28" i="1"/>
  <c r="H28" i="1" s="1"/>
  <c r="G27" i="1"/>
  <c r="H27" i="1" s="1"/>
  <c r="G26" i="1"/>
  <c r="H26" i="1" s="1"/>
  <c r="G25" i="1"/>
  <c r="H25" i="1" s="1"/>
  <c r="G24" i="1"/>
  <c r="H24" i="1" s="1"/>
  <c r="G23" i="1"/>
  <c r="H23" i="1" s="1"/>
  <c r="G22" i="1"/>
  <c r="H22" i="1" s="1"/>
  <c r="G21" i="1"/>
  <c r="H21" i="1" s="1"/>
  <c r="G20" i="1"/>
  <c r="H20" i="1" s="1"/>
  <c r="G19" i="1"/>
  <c r="H19" i="1" s="1"/>
  <c r="G18" i="1"/>
  <c r="H18" i="1" s="1"/>
  <c r="G17" i="1"/>
  <c r="H17" i="1" s="1"/>
  <c r="G16" i="1"/>
  <c r="H16" i="1" s="1"/>
  <c r="G15" i="1"/>
  <c r="H15" i="1" s="1"/>
  <c r="G14" i="1"/>
  <c r="H14" i="1" s="1"/>
  <c r="G13" i="1"/>
  <c r="H13" i="1" s="1"/>
  <c r="G12" i="1"/>
  <c r="H12" i="1" s="1"/>
  <c r="G11" i="1"/>
  <c r="H11" i="1" s="1"/>
  <c r="G10" i="1"/>
  <c r="H10" i="1" s="1"/>
  <c r="G9" i="1"/>
  <c r="H9" i="1" s="1"/>
  <c r="G8" i="1"/>
  <c r="H8" i="1" s="1"/>
  <c r="G7" i="1"/>
  <c r="H7" i="1" s="1"/>
  <c r="G6" i="1"/>
  <c r="H6" i="1" s="1"/>
  <c r="G5" i="1"/>
  <c r="H5" i="1" s="1"/>
  <c r="G4" i="1"/>
  <c r="H4" i="1" s="1"/>
  <c r="G3" i="1"/>
  <c r="H3" i="1" s="1"/>
  <c r="H2" i="1" l="1"/>
</calcChain>
</file>

<file path=xl/sharedStrings.xml><?xml version="1.0" encoding="utf-8"?>
<sst xmlns="http://schemas.openxmlformats.org/spreadsheetml/2006/main" count="206" uniqueCount="136">
  <si>
    <t>UGR</t>
  </si>
  <si>
    <t>Unidade</t>
  </si>
  <si>
    <t>PI</t>
  </si>
  <si>
    <t>Total aprovado</t>
  </si>
  <si>
    <t>Crédito disponível</t>
  </si>
  <si>
    <t>Empenhado</t>
  </si>
  <si>
    <t>Débitos</t>
  </si>
  <si>
    <t>Total executado</t>
  </si>
  <si>
    <t>150241</t>
  </si>
  <si>
    <t>CREDITO DAS UNIDADES ADMINISTRATIVAS</t>
  </si>
  <si>
    <t>150242</t>
  </si>
  <si>
    <t>MATRIZ - UNIDADES ACADEMICAS</t>
  </si>
  <si>
    <t>150243</t>
  </si>
  <si>
    <t>151833</t>
  </si>
  <si>
    <t>152364</t>
  </si>
  <si>
    <t>152383</t>
  </si>
  <si>
    <t>152386</t>
  </si>
  <si>
    <t>152387</t>
  </si>
  <si>
    <t>154076</t>
  </si>
  <si>
    <t>154078</t>
  </si>
  <si>
    <t>154151</t>
  </si>
  <si>
    <t>154152</t>
  </si>
  <si>
    <t>154153</t>
  </si>
  <si>
    <t>154154</t>
  </si>
  <si>
    <t>154155</t>
  </si>
  <si>
    <t>154156</t>
  </si>
  <si>
    <t>154157</t>
  </si>
  <si>
    <t>154158</t>
  </si>
  <si>
    <t>154159</t>
  </si>
  <si>
    <t>154160</t>
  </si>
  <si>
    <t>154161</t>
  </si>
  <si>
    <t>154162</t>
  </si>
  <si>
    <t>154163</t>
  </si>
  <si>
    <t>154164</t>
  </si>
  <si>
    <t>154165</t>
  </si>
  <si>
    <t>154166</t>
  </si>
  <si>
    <t>154167</t>
  </si>
  <si>
    <t>154168</t>
  </si>
  <si>
    <t>154169</t>
  </si>
  <si>
    <t>154173</t>
  </si>
  <si>
    <t>154175</t>
  </si>
  <si>
    <t>154188</t>
  </si>
  <si>
    <t>154190</t>
  </si>
  <si>
    <t>154191</t>
  </si>
  <si>
    <t>154197</t>
  </si>
  <si>
    <t>154218</t>
  </si>
  <si>
    <t>154221</t>
  </si>
  <si>
    <t>154222</t>
  </si>
  <si>
    <t>154226</t>
  </si>
  <si>
    <t>154227</t>
  </si>
  <si>
    <t>154228</t>
  </si>
  <si>
    <t>154230</t>
  </si>
  <si>
    <t>154251</t>
  </si>
  <si>
    <t>154256</t>
  </si>
  <si>
    <t>154263</t>
  </si>
  <si>
    <t>154264</t>
  </si>
  <si>
    <t>154269</t>
  </si>
  <si>
    <t>154278</t>
  </si>
  <si>
    <t>154283</t>
  </si>
  <si>
    <t>154297</t>
  </si>
  <si>
    <t>154299</t>
  </si>
  <si>
    <t>154304</t>
  </si>
  <si>
    <t>154329</t>
  </si>
  <si>
    <t>154368</t>
  </si>
  <si>
    <t>154371</t>
  </si>
  <si>
    <t>154920</t>
  </si>
  <si>
    <t>155027</t>
  </si>
  <si>
    <t>155099</t>
  </si>
  <si>
    <t>156047</t>
  </si>
  <si>
    <t>156247</t>
  </si>
  <si>
    <t>156478</t>
  </si>
  <si>
    <t>156850</t>
  </si>
  <si>
    <t>157250</t>
  </si>
  <si>
    <t>CTO DE POL DIR, ECO E TECNOL DAS COMUN/FUB</t>
  </si>
  <si>
    <t>CAMPUS UNB GAMA - FCTE</t>
  </si>
  <si>
    <t>CAMPUS UNB CEILANDIA - FCTS</t>
  </si>
  <si>
    <t>FACULDADE DE CIENCIA DA INFORMACAO (FCI)</t>
  </si>
  <si>
    <t>UNB CERRADO - CER</t>
  </si>
  <si>
    <t>OUVIDORIA (OUV)</t>
  </si>
  <si>
    <t>DECANATO DE GESTAO DE PESSOAS_(DGP)</t>
  </si>
  <si>
    <t>DECANATO DE PLANEJ,ORCAM E AVAL INST - DPO</t>
  </si>
  <si>
    <t>SECRETARIA DE TECNOLOGIA DA INFORMACAO-STI</t>
  </si>
  <si>
    <t>EDITORA UNIVERSIDADE DE BRASILIA - EDU</t>
  </si>
  <si>
    <t>DECANATO DE ADMINISTRACAO (DAF)</t>
  </si>
  <si>
    <t>DECANATO DE ASSUNTOS COMUNITARIOS (DAC)</t>
  </si>
  <si>
    <t>DECANATO DE EXTENSAO (DEX)</t>
  </si>
  <si>
    <t>DECANATO DE POS-GRADUACAO (DPG)</t>
  </si>
  <si>
    <t>SECRETARIA DE PATRIMONIO IMOBILIARIO (SPI)</t>
  </si>
  <si>
    <t>GABINETE DA REITORA (GRE)</t>
  </si>
  <si>
    <t>INSTITUTO DE CIENCIAS EXATAS (IE)</t>
  </si>
  <si>
    <t>INSTITUTO DE CIENCIAS BIOLOGICAS (IB)</t>
  </si>
  <si>
    <t>INSTITUTO DE CIENCIAS HUMANAS (ICH)</t>
  </si>
  <si>
    <t>INSTITUTO DE LETRAS (IL)</t>
  </si>
  <si>
    <t>FACULDADE DE ARQUITETURA E URBANISMO (FAU)</t>
  </si>
  <si>
    <t>FACULDADE DE TECNOLOGIA (FT)</t>
  </si>
  <si>
    <t>FACULDADE DE CIENCIAS DA SAUDE (FS)</t>
  </si>
  <si>
    <t>FACULDADE DE ECO ADM CONT E GESTAO DE (FACE)</t>
  </si>
  <si>
    <t>FACULDADE DE EDUCACAO (FE)</t>
  </si>
  <si>
    <t>INSTITUTO DE PSICOLOGIA (IP)</t>
  </si>
  <si>
    <t>INSTITUTO DE ARTES (IDA)</t>
  </si>
  <si>
    <t>DECANATO DE ENSINO DE GRADUACAO (DEG)</t>
  </si>
  <si>
    <t>FACULDADE DE COMUNICACAO (FAC)</t>
  </si>
  <si>
    <t>CENT DE EST AVANC E MULTIDISCIP.-CEAM</t>
  </si>
  <si>
    <t>CENTRO DE EDUCACAO A DISTANCIA - CEAD</t>
  </si>
  <si>
    <t>INSTITUTO DE GEOCIENCIAS (IG)</t>
  </si>
  <si>
    <t>RADIO E TELEVISAO UNIVERSITARIAS - UNBTV</t>
  </si>
  <si>
    <t>PREFEITURA DA UNB (PRC)</t>
  </si>
  <si>
    <t>BIBLIOTECA CENTRAL (BCE)</t>
  </si>
  <si>
    <t>PROCURADORIA FEDERAL JUNTO A UNB - PF-UNB</t>
  </si>
  <si>
    <t>SECRETARIA DE COMUNICACAO_(SECOM)</t>
  </si>
  <si>
    <t>AUDITORIA (AUD)</t>
  </si>
  <si>
    <t>FAZENDA AGUA LIMPA (FAL)</t>
  </si>
  <si>
    <t>VICE-REITORIA - VRT</t>
  </si>
  <si>
    <t>INSTITUTO DE FISICA_(IF)</t>
  </si>
  <si>
    <t>INSTITUTO DE QUIMICA (IQ)</t>
  </si>
  <si>
    <t>FACULDADE DE AGRONOMIA E MED VETERINARI (FAV)</t>
  </si>
  <si>
    <t>FACULDADE DE EDUCACAO FISICA (FEF)</t>
  </si>
  <si>
    <t>FACULDADE DE DIREITO - FD</t>
  </si>
  <si>
    <t>INSTITUTO DE RELACOES INTERNACIONAIS (IREL)</t>
  </si>
  <si>
    <t>SECRETARIA DE ADMINISTRACAO ACADEMICA (SAA)</t>
  </si>
  <si>
    <t>INSTITUTO DE CIENCIA POLITICA (IPOL)</t>
  </si>
  <si>
    <t>INSTITUTO DE CIENCIAS SOCIAIS (ICS)</t>
  </si>
  <si>
    <t>SECRETARIA DE ASSUNTOS INTERNACIONAIS (INT)</t>
  </si>
  <si>
    <t>FACULDADE DE MEDICINA_(FM)</t>
  </si>
  <si>
    <t>CENTRO REF EM CONS NAT E REC AREAS DEG (CRAD)</t>
  </si>
  <si>
    <t>FACULDADE DE PLANALTINA (FUP)</t>
  </si>
  <si>
    <t>CENTRO DE DESENVOLVIMENTO SUSTENTAVEL (CDS)</t>
  </si>
  <si>
    <t>CENTRO DE EXCELENCIA EM TURISMO (CET)</t>
  </si>
  <si>
    <t>SECRETARIA DE INFRAESTRUTURA (INFRA)</t>
  </si>
  <si>
    <t>ARQUIVO CENTRAL (ACE)</t>
  </si>
  <si>
    <t>SECRETARIA DE DIREITOS HUMANOS-SDH</t>
  </si>
  <si>
    <t>DECANATO DE PESQUISA E INOVACAO - DPI</t>
  </si>
  <si>
    <t>PARQUE CIENTIF E TECNOLOGICO DA UNB (PCTEC)</t>
  </si>
  <si>
    <t>SECRETARIA DE MEIO AMBIENTE DA UNB - SEMA</t>
  </si>
  <si>
    <t>CENT INTERNAC DE BIOETICA E HUMANIDADE-CIBH</t>
  </si>
  <si>
    <t>ASS DE ACOMP E MEDIACAO DE CONDUTA (AAMC)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</si>
</sst>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\-??_-;_-@_-"/>
  </numFmts>
  <fonts count="6" x14ac:knownFonts="1">
    <font>
      <sz val="10"/>
      <color rgb="FF000000"/>
      <name val="Arial"/>
      <charset val="1"/>
    </font>
    <font>
      <b/>
      <sz val="11"/>
      <color rgb="FF000000"/>
      <name val="Calibri"/>
      <family val="2"/>
      <charset val="1"/>
    </font>
    <font>
      <sz val="8"/>
      <color rgb="FF000000"/>
      <name val="Verdana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FF"/>
        <bgColor rgb="FFFFFFCC"/>
      </patternFill>
    </fill>
    <fill>
      <patternFill patternType="solid">
        <fgColor rgb="FFC0C0C0"/>
        <bgColor rgb="FFD9D9D9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4" fillId="0" borderId="0" applyBorder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top" wrapText="1"/>
    </xf>
    <xf numFmtId="164" fontId="3" fillId="3" borderId="1" xfId="1" applyFont="1" applyFill="1" applyBorder="1" applyAlignment="1" applyProtection="1">
      <alignment vertical="center"/>
    </xf>
    <xf numFmtId="0" fontId="2" fillId="4" borderId="3" xfId="0" applyFont="1" applyFill="1" applyBorder="1" applyAlignment="1">
      <alignment horizontal="left" vertical="top" wrapText="1"/>
    </xf>
    <xf numFmtId="0" fontId="2" fillId="4" borderId="3" xfId="0" applyFont="1" applyFill="1" applyBorder="1" applyAlignment="1">
      <alignment vertical="top" wrapText="1"/>
    </xf>
    <xf numFmtId="3" fontId="5" fillId="0" borderId="1" xfId="0" applyNumberFormat="1" applyFont="1" applyBorder="1"/>
    <xf numFmtId="3" fontId="3" fillId="0" borderId="1" xfId="0" applyNumberFormat="1" applyFont="1" applyBorder="1"/>
    <xf numFmtId="4" fontId="5" fillId="0" borderId="4" xfId="0" applyNumberFormat="1" applyFont="1" applyBorder="1"/>
    <xf numFmtId="0" fontId="5" fillId="0" borderId="4" xfId="0" applyFont="1" applyBorder="1"/>
    <xf numFmtId="3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"/>
  <sheetViews>
    <sheetView showGridLines="0" tabSelected="1" zoomScale="175" zoomScaleNormal="175" workbookViewId="0">
      <selection activeCell="C7" sqref="C7"/>
    </sheetView>
  </sheetViews>
  <sheetFormatPr defaultColWidth="8.6640625" defaultRowHeight="13.2" x14ac:dyDescent="0.25"/>
  <cols>
    <col min="2" max="2" width="17.6640625" customWidth="1"/>
    <col min="3" max="3" width="45.6640625" customWidth="1"/>
    <col min="4" max="4" width="14.5546875" customWidth="1"/>
    <col min="5" max="5" width="18.5546875" customWidth="1"/>
    <col min="6" max="6" width="20.33203125" customWidth="1"/>
    <col min="7" max="7" width="17.5546875" customWidth="1"/>
    <col min="8" max="8" width="14.109375" customWidth="1"/>
  </cols>
  <sheetData>
    <row r="1" spans="1:8" ht="24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 ht="14.4" x14ac:dyDescent="0.25">
      <c r="A2" s="4" t="s">
        <v>8</v>
      </c>
      <c r="B2" t="s">
        <v>73</v>
      </c>
      <c r="C2" s="4" t="s">
        <v>9</v>
      </c>
      <c r="D2" s="8">
        <v>14984</v>
      </c>
      <c r="E2" s="11">
        <v>0</v>
      </c>
      <c r="F2" s="11"/>
      <c r="G2" s="5">
        <f t="shared" ref="G2:G34" si="0">D2-E2-F2</f>
        <v>14984</v>
      </c>
      <c r="H2" s="5">
        <f t="shared" ref="H2:H33" si="1">F2+G2</f>
        <v>14984</v>
      </c>
    </row>
    <row r="3" spans="1:8" ht="14.4" x14ac:dyDescent="0.25">
      <c r="A3" s="6" t="s">
        <v>10</v>
      </c>
      <c r="B3" t="s">
        <v>74</v>
      </c>
      <c r="C3" s="7" t="s">
        <v>11</v>
      </c>
      <c r="D3" s="8">
        <v>801475</v>
      </c>
      <c r="E3" s="10">
        <v>324784.8</v>
      </c>
      <c r="F3" s="10">
        <v>148363.07999999999</v>
      </c>
      <c r="G3" s="5">
        <f t="shared" si="0"/>
        <v>328327.12</v>
      </c>
      <c r="H3" s="5">
        <f t="shared" si="1"/>
        <v>476690.19999999995</v>
      </c>
    </row>
    <row r="4" spans="1:8" ht="14.4" x14ac:dyDescent="0.25">
      <c r="A4" s="4" t="s">
        <v>10</v>
      </c>
      <c r="B4" t="s">
        <v>74</v>
      </c>
      <c r="C4" s="4" t="s">
        <v>9</v>
      </c>
      <c r="D4" s="8">
        <v>135232</v>
      </c>
      <c r="E4" s="10">
        <v>134298.48000000001</v>
      </c>
      <c r="F4" s="11">
        <v>933.52</v>
      </c>
      <c r="G4" s="5">
        <f t="shared" si="0"/>
        <v>-1.0459189070388675E-11</v>
      </c>
      <c r="H4" s="5">
        <f t="shared" si="1"/>
        <v>933.51999999998952</v>
      </c>
    </row>
    <row r="5" spans="1:8" ht="14.4" x14ac:dyDescent="0.25">
      <c r="A5" s="6" t="s">
        <v>12</v>
      </c>
      <c r="B5" t="s">
        <v>75</v>
      </c>
      <c r="C5" s="6" t="s">
        <v>11</v>
      </c>
      <c r="D5" s="8">
        <v>1097890</v>
      </c>
      <c r="E5" s="10">
        <v>861412</v>
      </c>
      <c r="F5" s="10">
        <v>33242.519999999997</v>
      </c>
      <c r="G5" s="5">
        <f t="shared" si="0"/>
        <v>203235.48</v>
      </c>
      <c r="H5" s="5">
        <f t="shared" si="1"/>
        <v>236478</v>
      </c>
    </row>
    <row r="6" spans="1:8" ht="14.4" x14ac:dyDescent="0.25">
      <c r="A6" s="4" t="s">
        <v>12</v>
      </c>
      <c r="B6" t="s">
        <v>75</v>
      </c>
      <c r="C6" s="4" t="s">
        <v>9</v>
      </c>
      <c r="D6" s="8">
        <v>135232</v>
      </c>
      <c r="E6" s="10">
        <v>52551.82</v>
      </c>
      <c r="F6" s="10">
        <v>52739.55</v>
      </c>
      <c r="G6" s="5">
        <f t="shared" si="0"/>
        <v>29940.62999999999</v>
      </c>
      <c r="H6" s="5">
        <f t="shared" si="1"/>
        <v>82680.179999999993</v>
      </c>
    </row>
    <row r="7" spans="1:8" ht="14.4" x14ac:dyDescent="0.25">
      <c r="A7" s="6" t="s">
        <v>13</v>
      </c>
      <c r="B7" t="s">
        <v>76</v>
      </c>
      <c r="C7" s="6" t="s">
        <v>11</v>
      </c>
      <c r="D7" s="8">
        <v>493445</v>
      </c>
      <c r="E7" s="10">
        <v>411689.63</v>
      </c>
      <c r="F7" s="10">
        <v>34449</v>
      </c>
      <c r="G7" s="5">
        <f t="shared" si="0"/>
        <v>47306.369999999995</v>
      </c>
      <c r="H7" s="5">
        <f t="shared" si="1"/>
        <v>81755.37</v>
      </c>
    </row>
    <row r="8" spans="1:8" ht="14.4" x14ac:dyDescent="0.25">
      <c r="A8" s="4" t="s">
        <v>14</v>
      </c>
      <c r="B8" t="s">
        <v>77</v>
      </c>
      <c r="C8" s="4" t="s">
        <v>9</v>
      </c>
      <c r="D8" s="8">
        <v>93197</v>
      </c>
      <c r="E8" s="10">
        <v>64409.91</v>
      </c>
      <c r="F8" s="10">
        <v>25040.54</v>
      </c>
      <c r="G8" s="5">
        <f t="shared" si="0"/>
        <v>3746.5499999999956</v>
      </c>
      <c r="H8" s="5">
        <f t="shared" si="1"/>
        <v>28787.089999999997</v>
      </c>
    </row>
    <row r="9" spans="1:8" ht="14.4" x14ac:dyDescent="0.25">
      <c r="A9" s="6" t="s">
        <v>15</v>
      </c>
      <c r="B9" t="s">
        <v>78</v>
      </c>
      <c r="C9" s="6" t="s">
        <v>9</v>
      </c>
      <c r="D9" s="8">
        <v>58248</v>
      </c>
      <c r="E9" s="11">
        <v>94.94</v>
      </c>
      <c r="F9" s="10">
        <v>21292.95</v>
      </c>
      <c r="G9" s="5">
        <f t="shared" si="0"/>
        <v>36860.11</v>
      </c>
      <c r="H9" s="5">
        <f t="shared" si="1"/>
        <v>58153.06</v>
      </c>
    </row>
    <row r="10" spans="1:8" ht="14.4" x14ac:dyDescent="0.25">
      <c r="A10" s="4" t="s">
        <v>16</v>
      </c>
      <c r="B10" t="s">
        <v>79</v>
      </c>
      <c r="C10" s="4" t="s">
        <v>9</v>
      </c>
      <c r="D10" s="8">
        <v>407736</v>
      </c>
      <c r="E10" s="10">
        <v>254701.91</v>
      </c>
      <c r="F10" s="10">
        <v>62878.55</v>
      </c>
      <c r="G10" s="5">
        <f t="shared" si="0"/>
        <v>90155.54</v>
      </c>
      <c r="H10" s="5">
        <f t="shared" si="1"/>
        <v>153034.09</v>
      </c>
    </row>
    <row r="11" spans="1:8" ht="14.4" x14ac:dyDescent="0.25">
      <c r="A11" s="6" t="s">
        <v>17</v>
      </c>
      <c r="B11" t="s">
        <v>80</v>
      </c>
      <c r="C11" s="6" t="s">
        <v>9</v>
      </c>
      <c r="D11" s="8">
        <v>349488</v>
      </c>
      <c r="E11" s="10">
        <v>255466.89</v>
      </c>
      <c r="F11" s="10">
        <v>66350.600000000006</v>
      </c>
      <c r="G11" s="5">
        <f t="shared" si="0"/>
        <v>27670.50999999998</v>
      </c>
      <c r="H11" s="5">
        <f t="shared" si="1"/>
        <v>94021.109999999986</v>
      </c>
    </row>
    <row r="12" spans="1:8" ht="14.4" x14ac:dyDescent="0.25">
      <c r="A12" s="4" t="s">
        <v>18</v>
      </c>
      <c r="B12" t="s">
        <v>81</v>
      </c>
      <c r="C12" s="4" t="s">
        <v>9</v>
      </c>
      <c r="D12" s="8">
        <v>198043</v>
      </c>
      <c r="E12" s="10">
        <v>151658.43</v>
      </c>
      <c r="F12" s="10">
        <v>34982</v>
      </c>
      <c r="G12" s="5">
        <f t="shared" si="0"/>
        <v>11402.570000000007</v>
      </c>
      <c r="H12" s="5">
        <f t="shared" si="1"/>
        <v>46384.570000000007</v>
      </c>
    </row>
    <row r="13" spans="1:8" ht="14.4" x14ac:dyDescent="0.25">
      <c r="A13" s="6" t="s">
        <v>19</v>
      </c>
      <c r="B13" t="s">
        <v>82</v>
      </c>
      <c r="C13" s="6" t="s">
        <v>9</v>
      </c>
      <c r="D13" s="8">
        <v>81547</v>
      </c>
      <c r="E13" s="10">
        <v>44046.99</v>
      </c>
      <c r="F13" s="10">
        <v>28020</v>
      </c>
      <c r="G13" s="5">
        <f t="shared" si="0"/>
        <v>9480.010000000002</v>
      </c>
      <c r="H13" s="5">
        <f t="shared" si="1"/>
        <v>37500.01</v>
      </c>
    </row>
    <row r="14" spans="1:8" ht="14.4" x14ac:dyDescent="0.25">
      <c r="A14" s="4" t="s">
        <v>20</v>
      </c>
      <c r="B14" t="s">
        <v>83</v>
      </c>
      <c r="C14" s="4" t="s">
        <v>9</v>
      </c>
      <c r="D14" s="8">
        <v>407736</v>
      </c>
      <c r="E14" s="10">
        <v>89911.97</v>
      </c>
      <c r="F14" s="10">
        <v>249921.66</v>
      </c>
      <c r="G14" s="5">
        <f t="shared" si="0"/>
        <v>67902.370000000024</v>
      </c>
      <c r="H14" s="5">
        <f t="shared" si="1"/>
        <v>317824.03000000003</v>
      </c>
    </row>
    <row r="15" spans="1:8" ht="14.4" x14ac:dyDescent="0.25">
      <c r="A15" s="4" t="s">
        <v>21</v>
      </c>
      <c r="B15" t="s">
        <v>84</v>
      </c>
      <c r="C15" s="4" t="s">
        <v>9</v>
      </c>
      <c r="D15" s="8">
        <v>407736</v>
      </c>
      <c r="E15" s="10">
        <v>241054.26</v>
      </c>
      <c r="F15" s="10">
        <v>36388</v>
      </c>
      <c r="G15" s="5">
        <f t="shared" si="0"/>
        <v>130293.73999999999</v>
      </c>
      <c r="H15" s="5">
        <f t="shared" si="1"/>
        <v>166681.74</v>
      </c>
    </row>
    <row r="16" spans="1:8" ht="14.4" x14ac:dyDescent="0.25">
      <c r="A16" s="4" t="s">
        <v>22</v>
      </c>
      <c r="B16" t="s">
        <v>85</v>
      </c>
      <c r="C16" s="4" t="s">
        <v>9</v>
      </c>
      <c r="D16" s="8">
        <v>349488</v>
      </c>
      <c r="E16" s="10">
        <v>274076.33</v>
      </c>
      <c r="F16" s="10">
        <v>1504.19</v>
      </c>
      <c r="G16" s="5">
        <f t="shared" si="0"/>
        <v>73907.479999999981</v>
      </c>
      <c r="H16" s="5">
        <f t="shared" si="1"/>
        <v>75411.669999999984</v>
      </c>
    </row>
    <row r="17" spans="1:8" ht="14.4" x14ac:dyDescent="0.25">
      <c r="A17" s="6" t="s">
        <v>23</v>
      </c>
      <c r="B17" t="s">
        <v>86</v>
      </c>
      <c r="C17" s="6" t="s">
        <v>9</v>
      </c>
      <c r="D17" s="8">
        <v>291240</v>
      </c>
      <c r="E17" s="10">
        <v>223981.38</v>
      </c>
      <c r="F17" s="10">
        <v>46698.38</v>
      </c>
      <c r="G17" s="5">
        <f t="shared" si="0"/>
        <v>20560.239999999998</v>
      </c>
      <c r="H17" s="5">
        <f t="shared" si="1"/>
        <v>67258.62</v>
      </c>
    </row>
    <row r="18" spans="1:8" ht="14.4" x14ac:dyDescent="0.25">
      <c r="A18" s="4" t="s">
        <v>24</v>
      </c>
      <c r="B18" t="s">
        <v>87</v>
      </c>
      <c r="C18" s="4" t="s">
        <v>9</v>
      </c>
      <c r="D18" s="8">
        <v>139795</v>
      </c>
      <c r="E18" s="10">
        <v>59064.05</v>
      </c>
      <c r="F18" s="11"/>
      <c r="G18" s="5">
        <f t="shared" si="0"/>
        <v>80730.95</v>
      </c>
      <c r="H18" s="5">
        <f t="shared" si="1"/>
        <v>80730.95</v>
      </c>
    </row>
    <row r="19" spans="1:8" ht="14.4" x14ac:dyDescent="0.25">
      <c r="A19" s="6" t="s">
        <v>25</v>
      </c>
      <c r="B19" t="s">
        <v>88</v>
      </c>
      <c r="C19" s="6" t="s">
        <v>9</v>
      </c>
      <c r="D19" s="8">
        <v>407736</v>
      </c>
      <c r="E19" s="10">
        <v>179403.51999999999</v>
      </c>
      <c r="F19" s="10">
        <v>200799.71</v>
      </c>
      <c r="G19" s="5">
        <f t="shared" si="0"/>
        <v>27532.770000000019</v>
      </c>
      <c r="H19" s="5">
        <f t="shared" si="1"/>
        <v>228332.48</v>
      </c>
    </row>
    <row r="20" spans="1:8" ht="14.4" x14ac:dyDescent="0.25">
      <c r="A20" s="4" t="s">
        <v>26</v>
      </c>
      <c r="B20" t="s">
        <v>89</v>
      </c>
      <c r="C20" s="4" t="s">
        <v>11</v>
      </c>
      <c r="D20" s="8">
        <v>1169039</v>
      </c>
      <c r="E20" s="10">
        <v>681645.66</v>
      </c>
      <c r="F20" s="10">
        <v>300617.90000000002</v>
      </c>
      <c r="G20" s="5">
        <f t="shared" si="0"/>
        <v>186775.43999999994</v>
      </c>
      <c r="H20" s="5">
        <f t="shared" si="1"/>
        <v>487393.33999999997</v>
      </c>
    </row>
    <row r="21" spans="1:8" ht="14.4" x14ac:dyDescent="0.25">
      <c r="A21" s="6" t="s">
        <v>27</v>
      </c>
      <c r="B21" t="s">
        <v>90</v>
      </c>
      <c r="C21" s="6" t="s">
        <v>11</v>
      </c>
      <c r="D21" s="8">
        <v>1335708</v>
      </c>
      <c r="E21" s="10">
        <v>349499.22</v>
      </c>
      <c r="F21" s="10">
        <v>400964.32</v>
      </c>
      <c r="G21" s="5">
        <f t="shared" si="0"/>
        <v>585244.46</v>
      </c>
      <c r="H21" s="5">
        <f t="shared" si="1"/>
        <v>986208.78</v>
      </c>
    </row>
    <row r="22" spans="1:8" ht="14.4" x14ac:dyDescent="0.25">
      <c r="A22" s="4" t="s">
        <v>28</v>
      </c>
      <c r="B22" t="s">
        <v>91</v>
      </c>
      <c r="C22" s="4" t="s">
        <v>11</v>
      </c>
      <c r="D22" s="8">
        <v>948407</v>
      </c>
      <c r="E22" s="10">
        <v>637681.77</v>
      </c>
      <c r="F22" s="10">
        <v>223571.67</v>
      </c>
      <c r="G22" s="5">
        <f t="shared" si="0"/>
        <v>87153.559999999969</v>
      </c>
      <c r="H22" s="5">
        <f t="shared" si="1"/>
        <v>310725.23</v>
      </c>
    </row>
    <row r="23" spans="1:8" ht="14.4" x14ac:dyDescent="0.25">
      <c r="A23" s="6" t="s">
        <v>29</v>
      </c>
      <c r="B23" t="s">
        <v>92</v>
      </c>
      <c r="C23" s="6" t="s">
        <v>11</v>
      </c>
      <c r="D23" s="8">
        <v>1014441</v>
      </c>
      <c r="E23" s="10">
        <v>607982.15</v>
      </c>
      <c r="F23" s="10">
        <v>176116.29</v>
      </c>
      <c r="G23" s="5">
        <f t="shared" si="0"/>
        <v>230342.55999999997</v>
      </c>
      <c r="H23" s="5">
        <f t="shared" si="1"/>
        <v>406458.85</v>
      </c>
    </row>
    <row r="24" spans="1:8" ht="14.4" x14ac:dyDescent="0.25">
      <c r="A24" s="4" t="s">
        <v>30</v>
      </c>
      <c r="B24" t="s">
        <v>93</v>
      </c>
      <c r="C24" s="4" t="s">
        <v>11</v>
      </c>
      <c r="D24" s="8">
        <v>732720</v>
      </c>
      <c r="E24" s="10">
        <v>315325.87</v>
      </c>
      <c r="F24" s="10">
        <v>270286.98</v>
      </c>
      <c r="G24" s="5">
        <f t="shared" si="0"/>
        <v>147107.15000000002</v>
      </c>
      <c r="H24" s="5">
        <f t="shared" si="1"/>
        <v>417394.13</v>
      </c>
    </row>
    <row r="25" spans="1:8" ht="14.4" x14ac:dyDescent="0.25">
      <c r="A25" s="6" t="s">
        <v>31</v>
      </c>
      <c r="B25" t="s">
        <v>94</v>
      </c>
      <c r="C25" s="6" t="s">
        <v>11</v>
      </c>
      <c r="D25" s="8">
        <v>1667847</v>
      </c>
      <c r="E25" s="10">
        <v>446746.23</v>
      </c>
      <c r="F25" s="10">
        <v>893436.24</v>
      </c>
      <c r="G25" s="5">
        <f t="shared" si="0"/>
        <v>327664.53000000003</v>
      </c>
      <c r="H25" s="5">
        <f t="shared" si="1"/>
        <v>1221100.77</v>
      </c>
    </row>
    <row r="26" spans="1:8" ht="14.4" x14ac:dyDescent="0.25">
      <c r="A26" s="4" t="s">
        <v>32</v>
      </c>
      <c r="B26" t="s">
        <v>95</v>
      </c>
      <c r="C26" s="4" t="s">
        <v>11</v>
      </c>
      <c r="D26" s="8">
        <v>1564224</v>
      </c>
      <c r="E26" s="10">
        <v>821035.96</v>
      </c>
      <c r="F26" s="10">
        <v>139617.68</v>
      </c>
      <c r="G26" s="5">
        <f t="shared" si="0"/>
        <v>603570.3600000001</v>
      </c>
      <c r="H26" s="5">
        <f t="shared" si="1"/>
        <v>743188.04</v>
      </c>
    </row>
    <row r="27" spans="1:8" ht="14.4" x14ac:dyDescent="0.25">
      <c r="A27" s="6" t="s">
        <v>33</v>
      </c>
      <c r="B27" t="s">
        <v>96</v>
      </c>
      <c r="C27" s="6" t="s">
        <v>11</v>
      </c>
      <c r="D27" s="8">
        <v>1144875</v>
      </c>
      <c r="E27" s="10">
        <v>776896.36</v>
      </c>
      <c r="F27" s="10">
        <v>195532.42</v>
      </c>
      <c r="G27" s="5">
        <f t="shared" si="0"/>
        <v>172446.22</v>
      </c>
      <c r="H27" s="5">
        <f t="shared" si="1"/>
        <v>367978.64</v>
      </c>
    </row>
    <row r="28" spans="1:8" ht="14.4" x14ac:dyDescent="0.25">
      <c r="A28" s="4" t="s">
        <v>34</v>
      </c>
      <c r="B28" t="s">
        <v>97</v>
      </c>
      <c r="C28" s="4" t="s">
        <v>11</v>
      </c>
      <c r="D28" s="8">
        <v>744321</v>
      </c>
      <c r="E28" s="10">
        <v>300615.8</v>
      </c>
      <c r="F28" s="10">
        <v>406090.5</v>
      </c>
      <c r="G28" s="5">
        <f t="shared" si="0"/>
        <v>37614.700000000012</v>
      </c>
      <c r="H28" s="5">
        <f t="shared" si="1"/>
        <v>443705.2</v>
      </c>
    </row>
    <row r="29" spans="1:8" ht="14.4" x14ac:dyDescent="0.25">
      <c r="A29" s="6" t="s">
        <v>35</v>
      </c>
      <c r="B29" t="s">
        <v>98</v>
      </c>
      <c r="C29" s="6" t="s">
        <v>11</v>
      </c>
      <c r="D29" s="8">
        <v>886678</v>
      </c>
      <c r="E29" s="10">
        <v>163977.10999999999</v>
      </c>
      <c r="F29" s="10">
        <v>169886.94</v>
      </c>
      <c r="G29" s="5">
        <f t="shared" si="0"/>
        <v>552813.94999999995</v>
      </c>
      <c r="H29" s="5">
        <f t="shared" si="1"/>
        <v>722700.8899999999</v>
      </c>
    </row>
    <row r="30" spans="1:8" ht="14.4" x14ac:dyDescent="0.25">
      <c r="A30" s="4" t="s">
        <v>36</v>
      </c>
      <c r="B30" t="s">
        <v>99</v>
      </c>
      <c r="C30" s="4" t="s">
        <v>11</v>
      </c>
      <c r="D30" s="8">
        <v>926238</v>
      </c>
      <c r="E30" s="10">
        <v>749077.22</v>
      </c>
      <c r="F30" s="10">
        <v>87287.25</v>
      </c>
      <c r="G30" s="5">
        <f t="shared" si="0"/>
        <v>89873.530000000028</v>
      </c>
      <c r="H30" s="5">
        <f t="shared" si="1"/>
        <v>177160.78000000003</v>
      </c>
    </row>
    <row r="31" spans="1:8" ht="14.4" x14ac:dyDescent="0.25">
      <c r="A31" s="6" t="s">
        <v>37</v>
      </c>
      <c r="B31" t="s">
        <v>100</v>
      </c>
      <c r="C31" s="6" t="s">
        <v>9</v>
      </c>
      <c r="D31" s="8">
        <v>349488</v>
      </c>
      <c r="E31" s="10">
        <v>243582.76</v>
      </c>
      <c r="F31" s="10">
        <v>95348</v>
      </c>
      <c r="G31" s="5">
        <f t="shared" si="0"/>
        <v>10557.239999999991</v>
      </c>
      <c r="H31" s="5">
        <f t="shared" si="1"/>
        <v>105905.23999999999</v>
      </c>
    </row>
    <row r="32" spans="1:8" ht="14.4" x14ac:dyDescent="0.25">
      <c r="A32" s="4" t="s">
        <v>38</v>
      </c>
      <c r="B32" t="s">
        <v>101</v>
      </c>
      <c r="C32" s="4" t="s">
        <v>11</v>
      </c>
      <c r="D32" s="8">
        <v>807804</v>
      </c>
      <c r="E32" s="10">
        <v>241438.14</v>
      </c>
      <c r="F32" s="10">
        <v>341601.42</v>
      </c>
      <c r="G32" s="5">
        <f t="shared" si="0"/>
        <v>224764.44</v>
      </c>
      <c r="H32" s="5">
        <f t="shared" si="1"/>
        <v>566365.86</v>
      </c>
    </row>
    <row r="33" spans="1:8" ht="14.4" x14ac:dyDescent="0.25">
      <c r="A33" s="6" t="s">
        <v>39</v>
      </c>
      <c r="B33" t="s">
        <v>102</v>
      </c>
      <c r="C33" s="6" t="s">
        <v>9</v>
      </c>
      <c r="D33" s="8">
        <v>93197</v>
      </c>
      <c r="E33" s="10">
        <v>78136.81</v>
      </c>
      <c r="F33" s="10">
        <v>6000</v>
      </c>
      <c r="G33" s="5">
        <f t="shared" si="0"/>
        <v>9060.1900000000023</v>
      </c>
      <c r="H33" s="5">
        <f t="shared" si="1"/>
        <v>15060.190000000002</v>
      </c>
    </row>
    <row r="34" spans="1:8" ht="14.4" x14ac:dyDescent="0.25">
      <c r="A34" s="4" t="s">
        <v>40</v>
      </c>
      <c r="B34" t="s">
        <v>103</v>
      </c>
      <c r="C34" s="4" t="s">
        <v>9</v>
      </c>
      <c r="D34" s="8">
        <v>139795</v>
      </c>
      <c r="E34" s="10">
        <v>127417.59</v>
      </c>
      <c r="F34" s="10">
        <v>8168.4</v>
      </c>
      <c r="G34" s="5">
        <f t="shared" si="0"/>
        <v>4209.0100000000039</v>
      </c>
      <c r="H34" s="5">
        <f t="shared" ref="H34:H65" si="2">F34+G34</f>
        <v>12377.410000000003</v>
      </c>
    </row>
    <row r="35" spans="1:8" ht="14.4" x14ac:dyDescent="0.25">
      <c r="A35" s="6" t="s">
        <v>41</v>
      </c>
      <c r="B35" t="s">
        <v>104</v>
      </c>
      <c r="C35" s="6" t="s">
        <v>11</v>
      </c>
      <c r="D35" s="8">
        <v>1159420</v>
      </c>
      <c r="E35" s="10">
        <v>801440.95</v>
      </c>
      <c r="F35" s="10">
        <v>301343.48</v>
      </c>
      <c r="G35" s="5">
        <f t="shared" ref="G35:G66" si="3">D35-E35-F35</f>
        <v>56635.570000000065</v>
      </c>
      <c r="H35" s="5">
        <f t="shared" si="2"/>
        <v>357979.05000000005</v>
      </c>
    </row>
    <row r="36" spans="1:8" ht="14.4" x14ac:dyDescent="0.25">
      <c r="A36" s="4" t="s">
        <v>42</v>
      </c>
      <c r="B36" t="s">
        <v>105</v>
      </c>
      <c r="C36" s="4" t="s">
        <v>9</v>
      </c>
      <c r="D36" s="8">
        <v>139795</v>
      </c>
      <c r="E36" s="10">
        <v>112822.15</v>
      </c>
      <c r="F36" s="10">
        <v>8325</v>
      </c>
      <c r="G36" s="5">
        <f t="shared" si="3"/>
        <v>18647.850000000006</v>
      </c>
      <c r="H36" s="5">
        <f t="shared" si="2"/>
        <v>26972.850000000006</v>
      </c>
    </row>
    <row r="37" spans="1:8" ht="14.4" x14ac:dyDescent="0.25">
      <c r="A37" s="6" t="s">
        <v>43</v>
      </c>
      <c r="B37" t="s">
        <v>106</v>
      </c>
      <c r="C37" s="6" t="s">
        <v>9</v>
      </c>
      <c r="D37" s="8">
        <v>407736</v>
      </c>
      <c r="E37" s="10">
        <v>253822.57</v>
      </c>
      <c r="F37" s="10">
        <v>71380.600000000006</v>
      </c>
      <c r="G37" s="5">
        <f t="shared" si="3"/>
        <v>82532.829999999987</v>
      </c>
      <c r="H37" s="5">
        <f t="shared" si="2"/>
        <v>153913.43</v>
      </c>
    </row>
    <row r="38" spans="1:8" ht="14.4" x14ac:dyDescent="0.25">
      <c r="A38" s="4" t="s">
        <v>44</v>
      </c>
      <c r="B38" t="s">
        <v>107</v>
      </c>
      <c r="C38" s="4" t="s">
        <v>9</v>
      </c>
      <c r="D38" s="8">
        <v>198043</v>
      </c>
      <c r="E38" s="10">
        <v>171320.79</v>
      </c>
      <c r="F38" s="10">
        <v>8255.2000000000007</v>
      </c>
      <c r="G38" s="5">
        <f t="shared" si="3"/>
        <v>18467.009999999991</v>
      </c>
      <c r="H38" s="5">
        <f t="shared" si="2"/>
        <v>26722.209999999992</v>
      </c>
    </row>
    <row r="39" spans="1:8" ht="14.4" x14ac:dyDescent="0.25">
      <c r="A39" s="6" t="s">
        <v>45</v>
      </c>
      <c r="B39" t="s">
        <v>108</v>
      </c>
      <c r="C39" s="6" t="s">
        <v>9</v>
      </c>
      <c r="D39" s="8">
        <v>81547</v>
      </c>
      <c r="E39" s="10">
        <v>69007.210000000006</v>
      </c>
      <c r="F39" s="10">
        <v>9600</v>
      </c>
      <c r="G39" s="5">
        <f t="shared" si="3"/>
        <v>2939.7899999999936</v>
      </c>
      <c r="H39" s="5">
        <f t="shared" si="2"/>
        <v>12539.789999999994</v>
      </c>
    </row>
    <row r="40" spans="1:8" ht="14.4" x14ac:dyDescent="0.25">
      <c r="A40" s="4" t="s">
        <v>46</v>
      </c>
      <c r="B40" t="s">
        <v>109</v>
      </c>
      <c r="C40" s="4" t="s">
        <v>9</v>
      </c>
      <c r="D40" s="8">
        <v>81547</v>
      </c>
      <c r="E40" s="10">
        <v>54847.61</v>
      </c>
      <c r="F40" s="11"/>
      <c r="G40" s="5">
        <f t="shared" si="3"/>
        <v>26699.39</v>
      </c>
      <c r="H40" s="5">
        <f t="shared" si="2"/>
        <v>26699.39</v>
      </c>
    </row>
    <row r="41" spans="1:8" ht="14.4" x14ac:dyDescent="0.25">
      <c r="A41" s="6" t="s">
        <v>47</v>
      </c>
      <c r="B41" t="s">
        <v>110</v>
      </c>
      <c r="C41" s="6" t="s">
        <v>9</v>
      </c>
      <c r="D41" s="8">
        <v>58248</v>
      </c>
      <c r="E41" s="10">
        <v>28621.99</v>
      </c>
      <c r="F41" s="10">
        <v>27910</v>
      </c>
      <c r="G41" s="5">
        <f t="shared" si="3"/>
        <v>1716.0099999999984</v>
      </c>
      <c r="H41" s="5">
        <f t="shared" si="2"/>
        <v>29626.01</v>
      </c>
    </row>
    <row r="42" spans="1:8" ht="14.4" x14ac:dyDescent="0.25">
      <c r="A42" s="4" t="s">
        <v>48</v>
      </c>
      <c r="B42" t="s">
        <v>111</v>
      </c>
      <c r="C42" s="4" t="s">
        <v>9</v>
      </c>
      <c r="D42" s="8">
        <v>329038</v>
      </c>
      <c r="E42" s="10">
        <v>186911.89</v>
      </c>
      <c r="F42" s="10">
        <v>72123.91</v>
      </c>
      <c r="G42" s="5">
        <f t="shared" si="3"/>
        <v>70002.199999999983</v>
      </c>
      <c r="H42" s="5">
        <f t="shared" si="2"/>
        <v>142126.10999999999</v>
      </c>
    </row>
    <row r="43" spans="1:8" ht="14.4" x14ac:dyDescent="0.3">
      <c r="A43" s="6" t="s">
        <v>49</v>
      </c>
      <c r="B43" t="s">
        <v>112</v>
      </c>
      <c r="C43" s="6" t="s">
        <v>9</v>
      </c>
      <c r="D43" s="9">
        <v>349488</v>
      </c>
      <c r="E43" s="10">
        <v>229681.88</v>
      </c>
      <c r="F43" s="10">
        <v>114577.24</v>
      </c>
      <c r="G43" s="5">
        <f t="shared" si="3"/>
        <v>5228.8799999999901</v>
      </c>
      <c r="H43" s="5">
        <f t="shared" si="2"/>
        <v>119806.12</v>
      </c>
    </row>
    <row r="44" spans="1:8" ht="14.4" x14ac:dyDescent="0.3">
      <c r="A44" s="4" t="s">
        <v>50</v>
      </c>
      <c r="B44" t="s">
        <v>113</v>
      </c>
      <c r="C44" s="4" t="s">
        <v>11</v>
      </c>
      <c r="D44" s="9">
        <v>637008</v>
      </c>
      <c r="E44" s="10">
        <v>115371.44</v>
      </c>
      <c r="F44" s="10">
        <v>430974.05</v>
      </c>
      <c r="G44" s="5">
        <f t="shared" si="3"/>
        <v>90662.510000000009</v>
      </c>
      <c r="H44" s="5">
        <f t="shared" si="2"/>
        <v>521636.56</v>
      </c>
    </row>
    <row r="45" spans="1:8" ht="14.4" x14ac:dyDescent="0.3">
      <c r="A45" s="6" t="s">
        <v>51</v>
      </c>
      <c r="B45" t="s">
        <v>114</v>
      </c>
      <c r="C45" s="6" t="s">
        <v>11</v>
      </c>
      <c r="D45" s="9">
        <v>848349</v>
      </c>
      <c r="E45" s="10">
        <v>367271.09</v>
      </c>
      <c r="F45" s="10">
        <v>341036.66</v>
      </c>
      <c r="G45" s="5">
        <f t="shared" si="3"/>
        <v>140041.25</v>
      </c>
      <c r="H45" s="5">
        <f t="shared" si="2"/>
        <v>481077.91</v>
      </c>
    </row>
    <row r="46" spans="1:8" ht="14.4" x14ac:dyDescent="0.3">
      <c r="A46" s="4" t="s">
        <v>52</v>
      </c>
      <c r="B46" t="s">
        <v>115</v>
      </c>
      <c r="C46" s="4" t="s">
        <v>11</v>
      </c>
      <c r="D46" s="9">
        <v>1028213</v>
      </c>
      <c r="E46" s="10">
        <v>555171</v>
      </c>
      <c r="F46" s="10">
        <v>393782.23</v>
      </c>
      <c r="G46" s="5">
        <f t="shared" si="3"/>
        <v>79259.770000000019</v>
      </c>
      <c r="H46" s="5">
        <f t="shared" si="2"/>
        <v>473042</v>
      </c>
    </row>
    <row r="47" spans="1:8" ht="14.4" x14ac:dyDescent="0.3">
      <c r="A47" s="6" t="s">
        <v>53</v>
      </c>
      <c r="B47" t="s">
        <v>116</v>
      </c>
      <c r="C47" s="6" t="s">
        <v>11</v>
      </c>
      <c r="D47" s="9">
        <v>970285</v>
      </c>
      <c r="E47" s="10">
        <v>304481.83</v>
      </c>
      <c r="F47" s="10">
        <v>213587.55</v>
      </c>
      <c r="G47" s="5">
        <f t="shared" si="3"/>
        <v>452215.61999999994</v>
      </c>
      <c r="H47" s="5">
        <f t="shared" si="2"/>
        <v>665803.16999999993</v>
      </c>
    </row>
    <row r="48" spans="1:8" ht="14.4" x14ac:dyDescent="0.3">
      <c r="A48" s="4" t="s">
        <v>54</v>
      </c>
      <c r="B48" t="s">
        <v>117</v>
      </c>
      <c r="C48" s="4" t="s">
        <v>11</v>
      </c>
      <c r="D48" s="9">
        <v>690719</v>
      </c>
      <c r="E48" s="10">
        <v>440270.76</v>
      </c>
      <c r="F48" s="10">
        <v>229431</v>
      </c>
      <c r="G48" s="5">
        <f t="shared" si="3"/>
        <v>21017.239999999991</v>
      </c>
      <c r="H48" s="5">
        <f t="shared" si="2"/>
        <v>250448.24</v>
      </c>
    </row>
    <row r="49" spans="1:8" ht="14.4" x14ac:dyDescent="0.3">
      <c r="A49" s="6" t="s">
        <v>55</v>
      </c>
      <c r="B49" t="s">
        <v>118</v>
      </c>
      <c r="C49" s="6" t="s">
        <v>11</v>
      </c>
      <c r="D49" s="9">
        <v>467065</v>
      </c>
      <c r="E49" s="10">
        <v>353769.72</v>
      </c>
      <c r="F49" s="10">
        <v>9691.1</v>
      </c>
      <c r="G49" s="5">
        <f t="shared" si="3"/>
        <v>103604.18000000002</v>
      </c>
      <c r="H49" s="5">
        <f t="shared" si="2"/>
        <v>113295.28000000003</v>
      </c>
    </row>
    <row r="50" spans="1:8" ht="14.4" x14ac:dyDescent="0.3">
      <c r="A50" s="4" t="s">
        <v>56</v>
      </c>
      <c r="B50" t="s">
        <v>119</v>
      </c>
      <c r="C50" s="4" t="s">
        <v>9</v>
      </c>
      <c r="D50" s="9">
        <v>198043</v>
      </c>
      <c r="E50" s="10">
        <v>165369.13</v>
      </c>
      <c r="F50" s="11"/>
      <c r="G50" s="5">
        <f t="shared" si="3"/>
        <v>32673.869999999995</v>
      </c>
      <c r="H50" s="5">
        <f t="shared" si="2"/>
        <v>32673.869999999995</v>
      </c>
    </row>
    <row r="51" spans="1:8" ht="14.4" x14ac:dyDescent="0.3">
      <c r="A51" s="6" t="s">
        <v>57</v>
      </c>
      <c r="B51" t="s">
        <v>120</v>
      </c>
      <c r="C51" s="6" t="s">
        <v>11</v>
      </c>
      <c r="D51" s="9">
        <v>508172</v>
      </c>
      <c r="E51" s="10">
        <v>356108.02</v>
      </c>
      <c r="F51" s="10">
        <v>70112.5</v>
      </c>
      <c r="G51" s="5">
        <f t="shared" si="3"/>
        <v>81951.479999999981</v>
      </c>
      <c r="H51" s="5">
        <f t="shared" si="2"/>
        <v>152063.97999999998</v>
      </c>
    </row>
    <row r="52" spans="1:8" ht="14.4" x14ac:dyDescent="0.3">
      <c r="A52" s="4" t="s">
        <v>58</v>
      </c>
      <c r="B52" t="s">
        <v>121</v>
      </c>
      <c r="C52" s="4" t="s">
        <v>11</v>
      </c>
      <c r="D52" s="9">
        <v>684920</v>
      </c>
      <c r="E52" s="10">
        <v>493548.52</v>
      </c>
      <c r="F52" s="10">
        <v>165122.13</v>
      </c>
      <c r="G52" s="5">
        <f t="shared" si="3"/>
        <v>26249.349999999977</v>
      </c>
      <c r="H52" s="5">
        <f t="shared" si="2"/>
        <v>191371.47999999998</v>
      </c>
    </row>
    <row r="53" spans="1:8" ht="14.4" x14ac:dyDescent="0.3">
      <c r="A53" s="6" t="s">
        <v>59</v>
      </c>
      <c r="B53" t="s">
        <v>122</v>
      </c>
      <c r="C53" s="6" t="s">
        <v>9</v>
      </c>
      <c r="D53" s="9">
        <v>81547</v>
      </c>
      <c r="E53" s="10">
        <v>75605.83</v>
      </c>
      <c r="F53" s="10">
        <v>2500</v>
      </c>
      <c r="G53" s="5">
        <f t="shared" si="3"/>
        <v>3441.1699999999983</v>
      </c>
      <c r="H53" s="5">
        <f t="shared" si="2"/>
        <v>5941.1699999999983</v>
      </c>
    </row>
    <row r="54" spans="1:8" ht="14.4" x14ac:dyDescent="0.3">
      <c r="A54" s="4" t="s">
        <v>60</v>
      </c>
      <c r="B54" t="s">
        <v>123</v>
      </c>
      <c r="C54" s="4" t="s">
        <v>11</v>
      </c>
      <c r="D54" s="9">
        <v>1113619</v>
      </c>
      <c r="E54" s="10">
        <v>637000.77</v>
      </c>
      <c r="F54" s="10">
        <v>171805.31</v>
      </c>
      <c r="G54" s="5">
        <f t="shared" si="3"/>
        <v>304812.92</v>
      </c>
      <c r="H54" s="5">
        <f t="shared" si="2"/>
        <v>476618.23</v>
      </c>
    </row>
    <row r="55" spans="1:8" ht="14.4" x14ac:dyDescent="0.3">
      <c r="A55" s="6" t="s">
        <v>61</v>
      </c>
      <c r="B55" t="s">
        <v>124</v>
      </c>
      <c r="C55" s="6" t="s">
        <v>9</v>
      </c>
      <c r="D55" s="9">
        <v>14984</v>
      </c>
      <c r="E55" s="10">
        <v>12280.79</v>
      </c>
      <c r="F55" s="11"/>
      <c r="G55" s="5">
        <f t="shared" si="3"/>
        <v>2703.2099999999991</v>
      </c>
      <c r="H55" s="5">
        <f t="shared" si="2"/>
        <v>2703.2099999999991</v>
      </c>
    </row>
    <row r="56" spans="1:8" ht="14.4" x14ac:dyDescent="0.3">
      <c r="A56" s="4" t="s">
        <v>62</v>
      </c>
      <c r="B56" t="s">
        <v>125</v>
      </c>
      <c r="C56" s="4" t="s">
        <v>11</v>
      </c>
      <c r="D56" s="9">
        <v>735990</v>
      </c>
      <c r="E56" s="10">
        <v>453545.52</v>
      </c>
      <c r="F56" s="10">
        <v>252819.07</v>
      </c>
      <c r="G56" s="5">
        <f t="shared" si="3"/>
        <v>29625.409999999974</v>
      </c>
      <c r="H56" s="5">
        <f t="shared" si="2"/>
        <v>282444.48</v>
      </c>
    </row>
    <row r="57" spans="1:8" ht="14.4" x14ac:dyDescent="0.3">
      <c r="A57" s="6" t="s">
        <v>62</v>
      </c>
      <c r="B57" t="s">
        <v>125</v>
      </c>
      <c r="C57" s="6" t="s">
        <v>9</v>
      </c>
      <c r="D57" s="9">
        <v>135232</v>
      </c>
      <c r="E57" s="10">
        <v>134765.24</v>
      </c>
      <c r="F57" s="11">
        <v>466.76</v>
      </c>
      <c r="G57" s="5">
        <f t="shared" si="3"/>
        <v>9.3223206931725144E-12</v>
      </c>
      <c r="H57" s="5">
        <f t="shared" si="2"/>
        <v>466.76000000000931</v>
      </c>
    </row>
    <row r="58" spans="1:8" ht="14.4" x14ac:dyDescent="0.3">
      <c r="A58" s="4" t="s">
        <v>63</v>
      </c>
      <c r="B58" t="s">
        <v>126</v>
      </c>
      <c r="C58" s="4" t="s">
        <v>9</v>
      </c>
      <c r="D58" s="9">
        <v>93197</v>
      </c>
      <c r="E58" s="10">
        <v>45100.86</v>
      </c>
      <c r="F58" s="10">
        <v>9160</v>
      </c>
      <c r="G58" s="5">
        <f t="shared" si="3"/>
        <v>38936.14</v>
      </c>
      <c r="H58" s="5">
        <f t="shared" si="2"/>
        <v>48096.14</v>
      </c>
    </row>
    <row r="59" spans="1:8" ht="14.4" x14ac:dyDescent="0.3">
      <c r="A59" s="6" t="s">
        <v>64</v>
      </c>
      <c r="B59" t="s">
        <v>127</v>
      </c>
      <c r="C59" s="6" t="s">
        <v>9</v>
      </c>
      <c r="D59" s="9">
        <v>93197</v>
      </c>
      <c r="E59" s="10">
        <v>82411.289999999994</v>
      </c>
      <c r="F59" s="10">
        <v>5500</v>
      </c>
      <c r="G59" s="5">
        <f t="shared" si="3"/>
        <v>5285.7100000000064</v>
      </c>
      <c r="H59" s="5">
        <f t="shared" si="2"/>
        <v>10785.710000000006</v>
      </c>
    </row>
    <row r="60" spans="1:8" ht="14.4" x14ac:dyDescent="0.3">
      <c r="A60" s="4" t="s">
        <v>65</v>
      </c>
      <c r="B60" t="s">
        <v>128</v>
      </c>
      <c r="C60" s="4" t="s">
        <v>9</v>
      </c>
      <c r="D60" s="9">
        <v>198043</v>
      </c>
      <c r="E60" s="10">
        <v>88341.3</v>
      </c>
      <c r="F60" s="10">
        <v>52840.98</v>
      </c>
      <c r="G60" s="5">
        <f t="shared" si="3"/>
        <v>56860.719999999994</v>
      </c>
      <c r="H60" s="5">
        <f t="shared" si="2"/>
        <v>109701.7</v>
      </c>
    </row>
    <row r="61" spans="1:8" ht="14.4" x14ac:dyDescent="0.3">
      <c r="A61" s="6" t="s">
        <v>66</v>
      </c>
      <c r="B61" t="s">
        <v>129</v>
      </c>
      <c r="C61" s="6" t="s">
        <v>9</v>
      </c>
      <c r="D61" s="9">
        <v>139795</v>
      </c>
      <c r="E61" s="10">
        <v>89079.62</v>
      </c>
      <c r="F61" s="10">
        <v>12340.72</v>
      </c>
      <c r="G61" s="5">
        <f t="shared" si="3"/>
        <v>38374.660000000003</v>
      </c>
      <c r="H61" s="5">
        <f t="shared" si="2"/>
        <v>50715.380000000005</v>
      </c>
    </row>
    <row r="62" spans="1:8" ht="14.4" x14ac:dyDescent="0.3">
      <c r="A62" s="4" t="s">
        <v>67</v>
      </c>
      <c r="B62" t="s">
        <v>130</v>
      </c>
      <c r="C62" s="4" t="s">
        <v>9</v>
      </c>
      <c r="D62" s="9">
        <v>81547</v>
      </c>
      <c r="E62" s="10">
        <v>57731.3</v>
      </c>
      <c r="F62" s="10">
        <v>15463.14</v>
      </c>
      <c r="G62" s="5">
        <f t="shared" si="3"/>
        <v>8352.5599999999977</v>
      </c>
      <c r="H62" s="5">
        <f t="shared" si="2"/>
        <v>23815.699999999997</v>
      </c>
    </row>
    <row r="63" spans="1:8" ht="14.4" x14ac:dyDescent="0.3">
      <c r="A63" s="6" t="s">
        <v>68</v>
      </c>
      <c r="B63" t="s">
        <v>131</v>
      </c>
      <c r="C63" s="6" t="s">
        <v>9</v>
      </c>
      <c r="D63" s="9">
        <v>291240</v>
      </c>
      <c r="E63" s="10">
        <v>140662.54999999999</v>
      </c>
      <c r="F63" s="10">
        <v>124466.76</v>
      </c>
      <c r="G63" s="5">
        <f t="shared" si="3"/>
        <v>26110.690000000017</v>
      </c>
      <c r="H63" s="5">
        <f t="shared" si="2"/>
        <v>150577.45000000001</v>
      </c>
    </row>
    <row r="64" spans="1:8" ht="14.4" x14ac:dyDescent="0.3">
      <c r="A64" s="4" t="s">
        <v>69</v>
      </c>
      <c r="B64" t="s">
        <v>132</v>
      </c>
      <c r="C64" s="4" t="s">
        <v>9</v>
      </c>
      <c r="D64" s="9">
        <v>81547</v>
      </c>
      <c r="E64" s="10">
        <v>52755.76</v>
      </c>
      <c r="F64" s="11"/>
      <c r="G64" s="5">
        <f t="shared" si="3"/>
        <v>28791.239999999998</v>
      </c>
      <c r="H64" s="5">
        <f t="shared" si="2"/>
        <v>28791.239999999998</v>
      </c>
    </row>
    <row r="65" spans="1:8" ht="14.4" x14ac:dyDescent="0.3">
      <c r="A65" s="6" t="s">
        <v>70</v>
      </c>
      <c r="B65" t="s">
        <v>133</v>
      </c>
      <c r="C65" s="6" t="s">
        <v>9</v>
      </c>
      <c r="D65" s="9">
        <v>139795</v>
      </c>
      <c r="E65" s="10">
        <v>115599.25</v>
      </c>
      <c r="F65" s="10">
        <v>1973.98</v>
      </c>
      <c r="G65" s="5">
        <f t="shared" si="3"/>
        <v>22221.77</v>
      </c>
      <c r="H65" s="5">
        <f t="shared" si="2"/>
        <v>24195.75</v>
      </c>
    </row>
    <row r="66" spans="1:8" ht="14.4" x14ac:dyDescent="0.3">
      <c r="A66" s="4" t="s">
        <v>71</v>
      </c>
      <c r="B66" t="s">
        <v>134</v>
      </c>
      <c r="C66" s="4" t="s">
        <v>9</v>
      </c>
      <c r="D66" s="9">
        <v>14984</v>
      </c>
      <c r="E66" s="10">
        <v>11984</v>
      </c>
      <c r="F66" s="10">
        <v>3000</v>
      </c>
      <c r="G66" s="5">
        <f t="shared" si="3"/>
        <v>0</v>
      </c>
      <c r="H66" s="5">
        <f t="shared" ref="H66:H67" si="4">F66+G66</f>
        <v>3000</v>
      </c>
    </row>
    <row r="67" spans="1:8" ht="14.4" x14ac:dyDescent="0.3">
      <c r="A67" s="6" t="s">
        <v>72</v>
      </c>
      <c r="B67" t="s">
        <v>135</v>
      </c>
      <c r="C67" s="6" t="s">
        <v>9</v>
      </c>
      <c r="D67" s="9">
        <v>58248</v>
      </c>
      <c r="E67" s="10">
        <v>25992.66</v>
      </c>
      <c r="F67" s="10">
        <v>25688.34</v>
      </c>
      <c r="G67" s="5">
        <f t="shared" ref="G67" si="5">D67-E67-F67</f>
        <v>6567</v>
      </c>
      <c r="H67" s="5">
        <f t="shared" si="4"/>
        <v>32255.34</v>
      </c>
    </row>
    <row r="68" spans="1:8" x14ac:dyDescent="0.25">
      <c r="G68" s="12"/>
    </row>
  </sheetData>
  <autoFilter ref="A1:H67" xr:uid="{00000000-0009-0000-0000-000000000000}"/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Total aprovado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Douglas Alves de Souza</dc:creator>
  <dc:description/>
  <cp:lastModifiedBy>Douglas Alves De Souza</cp:lastModifiedBy>
  <cp:revision>1</cp:revision>
  <dcterms:created xsi:type="dcterms:W3CDTF">2024-08-05T10:36:43Z</dcterms:created>
  <dcterms:modified xsi:type="dcterms:W3CDTF">2025-10-07T23:45:20Z</dcterms:modified>
  <dc:language>pt-BR</dc:language>
</cp:coreProperties>
</file>