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iente/Downloads/Porjeto CPOR Limites/"/>
    </mc:Choice>
  </mc:AlternateContent>
  <xr:revisionPtr revIDLastSave="0" documentId="13_ncr:1_{6D00D40A-7D69-3244-ABF1-08007C6F297A}" xr6:coauthVersionLast="40" xr6:coauthVersionMax="47" xr10:uidLastSave="{00000000-0000-0000-0000-000000000000}"/>
  <bookViews>
    <workbookView xWindow="33600" yWindow="640" windowWidth="28800" windowHeight="18000" tabRatio="500" xr2:uid="{00000000-000D-0000-FFFF-FFFF00000000}"/>
  </bookViews>
  <sheets>
    <sheet name="NL" sheetId="1" r:id="rId1"/>
    <sheet name="UO_26271" sheetId="2" r:id="rId2"/>
    <sheet name="Receitas" sheetId="3" r:id="rId3"/>
  </sheets>
  <definedNames>
    <definedName name="_xlnm.Print_Area" localSheetId="1">UO_26271!$A$1:$K$52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6" i="3" l="1"/>
  <c r="P5" i="3"/>
  <c r="H28" i="2"/>
  <c r="G28" i="2"/>
  <c r="F28" i="2"/>
  <c r="E28" i="2"/>
  <c r="D28" i="2"/>
  <c r="C28" i="2"/>
  <c r="I36" i="2"/>
  <c r="D36" i="2"/>
  <c r="D37" i="2"/>
  <c r="C37" i="2"/>
  <c r="C36" i="2"/>
  <c r="C35" i="2" s="1"/>
  <c r="J37" i="2"/>
  <c r="H37" i="2"/>
  <c r="I37" i="2" s="1"/>
  <c r="F37" i="2"/>
  <c r="G37" i="2" s="1"/>
  <c r="K37" i="2"/>
  <c r="J36" i="2"/>
  <c r="J35" i="2" s="1"/>
  <c r="F36" i="2"/>
  <c r="G36" i="2" s="1"/>
  <c r="G35" i="2" s="1"/>
  <c r="D35" i="2"/>
  <c r="E35" i="2"/>
  <c r="K36" i="2" l="1"/>
  <c r="F35" i="2"/>
  <c r="H35" i="2"/>
  <c r="I35" i="2" l="1"/>
  <c r="J54" i="1" l="1"/>
  <c r="J53" i="1"/>
  <c r="F54" i="1"/>
  <c r="F53" i="1"/>
  <c r="Z151" i="2"/>
  <c r="AA151" i="2"/>
  <c r="AB151" i="2"/>
  <c r="AC151" i="2"/>
  <c r="K41" i="2"/>
  <c r="M87" i="3"/>
  <c r="M32" i="3"/>
  <c r="D54" i="2"/>
  <c r="G54" i="2"/>
  <c r="G52" i="2" s="1"/>
  <c r="C54" i="2"/>
  <c r="I32" i="3"/>
  <c r="K23" i="3"/>
  <c r="K25" i="3" s="1"/>
  <c r="N20" i="3"/>
  <c r="M20" i="3"/>
  <c r="L20" i="3"/>
  <c r="K20" i="3"/>
  <c r="J20" i="3"/>
  <c r="I20" i="3"/>
  <c r="H20" i="3"/>
  <c r="G20" i="3"/>
  <c r="F20" i="3"/>
  <c r="E20" i="3"/>
  <c r="P19" i="3"/>
  <c r="Q19" i="3" s="1"/>
  <c r="R19" i="3" s="1"/>
  <c r="O19" i="3"/>
  <c r="P18" i="3"/>
  <c r="Q18" i="3" s="1"/>
  <c r="R18" i="3" s="1"/>
  <c r="O18" i="3"/>
  <c r="P17" i="3"/>
  <c r="Q17" i="3" s="1"/>
  <c r="R17" i="3" s="1"/>
  <c r="O17" i="3"/>
  <c r="P16" i="3"/>
  <c r="Q16" i="3" s="1"/>
  <c r="R16" i="3" s="1"/>
  <c r="O16" i="3"/>
  <c r="P15" i="3"/>
  <c r="Q15" i="3" s="1"/>
  <c r="R15" i="3" s="1"/>
  <c r="O15" i="3"/>
  <c r="P14" i="3"/>
  <c r="Q14" i="3" s="1"/>
  <c r="R14" i="3" s="1"/>
  <c r="O14" i="3"/>
  <c r="P13" i="3"/>
  <c r="Q13" i="3" s="1"/>
  <c r="R13" i="3" s="1"/>
  <c r="O13" i="3"/>
  <c r="P12" i="3"/>
  <c r="Q12" i="3" s="1"/>
  <c r="R12" i="3" s="1"/>
  <c r="O12" i="3"/>
  <c r="P11" i="3"/>
  <c r="Q11" i="3" s="1"/>
  <c r="R11" i="3" s="1"/>
  <c r="O11" i="3"/>
  <c r="P10" i="3"/>
  <c r="Q10" i="3" s="1"/>
  <c r="O10" i="3"/>
  <c r="P9" i="3"/>
  <c r="Q9" i="3" s="1"/>
  <c r="R9" i="3" s="1"/>
  <c r="O9" i="3"/>
  <c r="P8" i="3"/>
  <c r="Q8" i="3" s="1"/>
  <c r="R8" i="3" s="1"/>
  <c r="O8" i="3"/>
  <c r="P7" i="3"/>
  <c r="Q7" i="3" s="1"/>
  <c r="R7" i="3" s="1"/>
  <c r="O7" i="3"/>
  <c r="Q6" i="3"/>
  <c r="R6" i="3" s="1"/>
  <c r="O6" i="3"/>
  <c r="O5" i="3"/>
  <c r="A2" i="3"/>
  <c r="H54" i="2"/>
  <c r="H53" i="2"/>
  <c r="G53" i="2"/>
  <c r="D53" i="2"/>
  <c r="C53" i="2"/>
  <c r="F52" i="2"/>
  <c r="E52" i="2"/>
  <c r="E47" i="2" s="1"/>
  <c r="H51" i="2"/>
  <c r="G51" i="2"/>
  <c r="F51" i="2"/>
  <c r="D51" i="2"/>
  <c r="C51" i="2"/>
  <c r="K50" i="2"/>
  <c r="H50" i="2"/>
  <c r="G50" i="2"/>
  <c r="D50" i="2"/>
  <c r="C50" i="2"/>
  <c r="F48" i="2"/>
  <c r="E48" i="2"/>
  <c r="J34" i="2"/>
  <c r="J33" i="2" s="1"/>
  <c r="D34" i="2"/>
  <c r="D33" i="2" s="1"/>
  <c r="C34" i="2"/>
  <c r="C33" i="2" s="1"/>
  <c r="E33" i="2"/>
  <c r="J32" i="2"/>
  <c r="D32" i="2"/>
  <c r="C32" i="2"/>
  <c r="K31" i="2"/>
  <c r="J31" i="2"/>
  <c r="D31" i="2"/>
  <c r="C31" i="2"/>
  <c r="J30" i="2"/>
  <c r="D30" i="2"/>
  <c r="C30" i="2"/>
  <c r="E29" i="2"/>
  <c r="J22" i="2"/>
  <c r="K22" i="2" s="1"/>
  <c r="J21" i="2"/>
  <c r="D21" i="2"/>
  <c r="D20" i="2" s="1"/>
  <c r="C21" i="2"/>
  <c r="C20" i="2" s="1"/>
  <c r="G20" i="2"/>
  <c r="G9" i="2" s="1"/>
  <c r="E20" i="2"/>
  <c r="J19" i="2"/>
  <c r="D19" i="2"/>
  <c r="C19" i="2"/>
  <c r="J18" i="2"/>
  <c r="D18" i="2"/>
  <c r="C18" i="2"/>
  <c r="J17" i="2"/>
  <c r="D17" i="2"/>
  <c r="C17" i="2"/>
  <c r="J16" i="2"/>
  <c r="D16" i="2"/>
  <c r="C16" i="2"/>
  <c r="J15" i="2"/>
  <c r="D15" i="2"/>
  <c r="C15" i="2"/>
  <c r="J14" i="2"/>
  <c r="D14" i="2"/>
  <c r="C14" i="2"/>
  <c r="J13" i="2"/>
  <c r="D13" i="2"/>
  <c r="C13" i="2"/>
  <c r="J12" i="2"/>
  <c r="D12" i="2"/>
  <c r="C12" i="2"/>
  <c r="J11" i="2"/>
  <c r="D11" i="2"/>
  <c r="C11" i="2"/>
  <c r="G10" i="2"/>
  <c r="E10" i="2"/>
  <c r="J6" i="2"/>
  <c r="I66" i="1"/>
  <c r="G66" i="1"/>
  <c r="E52" i="1"/>
  <c r="E66" i="1" s="1"/>
  <c r="F11" i="2" s="1"/>
  <c r="H51" i="1"/>
  <c r="D51" i="1"/>
  <c r="J50" i="1"/>
  <c r="F50" i="1"/>
  <c r="J49" i="1"/>
  <c r="F49" i="1"/>
  <c r="J48" i="1"/>
  <c r="F48" i="1"/>
  <c r="J47" i="1"/>
  <c r="F47" i="1"/>
  <c r="J46" i="1"/>
  <c r="F46" i="1"/>
  <c r="J45" i="1"/>
  <c r="F45" i="1"/>
  <c r="K44" i="1"/>
  <c r="F44" i="1" s="1"/>
  <c r="J44" i="1"/>
  <c r="J43" i="1"/>
  <c r="F43" i="1"/>
  <c r="H41" i="1"/>
  <c r="D41" i="1"/>
  <c r="H39" i="1"/>
  <c r="D39" i="1"/>
  <c r="J38" i="1"/>
  <c r="F38" i="1"/>
  <c r="J37" i="1"/>
  <c r="F37" i="1"/>
  <c r="J36" i="1"/>
  <c r="F36" i="1"/>
  <c r="J35" i="1"/>
  <c r="F35" i="1"/>
  <c r="J33" i="1"/>
  <c r="F33" i="1"/>
  <c r="J31" i="1"/>
  <c r="F31" i="1"/>
  <c r="J30" i="1"/>
  <c r="F30" i="1"/>
  <c r="H29" i="1"/>
  <c r="D29" i="1"/>
  <c r="H28" i="1"/>
  <c r="D28" i="1"/>
  <c r="J27" i="1"/>
  <c r="F27" i="1"/>
  <c r="J26" i="1"/>
  <c r="F26" i="1"/>
  <c r="H25" i="1"/>
  <c r="D25" i="1"/>
  <c r="H22" i="1"/>
  <c r="D22" i="1"/>
  <c r="H21" i="1"/>
  <c r="D21" i="1"/>
  <c r="J20" i="1"/>
  <c r="F20" i="1"/>
  <c r="J19" i="1"/>
  <c r="F19" i="1"/>
  <c r="J18" i="1"/>
  <c r="F18" i="1"/>
  <c r="J17" i="1"/>
  <c r="F17" i="1"/>
  <c r="H15" i="1"/>
  <c r="D15" i="1"/>
  <c r="J14" i="1"/>
  <c r="F14" i="1"/>
  <c r="J12" i="1"/>
  <c r="F12" i="1"/>
  <c r="J11" i="1"/>
  <c r="F11" i="1"/>
  <c r="J10" i="1"/>
  <c r="F10" i="1"/>
  <c r="J9" i="1"/>
  <c r="F9" i="1"/>
  <c r="J8" i="1"/>
  <c r="F8" i="1"/>
  <c r="H6" i="1"/>
  <c r="D6" i="1"/>
  <c r="H5" i="1"/>
  <c r="D5" i="1"/>
  <c r="D66" i="1" s="1"/>
  <c r="F13" i="2" s="1"/>
  <c r="H13" i="2" s="1"/>
  <c r="F47" i="2" l="1"/>
  <c r="E9" i="2"/>
  <c r="K14" i="2"/>
  <c r="C48" i="2"/>
  <c r="K18" i="2"/>
  <c r="J20" i="2"/>
  <c r="G48" i="2"/>
  <c r="G47" i="2" s="1"/>
  <c r="D52" i="2"/>
  <c r="K11" i="2"/>
  <c r="E7" i="2"/>
  <c r="K21" i="2"/>
  <c r="K20" i="2" s="1"/>
  <c r="H52" i="2"/>
  <c r="H48" i="2"/>
  <c r="K16" i="2"/>
  <c r="J29" i="2"/>
  <c r="J28" i="2" s="1"/>
  <c r="C29" i="2"/>
  <c r="C52" i="2"/>
  <c r="D48" i="2"/>
  <c r="H66" i="1"/>
  <c r="F66" i="1"/>
  <c r="J66" i="1"/>
  <c r="F30" i="2"/>
  <c r="G30" i="2" s="1"/>
  <c r="G29" i="2" s="1"/>
  <c r="F34" i="2"/>
  <c r="C10" i="2"/>
  <c r="C9" i="2" s="1"/>
  <c r="J10" i="2"/>
  <c r="K30" i="2"/>
  <c r="K32" i="2"/>
  <c r="K13" i="2"/>
  <c r="K19" i="2"/>
  <c r="K17" i="2"/>
  <c r="D10" i="2"/>
  <c r="K15" i="2"/>
  <c r="D29" i="2"/>
  <c r="K34" i="2"/>
  <c r="I13" i="2"/>
  <c r="F21" i="2"/>
  <c r="F72" i="1"/>
  <c r="H11" i="2"/>
  <c r="F10" i="2"/>
  <c r="H34" i="2"/>
  <c r="L12" i="2"/>
  <c r="L13" i="2" s="1"/>
  <c r="L14" i="2" s="1"/>
  <c r="M14" i="2" s="1"/>
  <c r="K12" i="2"/>
  <c r="O20" i="3"/>
  <c r="P20" i="3"/>
  <c r="Q5" i="3"/>
  <c r="Q24" i="3"/>
  <c r="R10" i="3" s="1"/>
  <c r="D47" i="2" l="1"/>
  <c r="J9" i="2"/>
  <c r="J7" i="2" s="1"/>
  <c r="C47" i="2"/>
  <c r="H47" i="2"/>
  <c r="C7" i="2"/>
  <c r="K29" i="2"/>
  <c r="K28" i="2" s="1"/>
  <c r="H30" i="2"/>
  <c r="H29" i="2" s="1"/>
  <c r="F29" i="2"/>
  <c r="G34" i="2"/>
  <c r="G33" i="2" s="1"/>
  <c r="G7" i="2" s="1"/>
  <c r="F33" i="2"/>
  <c r="K10" i="2"/>
  <c r="D9" i="2"/>
  <c r="Q20" i="3"/>
  <c r="R5" i="3"/>
  <c r="R20" i="3" s="1"/>
  <c r="I34" i="2"/>
  <c r="H33" i="2"/>
  <c r="H41" i="2"/>
  <c r="I11" i="2"/>
  <c r="H10" i="2"/>
  <c r="H21" i="2"/>
  <c r="F20" i="2"/>
  <c r="F9" i="2" s="1"/>
  <c r="F7" i="2" l="1"/>
  <c r="O9" i="2" s="1"/>
  <c r="I30" i="2"/>
  <c r="I33" i="2"/>
  <c r="K9" i="2"/>
  <c r="K7" i="2" s="1"/>
  <c r="D7" i="2"/>
  <c r="I21" i="2"/>
  <c r="I20" i="2" s="1"/>
  <c r="H20" i="2"/>
  <c r="I41" i="2" s="1"/>
  <c r="I29" i="2"/>
  <c r="O10" i="2"/>
  <c r="I10" i="2"/>
  <c r="H9" i="2" l="1"/>
  <c r="I9" i="2" s="1"/>
  <c r="J41" i="2"/>
  <c r="H42" i="2" s="1"/>
  <c r="I28" i="2"/>
  <c r="H7" i="2" l="1"/>
  <c r="I7" i="2"/>
</calcChain>
</file>

<file path=xl/sharedStrings.xml><?xml version="1.0" encoding="utf-8"?>
<sst xmlns="http://schemas.openxmlformats.org/spreadsheetml/2006/main" count="476" uniqueCount="328">
  <si>
    <t>Planilha das NL</t>
  </si>
  <si>
    <t>Nº da NL</t>
  </si>
  <si>
    <t>Data da NL</t>
  </si>
  <si>
    <t>Histórico da NL</t>
  </si>
  <si>
    <t>Grupo de Despesa/FONTE</t>
  </si>
  <si>
    <t>ODC (IU 8) – NBA</t>
  </si>
  <si>
    <t>ODC (IU 0) – NDA</t>
  </si>
  <si>
    <t>ODC – NAA</t>
  </si>
  <si>
    <t>INV. (IU 8) – NBA</t>
  </si>
  <si>
    <t>INV – NAA</t>
  </si>
  <si>
    <t>INV. - NAA</t>
  </si>
  <si>
    <t>'1000 / 3008</t>
  </si>
  <si>
    <t>1000</t>
  </si>
  <si>
    <t>1050</t>
  </si>
  <si>
    <t>2025NL000481</t>
  </si>
  <si>
    <t>LIM. ORC. (DECRETO N. 12.416, DE 21 DE MARCO DE 2025 ) FTE TESOURO</t>
  </si>
  <si>
    <t>2025NL000593</t>
  </si>
  <si>
    <t xml:space="preserve">LIM. ORC. (DECRETO N. 12.416, DE 21 DE MARCO DE 2025 ) FTE TESOURO
INVESTIMENTO                                                      </t>
  </si>
  <si>
    <t>2025NL000793</t>
  </si>
  <si>
    <t xml:space="preserve">LIM. ORC. (DECRETO N. 12.416, DE 21 DE MARCO DE 2025 ) FTE TESOURO 
CUSTEIO                                                            </t>
  </si>
  <si>
    <t>2025NL000907</t>
  </si>
  <si>
    <t>(44)LIM. ORC. (DECRETO N. 12.416, DE 21 DE MARÃ?O DE 2025) - FONTE 1050</t>
  </si>
  <si>
    <t>2025NL001105</t>
  </si>
  <si>
    <t xml:space="preserve">(42)LIM. ORC. (DECRETO N. 12.416, DE 21 DE MARCO DE 2025) - FONTE 1050 </t>
  </si>
  <si>
    <t>2025NL001242</t>
  </si>
  <si>
    <t>(41)LIM. ORC. (DECRETO N. 12.416, DE 21 DE MARCO DE 2025) - FONTE 1050</t>
  </si>
  <si>
    <t xml:space="preserve">2025NL001363 </t>
  </si>
  <si>
    <t xml:space="preserve">(38)LIM. ORC. (DECRETO N. 12.416, DE 21 DE MARCO DE 2025) - FONTE 1050  </t>
  </si>
  <si>
    <t xml:space="preserve"> 2025NL001477</t>
  </si>
  <si>
    <t xml:space="preserve">(41)LIM. ORC. (DECRETO N. 12.416, DE 21 DE MARCO DE 2025) - FONTE 1050  </t>
  </si>
  <si>
    <t xml:space="preserve">2025NL001577  </t>
  </si>
  <si>
    <r>
      <rPr>
        <sz val="11"/>
        <color rgb="FF000000"/>
        <rFont val="Calibri"/>
        <family val="2"/>
        <charset val="1"/>
      </rPr>
      <t xml:space="preserve"> LIM. ORC. (DECRETO N. 12.416, DE 12 DE MARCO DE 2025 ) FTE TESOURO 
 CUSTEIO - </t>
    </r>
    <r>
      <rPr>
        <b/>
        <sz val="11"/>
        <color rgb="FF000000"/>
        <rFont val="Calibri"/>
        <family val="2"/>
        <charset val="1"/>
      </rPr>
      <t xml:space="preserve">ASSIST. ESTUDANTIL  </t>
    </r>
    <r>
      <rPr>
        <sz val="11"/>
        <color rgb="FF000000"/>
        <rFont val="Calibri"/>
        <family val="2"/>
        <charset val="1"/>
      </rPr>
      <t xml:space="preserve">                                     </t>
    </r>
  </si>
  <si>
    <t>2025NL001777</t>
  </si>
  <si>
    <t>(42)LIM. ORC. (DECRETO N. 12.416, DE 21 DE MARCO DE 2025) - FONTE 1050</t>
  </si>
  <si>
    <t>2025NL001885</t>
  </si>
  <si>
    <t xml:space="preserve">LIM. ORC. (DECRETO N. 12.448, DE 30 DE ABRIL DE 2025 ) FTE TESOURO
 CUSTEIO                                                           </t>
  </si>
  <si>
    <t>2025NL001838</t>
  </si>
  <si>
    <t>2025NL002085</t>
  </si>
  <si>
    <t>(42)LIM. ORC. (DECRETO N. 12.448, DE 30 DE ABRIL DE 2025) - FONTE 1050</t>
  </si>
  <si>
    <t>2025NL002461</t>
  </si>
  <si>
    <t>(41)LIM. ORC. (DECRETO NÂº 12.448, DE 30 DE ABRIL DE 2025) - FONTE 1050</t>
  </si>
  <si>
    <t>2025NL002631</t>
  </si>
  <si>
    <t xml:space="preserve"> 21Mai25</t>
  </si>
  <si>
    <t>(42)LIM. ORC. (DECRETO NÂº 12.448, DE 30 DE ABRIL DE 2025) - FONTE 1050</t>
  </si>
  <si>
    <t>2025NL002803</t>
  </si>
  <si>
    <t>2025NL002300</t>
  </si>
  <si>
    <t xml:space="preserve">LIM. ORC. (DECRETO N. 12.448, DE 30 DE ABRIL DE 2025 ) FTE TESOURO 
CUSTEIO                                                            </t>
  </si>
  <si>
    <t>2025NL002530</t>
  </si>
  <si>
    <t xml:space="preserve">LIM. ORC. (DECRETO N. 12.416, DE 21 DE MARCO DE 2025 ) FTE TESOURO
AJUSTE DE LIMITE                                                  </t>
  </si>
  <si>
    <t xml:space="preserve">2025NL002192 </t>
  </si>
  <si>
    <t xml:space="preserve">LIM. ORC. (DECRETO N. 12.416, DE 12 DE MARCO DE 2025 ) FTE TESOURO
CUSTEIO                                                           </t>
  </si>
  <si>
    <t>2025NL002529</t>
  </si>
  <si>
    <t>2025NL002927</t>
  </si>
  <si>
    <t>LIM. ORC. (DECRETO N. 12.477, DE 30 DE MAIO DE 2025 ) FTE TESOURO</t>
  </si>
  <si>
    <t>2025NL003177</t>
  </si>
  <si>
    <t>2025NL003387</t>
  </si>
  <si>
    <t>2025NL003781</t>
  </si>
  <si>
    <t>2025NL004001</t>
  </si>
  <si>
    <t xml:space="preserve"> LIM. ORC. (DECRETO N. 12.477, DE 30 DE MAIO DE 2025 ) FTE TESOURO
 RECOMP PLOA                                                      </t>
  </si>
  <si>
    <t>2025NL003537</t>
  </si>
  <si>
    <t>2025NL003665</t>
  </si>
  <si>
    <t>2025NL003892</t>
  </si>
  <si>
    <t xml:space="preserve">(41)LIM. ORC. (DECRETO NÂº 12.448, DE 30 DE ABRIL DE 2025) - FONTE 1050 </t>
  </si>
  <si>
    <t>2025NL004421</t>
  </si>
  <si>
    <t>2025NL004320</t>
  </si>
  <si>
    <t>(100)LIM. ORC. (DECRETO NÂº 12.448, DE 30 DE ABRIL DE 2025) - FONTE 1051</t>
  </si>
  <si>
    <t>2025NL004564</t>
  </si>
  <si>
    <t>(41)LIM. ORC. (DECRETO N. 12.448, DE 30 DE ABRIL DE 2025) - FONTE 1050</t>
  </si>
  <si>
    <t>2025NL004734</t>
  </si>
  <si>
    <t>(43)LIM. ORC. (DECRETO N. 12.448, DE 30 DE ABRIL DE 2025) - FONTE 1050</t>
  </si>
  <si>
    <t>2025NL005346</t>
  </si>
  <si>
    <t>2025NL005553</t>
  </si>
  <si>
    <t>LIM. ORC. (DECRETO N. 12.566, DE 30 DE JULHO DE 2025 ) FTE TESOURO</t>
  </si>
  <si>
    <t>2025NL005444</t>
  </si>
  <si>
    <t>2025NL005686</t>
  </si>
  <si>
    <t>2025NL005779</t>
  </si>
  <si>
    <t>LIM. ORC. (DECRETO N. 12.416, DE 12 DE MARCO DE 2025 ) FTE TESOURO</t>
  </si>
  <si>
    <t>2025NL005970</t>
  </si>
  <si>
    <t>(40)LIM. ORC. (DECRETO N. 12.448, DE 30 DE ABRIL DE 2025) - FONTE 1050</t>
  </si>
  <si>
    <t>2025NL006130</t>
  </si>
  <si>
    <t xml:space="preserve">(38)LIM. ORC. (DECRETO N. 12.416, DE 21 DE MARCO DE 2025) - FONTE 1050 </t>
  </si>
  <si>
    <t>2025NL006274</t>
  </si>
  <si>
    <t>(37)LIM. ORC. (DECRETO N. 12.416, DE 21 DE MARCO DE 2025) - FONTE 1050</t>
  </si>
  <si>
    <t xml:space="preserve"> 2025NL006402</t>
  </si>
  <si>
    <t xml:space="preserve">(37)LIM. ORC. (DECRETO N. 12.448, DE 30 DE ABRIL DE 2025) - FONTE 1050  </t>
  </si>
  <si>
    <t xml:space="preserve">2025NL006528  </t>
  </si>
  <si>
    <t>(37)LIM. ORC. (DECRETO N. 12.448, DE 30 DE ABRIL DE 2025) - FONTE 1050</t>
  </si>
  <si>
    <t xml:space="preserve">2025NL006650 </t>
  </si>
  <si>
    <t xml:space="preserve">(37)LIM. ORC. (DECRETO N. 12.448, DE 30 DE ABRIL DE 2025) - FONTE 1050 </t>
  </si>
  <si>
    <t>2025NL006770</t>
  </si>
  <si>
    <t xml:space="preserve">(36)LIM. ORC. (DECRETO N. 12.448, DE 30 DE ABRIL DE 2025) - FONTE 1050 </t>
  </si>
  <si>
    <t xml:space="preserve">2025NL007024  </t>
  </si>
  <si>
    <t xml:space="preserve">(35)LIM. ORC. (DECRETO N. 12.448, DE 30 DE ABRIL DE 2025) - FONTE 1050   </t>
  </si>
  <si>
    <t xml:space="preserve">2025NL007119 </t>
  </si>
  <si>
    <t xml:space="preserve"> LIM. ORC. (DECRETO N. 12.637, DE 30 DE SETEMBRO DE 2025 ) FTE TESOURO</t>
  </si>
  <si>
    <t xml:space="preserve">2025NL007231 </t>
  </si>
  <si>
    <t xml:space="preserve"> LIM. ORC. (DECRETO N. 12.637, DE 30 DE SETEMBRO DE 2025 ) FTE TESOURO  </t>
  </si>
  <si>
    <t>2025NL007370</t>
  </si>
  <si>
    <t>(31)LIM. ORC. (DECRETO N. 12.448, DE 30 DE ABRIL DE 2025) - FONTE 1050</t>
  </si>
  <si>
    <t>2025NL007533</t>
  </si>
  <si>
    <t>(32)LIM. ORC. (DECRETO N. 12.448, DE 30 DE ABRIL DE 2025) - FONTE 1050</t>
  </si>
  <si>
    <t>Total</t>
  </si>
  <si>
    <t>Contas Contábeis</t>
  </si>
  <si>
    <t>limite recebido</t>
  </si>
  <si>
    <t>saldo limite recebido</t>
  </si>
  <si>
    <t>UO 26271 - Execução dos Limites Liberados (Decreto nº 12.416 de 21 de março de 2025)</t>
  </si>
  <si>
    <t>Atualizado: 20/10/2025</t>
  </si>
  <si>
    <t>TOTAL FONTE TESOURO + PRÓPRIAS</t>
  </si>
  <si>
    <t>FONTE TESOURO</t>
  </si>
  <si>
    <t>DOTAÇÃO INICIAL 2025 (sem emendas)</t>
  </si>
  <si>
    <t>DOTAÇÃO ATUALIZADA 2025 (sem emendas)</t>
  </si>
  <si>
    <t>LIMITE RETIDO</t>
  </si>
  <si>
    <t>LIMITE LIBERADO 2024</t>
  </si>
  <si>
    <t>LIBERAÇÃO LIMITE EXTRA</t>
  </si>
  <si>
    <t>TOTAL LIMITE LIBERADO</t>
  </si>
  <si>
    <t>% LIMITE LIBERADO (Total Lim. Lib./Dot Inic.)</t>
  </si>
  <si>
    <t>EMPENHADO</t>
  </si>
  <si>
    <t>A EMPENHAR</t>
  </si>
  <si>
    <t>Indicador TCU
(Dotação Inicial/Limite recebido)</t>
  </si>
  <si>
    <t>TOTAL (CUSTEIO+INVESTIMENTO)</t>
  </si>
  <si>
    <t>Tesouro</t>
  </si>
  <si>
    <t>CUSTEIO</t>
  </si>
  <si>
    <t>Próprios</t>
  </si>
  <si>
    <t>Assistência Estudantil – 4002</t>
  </si>
  <si>
    <t>Anuidades – 00PW e 00UU</t>
  </si>
  <si>
    <t>Funcionamento – 20RK</t>
  </si>
  <si>
    <t>HVET – 20RK</t>
  </si>
  <si>
    <t>Reestruturação e Modernização – 8282 (Museus)</t>
  </si>
  <si>
    <t>Fomento – 20GK</t>
  </si>
  <si>
    <t>Capacitação – 4572</t>
  </si>
  <si>
    <t>Internacionalização – 21GS</t>
  </si>
  <si>
    <t>Educação à Distância – 21D7</t>
  </si>
  <si>
    <t>INVESTIMENTO</t>
  </si>
  <si>
    <t>Reestruturação – 8282</t>
  </si>
  <si>
    <t>RECEITA PRÓPRIA - DEPENDE DE ARRECADAÇÃO</t>
  </si>
  <si>
    <t>ARRECADAÇÃO
(1050)</t>
  </si>
  <si>
    <t>LIMITE AUTORIZADO 2024</t>
  </si>
  <si>
    <t>% LIMITE LIBERADO (Total Lim. Lib./Arrecadação)</t>
  </si>
  <si>
    <t>TOTAL (1050+1051+3050+3051)</t>
  </si>
  <si>
    <t>TOTAL PRÓPRIOS – fonte 1050</t>
  </si>
  <si>
    <t>CUSTEIO (fonte 1050) - 20RK</t>
  </si>
  <si>
    <t>INVESTIMENTO (fonte 1050) - 20RK</t>
  </si>
  <si>
    <t>INVESTIMENTO (fonte 1050) - 8282</t>
  </si>
  <si>
    <t>TOTAL PRÓPRIOS – fonte 1051</t>
  </si>
  <si>
    <t>INVESTIMENTO (fonte 1051) - 20RK</t>
  </si>
  <si>
    <r>
      <t xml:space="preserve">TOTAL PRÓPRIOS – fonte 3050 e 3051 </t>
    </r>
    <r>
      <rPr>
        <b/>
        <sz val="11"/>
        <color rgb="FFFF0000"/>
        <rFont val="Calibri"/>
        <family val="2"/>
      </rPr>
      <t>(SUPERÁVIT)</t>
    </r>
  </si>
  <si>
    <t>Custeio (fonte 3050) - 20RK</t>
  </si>
  <si>
    <t>-</t>
  </si>
  <si>
    <t>Investimento (fonte 3051) - 20RK</t>
  </si>
  <si>
    <t>Tesouro (IU 0-4002 e Anuidades)</t>
  </si>
  <si>
    <t>Tesouro (IU 8)*</t>
  </si>
  <si>
    <t>DRU</t>
  </si>
  <si>
    <t>Limite Disponível</t>
  </si>
  <si>
    <r>
      <rPr>
        <sz val="11"/>
        <color rgb="FF000000"/>
        <rFont val="Calibri"/>
        <family val="2"/>
        <charset val="1"/>
      </rPr>
      <t xml:space="preserve">Conta Limite Orçamentário a Utilizar: </t>
    </r>
    <r>
      <rPr>
        <b/>
        <sz val="11"/>
        <color rgb="FF000000"/>
        <rFont val="Calibri"/>
        <family val="2"/>
        <charset val="1"/>
      </rPr>
      <t>823200100</t>
    </r>
  </si>
  <si>
    <t>EMENDAS</t>
  </si>
  <si>
    <t>DOTAÇÃO INICIAL 2025</t>
  </si>
  <si>
    <t>DOTAÇÃO ATUALIZADA 2025</t>
  </si>
  <si>
    <t>CRÉDITO BLOQUEADO</t>
  </si>
  <si>
    <t>EMPENHADO 2024</t>
  </si>
  <si>
    <t>PAGO 2024</t>
  </si>
  <si>
    <t>Crédito Livre custeio 1050</t>
  </si>
  <si>
    <t>TOTAL</t>
  </si>
  <si>
    <t>RP 2 - Despesa Discricionária - Emenda de Bancada</t>
  </si>
  <si>
    <t>Crédito Livre custeio 1000</t>
  </si>
  <si>
    <t>RP 6 - Discricionária e decorrente de Emenda Individual</t>
  </si>
  <si>
    <t>RP 7 - Despesa Discricionária - Emenda de Bancada</t>
  </si>
  <si>
    <r>
      <rPr>
        <sz val="11"/>
        <color rgb="FF000000"/>
        <rFont val="Calibri"/>
        <family val="2"/>
        <charset val="1"/>
      </rPr>
      <t xml:space="preserve">Contas de Bloqueio SOF: </t>
    </r>
    <r>
      <rPr>
        <b/>
        <sz val="11"/>
        <color rgb="FF000000"/>
        <rFont val="Calibri"/>
        <family val="2"/>
        <charset val="1"/>
      </rPr>
      <t>622120105;</t>
    </r>
    <r>
      <rPr>
        <sz val="11"/>
        <color rgb="FF000000"/>
        <rFont val="Calibri"/>
        <family val="2"/>
        <charset val="1"/>
      </rPr>
      <t xml:space="preserve"> 622120106; 622120108.</t>
    </r>
  </si>
  <si>
    <t>Unidade Orçamentária</t>
  </si>
  <si>
    <t>Resultado Lei</t>
  </si>
  <si>
    <t>Grupo Despesa</t>
  </si>
  <si>
    <t>Ação Governo</t>
  </si>
  <si>
    <t>Plano Orçamentário</t>
  </si>
  <si>
    <t>Item Informação</t>
  </si>
  <si>
    <t>DOTACAO INICIAL</t>
  </si>
  <si>
    <t>DOTACAO ATUALIZADA</t>
  </si>
  <si>
    <t>DESPESAS EMPENHADAS</t>
  </si>
  <si>
    <t>DESPESAS PAGAS</t>
  </si>
  <si>
    <t>Fonte SOF</t>
  </si>
  <si>
    <t>Saldo - Moeda Origem (Conta Contábil)</t>
  </si>
  <si>
    <t>26271</t>
  </si>
  <si>
    <t>2</t>
  </si>
  <si>
    <t>PRIMARIO DISCRICIONARIO</t>
  </si>
  <si>
    <t>4</t>
  </si>
  <si>
    <t>20RK</t>
  </si>
  <si>
    <t>0000</t>
  </si>
  <si>
    <t>FUNCIONAMENTO DE INSTITUICOES FEDERAIS DE ENSINO SUPERIOR - DESPESAS DIVERSAS</t>
  </si>
  <si>
    <t>1051</t>
  </si>
  <si>
    <t>3051</t>
  </si>
  <si>
    <t>8282</t>
  </si>
  <si>
    <t>REESTRUTURACAO E MODERNIZACAO DAS INSTITUICOES FEDERAIS DE ENSINO SUPERIOR - DESPESAS DIVERSAS</t>
  </si>
  <si>
    <t>3</t>
  </si>
  <si>
    <t>00PW</t>
  </si>
  <si>
    <t>0002</t>
  </si>
  <si>
    <t>CONTRIBUICAO A ASSOCIACAO BRASILEIRA DE EDUCACAO INTERNACIONAL (FAUBAI)</t>
  </si>
  <si>
    <t>0003</t>
  </si>
  <si>
    <t>CONTRIBUICAO A ASSOCIACAO GRUPO COIMBRA DE UNIVERSIDADES BRASILEIRAS (GCUB)</t>
  </si>
  <si>
    <t>0004</t>
  </si>
  <si>
    <t>CONTRIBUICAO A ASSOCIACAO DE UNIVERSIDADES EM REDE (UNIREDE)</t>
  </si>
  <si>
    <t>0007</t>
  </si>
  <si>
    <t>CONTRIBUICAO AO FORUM NACIONAL DE PRO-REITORES DE PESQUISA E POS-GRADUACAO (FOPROP)</t>
  </si>
  <si>
    <t>0008</t>
  </si>
  <si>
    <t>CONTRIBUICAO A ASSOCIACAO BRASILEIRA DE EDUCACAO MEDICA (ABEM)</t>
  </si>
  <si>
    <t>000A</t>
  </si>
  <si>
    <t>CONTRIBUICAO A ASSOCIACAO NACIONAL DOS DIRIGENTES DAS INSTITUICOES FEDERAIS DE ENSINO SUPERIOR (ANDIFES)</t>
  </si>
  <si>
    <t>0010</t>
  </si>
  <si>
    <t>CONTRIBUICAO A ASSOCIACAO NACIONAL DE POS-GRADUACAO E PESQUISA EM EDUCACAO (ANPED)</t>
  </si>
  <si>
    <t>0011</t>
  </si>
  <si>
    <t>CONTRIBUICAO A ASSOCIACAO NACIONAL DE POS-GRADUACAO E PESQUISA EM LETRAS E LINGUISTICA (ANPOLL)</t>
  </si>
  <si>
    <t>0013</t>
  </si>
  <si>
    <t>CONTRIBUICAO A ASSOCIACAO NACIONAL DE POS-GRADUACAO E PESQUISA EM CIENCIAS SOCIAIS (ANPOCS)</t>
  </si>
  <si>
    <t>0014</t>
  </si>
  <si>
    <t>CONTRIBUICAO A ASSOCIACAO NACIONAL DE POS-GRADUACAO E PESQUISA EM ADMINISTRACAO (ANPAD)</t>
  </si>
  <si>
    <t>0017</t>
  </si>
  <si>
    <t>CONTRIBUICAO A ASSOCIACAO NACIONAL DE PROGRAMAS DE POS-GRADUACAO EM CIENCIAS CONTABEIS (ANPCONT)</t>
  </si>
  <si>
    <t>0018</t>
  </si>
  <si>
    <t>CONTRIBUICAO A ASSOCIACAO BRASILEIRA DE EDUCACAO EM CIENCIA DA INFORMACAO (ABECIN)</t>
  </si>
  <si>
    <t>0028</t>
  </si>
  <si>
    <t>CONTRIBUICAO A ASSOCIACAO BRASILEIRA DE EDITORES CIENTIFICOS (ABEC)</t>
  </si>
  <si>
    <t>0029</t>
  </si>
  <si>
    <t>CONTRIBUICAO A ASSOCIACAO NACIONAL DE PESQUISA E POS-GRADUACAO EM PSICOLOGIA (ANPEPP)</t>
  </si>
  <si>
    <t>0035</t>
  </si>
  <si>
    <t>CONTRIBUICAO A ASSOCIACAO NACIONAL DE POS-GRADUACAO EM FILOSOFIA (ANPOF)</t>
  </si>
  <si>
    <t>0038</t>
  </si>
  <si>
    <t>CONTRIBUICAO A ASSOCIACAO BRASILEIRA DE ENSINO DE ARQUITETURA E URBANISMO (ABEA)</t>
  </si>
  <si>
    <t>0039</t>
  </si>
  <si>
    <t>CONTRIBUICAO A ASSOCIACAO NACIONAL DOS CURSOS DE GRADUACAO EM ADMINISTRACAO (ANGRAD)</t>
  </si>
  <si>
    <t>0040</t>
  </si>
  <si>
    <t>CONTRIBUICAO A ASSOCIACAO NACIONAL DE POS-GRADUACAO EM PESQUISA EM GEOGRAFIA (ANPEGE)</t>
  </si>
  <si>
    <t>0044</t>
  </si>
  <si>
    <t>CONTRIBUICAO AO CONSELHO DE REITORES DAS UNIVERSIDADES BRASILEIRAS (CRUB)</t>
  </si>
  <si>
    <t>0046</t>
  </si>
  <si>
    <t>CONTRIBUIÇÃO A ASSOCIAÇÃO BRASILEIRA DE TELEVISÃO ABTU</t>
  </si>
  <si>
    <t>0064</t>
  </si>
  <si>
    <t>CONTRIBUIÇÃO A ASSOCIAÇÃO NACIONAL DE PÓS GRADUAÇÃO E PESQUISA EM AMBIENTE E SOCIEDADE ANPPAS</t>
  </si>
  <si>
    <t>0065</t>
  </si>
  <si>
    <t>CONTRIBUICAO A ASSOCIACAO NACIONAL DE PESQUISA E POS-GRADUACAO EM CIENCIA DA INFORMACAO (ANCIB)</t>
  </si>
  <si>
    <t>0067</t>
  </si>
  <si>
    <t>CONTRIBUICAO A ASSOCIACAO NACIONAL DE ENSINO E PESQUISA DO CAMPO DE PUBLICAS (ANEPCP)</t>
  </si>
  <si>
    <t>0085</t>
  </si>
  <si>
    <t>CONTRIBUICAO AO FORUM BRASILEIRO DE ENSINO DE CINEMA E AUDIOVISUAL (FORCINE)</t>
  </si>
  <si>
    <t>0101</t>
  </si>
  <si>
    <t>CONTRIBUICAO A FEDERACAO DO ESPORTE UNIVERSITARIO DO DISTRITO FEDERAL (FESU)</t>
  </si>
  <si>
    <t>00UU</t>
  </si>
  <si>
    <t>0001</t>
  </si>
  <si>
    <t>CONTRIBUICAO A AGENCIA UNIVERSITARIA DA FRANCOFONIA (AUF)</t>
  </si>
  <si>
    <t>CONTRIBUICAO A ASSOCIACAO DAS UNIVERSIDADES DE LINGUA PORTUGUESA (AULP)</t>
  </si>
  <si>
    <t>CONTRIBUICAO A ASSOCIACAO GRUPO DE TORDESILHAS DE UNIVERSIDADES</t>
  </si>
  <si>
    <t>0005</t>
  </si>
  <si>
    <t>CONTRIBUICAO A ASSOCIACAO DE UNIVERSIDADES GRUPO MONTEVIDEO (AUGM)</t>
  </si>
  <si>
    <t>0024</t>
  </si>
  <si>
    <t>CONTRIBUICAO AO CONSELHO LATINO-AMERICANO DE CIENCIAS SOCIAIS (CLACSO)</t>
  </si>
  <si>
    <t>0045</t>
  </si>
  <si>
    <t>CONTRIBUICAO AO INTERNATIONAL SEISMOLOGICAL CENTRE (ISC)</t>
  </si>
  <si>
    <t>0051</t>
  </si>
  <si>
    <t>CONTRIBUICAO A ASSOCIACAO FORUM DA GESTAO DO ENSINO SUPERIOR NOS PAISES E REGIOES DE LINGUA PORTUGUESA (FORGES)</t>
  </si>
  <si>
    <t>0052</t>
  </si>
  <si>
    <t>CONTRIBUICAO A NETWORK OF INTERNATIONAL BUSINESS SCHOOLS (NIBS)</t>
  </si>
  <si>
    <t>0054</t>
  </si>
  <si>
    <t>CONTRIBUICAO A INTERNATIONAL PUBLIC POLICY ASSOCIATION (IPPA)</t>
  </si>
  <si>
    <t>20GK</t>
  </si>
  <si>
    <t>FOMENTO AS ACOES DE GRADUACAO, POS-GRADUACAO, ENSINO, PESQUISA E EXTENSAO - DESPESAS DIVERSAS</t>
  </si>
  <si>
    <t>CONCESSAO DE BOLSAS DE PESQUISA, EXTENSAO E MONITORIA AOS ESTUDANTES</t>
  </si>
  <si>
    <t>FOMENTO A INTEGRACAO DA EXTENSAO AOS CURRICULOS</t>
  </si>
  <si>
    <t>3050</t>
  </si>
  <si>
    <t>FUNCIONAMENTO DOS HOSPITAIS VETERINARIOS</t>
  </si>
  <si>
    <t>21D7</t>
  </si>
  <si>
    <t>APOIO A EDUCACAO A DISTANCIA</t>
  </si>
  <si>
    <t>21GS</t>
  </si>
  <si>
    <t>INTERNACIONALIZACAO DA EDUCACAO SUPERIOR - DESPESAS DIVERSAS</t>
  </si>
  <si>
    <t>IDIOMAS SEM FRONTEIRAS</t>
  </si>
  <si>
    <t>4002</t>
  </si>
  <si>
    <t>PROGRAMA INCLUIR - ACESSIBILIDADE NA EDUCACAO SUPERIOR</t>
  </si>
  <si>
    <t>PNAES - DECRETO N. 7.234/2010 - DESPESAS DIVERSAS</t>
  </si>
  <si>
    <t>PNAES - DECRETO N. 7.234/2010 - AUXILIO FINANCEIRO A ESTUDANTE</t>
  </si>
  <si>
    <t>PROMISAES - PORTARIA MEC N. 745/2012 - AUXILIO FINANCEIRO A ESTUDANTE ESTRANGEIRO BENEFICIARIO DO PEC-G</t>
  </si>
  <si>
    <t>4572</t>
  </si>
  <si>
    <t>CAPACITACAO DE SERVIDORES PUBLICOS FEDERAIS EM PROCESSO DE QUALIFICACAO E REQUALIFICACAO</t>
  </si>
  <si>
    <t>APOIO AOS MUSEUS DAS UNIVERSIDADES FEDERAIS</t>
  </si>
  <si>
    <t>6</t>
  </si>
  <si>
    <t>DESPESA DISCRICIONARIA DECORRENTE DE EMENDA INDIVIDUAL</t>
  </si>
  <si>
    <t>7</t>
  </si>
  <si>
    <t>DESPESA DISCRICIONARIA DECORRENTE DE EMENDA DE BANCADA</t>
  </si>
  <si>
    <t>3008</t>
  </si>
  <si>
    <t>Receita Realizada da UnB</t>
  </si>
  <si>
    <t>RECEITA ORCAMENTARIA (LIQUIDA)</t>
  </si>
  <si>
    <t>Total receita  (fev - jul + set)</t>
  </si>
  <si>
    <t>Média</t>
  </si>
  <si>
    <t>Estimativa de Total anual (média)</t>
  </si>
  <si>
    <t>Natureza Receita</t>
  </si>
  <si>
    <t>JAN/2025</t>
  </si>
  <si>
    <t>FEV/2025</t>
  </si>
  <si>
    <t>MAR/2025</t>
  </si>
  <si>
    <t>13110111</t>
  </si>
  <si>
    <t>ALUGUEIS E ARRENDAMENTOS-PRINCIPAL</t>
  </si>
  <si>
    <t>13110112</t>
  </si>
  <si>
    <t>ALUGUEIS E ARRENDAMENTOS-MULTAS E JUROS</t>
  </si>
  <si>
    <t>13210101</t>
  </si>
  <si>
    <t>REMUNERACAO DE DEPOSITOS BANCARIOS-PRINCIPAL</t>
  </si>
  <si>
    <t>13999901</t>
  </si>
  <si>
    <t>OUTRAS RECEITAS PATRIMONIAIS-PRINCIPAL</t>
  </si>
  <si>
    <t>14110101</t>
  </si>
  <si>
    <t>RECEITA AGROPECUARIA-PRINCIPAL</t>
  </si>
  <si>
    <t>16110101</t>
  </si>
  <si>
    <t>SERV.ADMINISTRAT.E COMERCIAIS GERAIS-PRINC.</t>
  </si>
  <si>
    <t>16110102</t>
  </si>
  <si>
    <t>SERV.ADMINISTRAT.E COMERCIAIS GERAIS-MUL.JUR.</t>
  </si>
  <si>
    <t>16110201</t>
  </si>
  <si>
    <t>INSCR.EM CONCURSOS E PROC.SELETIVOS-PRINCIPAL</t>
  </si>
  <si>
    <t>16999901</t>
  </si>
  <si>
    <t>OUTROS SERVICOS-PRINCIPAL</t>
  </si>
  <si>
    <t>19110901</t>
  </si>
  <si>
    <t>MULTAS E JUROS PREVISTOS EM CONTRATOS-PRINC.</t>
  </si>
  <si>
    <t>19110902</t>
  </si>
  <si>
    <t>MULTAS E JUROS PREVISTOS EM CONTRATOS-MUL.JUR</t>
  </si>
  <si>
    <t>19220631</t>
  </si>
  <si>
    <t>RESTIT.DESP.PRIMARIAS EX.ANTERIORES-PRINC.</t>
  </si>
  <si>
    <t>19229901</t>
  </si>
  <si>
    <t>OUTRAS RESTITUICOES-PRINCIPAL</t>
  </si>
  <si>
    <t>76110201</t>
  </si>
  <si>
    <t>INSC.CONCURSOS E PROC.SELETIVOS-PRINC.-INTRA</t>
  </si>
  <si>
    <t>22130101</t>
  </si>
  <si>
    <t>ALIENACAO DE BENS MOVEIS E SEMOVENTES-PRINC.</t>
  </si>
  <si>
    <t>Fonte: Tesouro Gerencial.</t>
  </si>
  <si>
    <t>Conta Contábil: 899910802</t>
  </si>
  <si>
    <t>Mês exceto 1051</t>
  </si>
  <si>
    <t>LOA</t>
  </si>
  <si>
    <t>receitas cebraspe</t>
  </si>
  <si>
    <t>previsão 2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</si>
</sst>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\ ;&quot; (&quot;#,##0.00\);\-#\ ;@\ "/>
    <numFmt numFmtId="165" formatCode="#,##0.00\ ;\-#,##0.00\ ;\-#\ ;@\ "/>
    <numFmt numFmtId="166" formatCode="&quot;R$ &quot;#,##0.00"/>
    <numFmt numFmtId="167" formatCode="d/m/yyyy"/>
    <numFmt numFmtId="168" formatCode="* #,##0.00\ ;\-* #,##0.00\ ;* \-#\ ;@\ "/>
    <numFmt numFmtId="169" formatCode="_-* #,##0.00_-;\-* #,##0.00_-;_-* \-??_-;_-@_-"/>
    <numFmt numFmtId="170" formatCode="#,##0.00_);\(#,##0.00\)"/>
    <numFmt numFmtId="171" formatCode="#,##0.00\ ;\(#,##0.00\)"/>
    <numFmt numFmtId="172" formatCode="#,##0\ ;\-#,##0\ ;\-#\ ;@\ "/>
  </numFmts>
  <fonts count="39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CC0000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66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24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000EE"/>
      <name val="Calibri"/>
      <family val="2"/>
      <charset val="1"/>
    </font>
    <font>
      <sz val="11"/>
      <color rgb="FF9966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333333"/>
      <name val="Calibri"/>
      <family val="2"/>
      <charset val="1"/>
    </font>
    <font>
      <b/>
      <i/>
      <u/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u/>
      <sz val="14"/>
      <color rgb="FF000000"/>
      <name val="Calibri"/>
      <family val="2"/>
      <charset val="1"/>
    </font>
    <font>
      <sz val="11"/>
      <name val="Calibri"/>
      <family val="2"/>
      <charset val="1"/>
    </font>
    <font>
      <sz val="8"/>
      <color rgb="FF25396E"/>
      <name val="Arial"/>
      <family val="2"/>
      <charset val="1"/>
    </font>
    <font>
      <b/>
      <sz val="8"/>
      <name val="Arial"/>
      <family val="2"/>
      <charset val="1"/>
    </font>
    <font>
      <i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8"/>
      <color rgb="FFFFFFFF"/>
      <name val="Verdana"/>
      <family val="2"/>
      <charset val="1"/>
    </font>
    <font>
      <sz val="10"/>
      <name val="Verdana"/>
      <family val="2"/>
      <charset val="1"/>
    </font>
    <font>
      <b/>
      <sz val="11"/>
      <color rgb="FFFF0000"/>
      <name val="Calibri"/>
      <family val="2"/>
      <charset val="1"/>
    </font>
    <font>
      <b/>
      <sz val="11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b/>
      <sz val="8"/>
      <color rgb="FF0B428E"/>
      <name val="Arial"/>
      <family val="2"/>
      <charset val="1"/>
    </font>
    <font>
      <sz val="8"/>
      <color rgb="FF000000"/>
      <name val="Arial"/>
      <charset val="1"/>
    </font>
    <font>
      <sz val="8"/>
      <color rgb="FF25396E"/>
      <name val="Arial"/>
      <charset val="1"/>
    </font>
    <font>
      <sz val="8"/>
      <color rgb="FF000000"/>
      <name val="Calibri"/>
      <family val="2"/>
      <charset val="1"/>
    </font>
    <font>
      <b/>
      <u/>
      <sz val="12"/>
      <color rgb="FF000000"/>
      <name val="Calibri"/>
      <family val="2"/>
      <charset val="1"/>
    </font>
    <font>
      <b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8"/>
      <color rgb="FF25396E"/>
      <name val="Arial"/>
    </font>
    <font>
      <sz val="8"/>
      <color rgb="FF000000"/>
      <name val="Arial"/>
    </font>
    <font>
      <sz val="8"/>
      <name val="Calibri"/>
      <family val="2"/>
      <charset val="1"/>
    </font>
    <font>
      <b/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339966"/>
      </patternFill>
    </fill>
    <fill>
      <patternFill patternType="solid">
        <fgColor rgb="FFDDDDDD"/>
        <bgColor rgb="FFDFDFD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D7E4BD"/>
      </patternFill>
    </fill>
    <fill>
      <patternFill patternType="solid">
        <fgColor rgb="FFFFFFCC"/>
        <bgColor rgb="FFFDEADA"/>
      </patternFill>
    </fill>
    <fill>
      <patternFill patternType="solid">
        <fgColor rgb="FFD7E4BD"/>
        <bgColor rgb="FFDDDDDD"/>
      </patternFill>
    </fill>
    <fill>
      <patternFill patternType="solid">
        <fgColor rgb="FFB7DEE8"/>
        <bgColor rgb="FFC6D9F1"/>
      </patternFill>
    </fill>
    <fill>
      <patternFill patternType="solid">
        <fgColor rgb="FFFFFF00"/>
        <bgColor rgb="FFFFFF00"/>
      </patternFill>
    </fill>
    <fill>
      <patternFill patternType="solid">
        <fgColor rgb="FFC4BD97"/>
        <bgColor rgb="FFC0C0C0"/>
      </patternFill>
    </fill>
    <fill>
      <patternFill patternType="solid">
        <fgColor rgb="FF376092"/>
        <bgColor rgb="FF0B428E"/>
      </patternFill>
    </fill>
    <fill>
      <patternFill patternType="solid">
        <fgColor rgb="FFC6D9F1"/>
        <bgColor rgb="FFB7DEE8"/>
      </patternFill>
    </fill>
    <fill>
      <patternFill patternType="solid">
        <fgColor rgb="FFFDEADA"/>
        <bgColor rgb="FFEEECE1"/>
      </patternFill>
    </fill>
    <fill>
      <patternFill patternType="solid">
        <fgColor rgb="FFFFFFFF"/>
        <bgColor rgb="FFF0F0F0"/>
      </patternFill>
    </fill>
    <fill>
      <patternFill patternType="solid">
        <fgColor rgb="FFEEECE1"/>
        <bgColor rgb="FFF0F0F0"/>
      </patternFill>
    </fill>
    <fill>
      <patternFill patternType="solid">
        <fgColor rgb="FFDFDFDF"/>
        <bgColor rgb="FFDDDDDD"/>
      </patternFill>
    </fill>
    <fill>
      <patternFill patternType="solid">
        <fgColor rgb="FFF0F0F0"/>
        <bgColor rgb="FFEEECE1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29">
    <xf numFmtId="0" fontId="0" fillId="0" borderId="0"/>
    <xf numFmtId="168" fontId="34" fillId="0" borderId="0" applyBorder="0" applyProtection="0"/>
    <xf numFmtId="9" fontId="34" fillId="0" borderId="0" applyBorder="0" applyProtection="0"/>
    <xf numFmtId="0" fontId="1" fillId="2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0" borderId="0" applyBorder="0" applyProtection="0"/>
    <xf numFmtId="0" fontId="3" fillId="5" borderId="0" applyBorder="0" applyProtection="0"/>
    <xf numFmtId="0" fontId="1" fillId="6" borderId="0" applyBorder="0" applyProtection="0"/>
    <xf numFmtId="0" fontId="4" fillId="0" borderId="0" applyBorder="0" applyProtection="0"/>
    <xf numFmtId="0" fontId="5" fillId="7" borderId="0" applyBorder="0" applyProtection="0"/>
    <xf numFmtId="0" fontId="6" fillId="0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8" borderId="0" applyBorder="0" applyProtection="0"/>
    <xf numFmtId="0" fontId="11" fillId="0" borderId="0" applyBorder="0" applyProtection="0"/>
    <xf numFmtId="0" fontId="34" fillId="0" borderId="0"/>
    <xf numFmtId="0" fontId="11" fillId="0" borderId="0"/>
    <xf numFmtId="0" fontId="11" fillId="0" borderId="0"/>
    <xf numFmtId="0" fontId="12" fillId="8" borderId="1" applyProtection="0"/>
    <xf numFmtId="0" fontId="13" fillId="0" borderId="0" applyBorder="0" applyProtection="0"/>
    <xf numFmtId="164" fontId="34" fillId="0" borderId="0" applyBorder="0" applyProtection="0"/>
    <xf numFmtId="165" fontId="34" fillId="0" borderId="0" applyBorder="0" applyProtection="0"/>
    <xf numFmtId="0" fontId="34" fillId="0" borderId="0" applyBorder="0" applyProtection="0"/>
    <xf numFmtId="0" fontId="34" fillId="0" borderId="0" applyBorder="0" applyProtection="0"/>
    <xf numFmtId="165" fontId="34" fillId="0" borderId="0" applyBorder="0" applyProtection="0"/>
    <xf numFmtId="0" fontId="3" fillId="0" borderId="0" applyBorder="0" applyProtection="0"/>
    <xf numFmtId="165" fontId="34" fillId="0" borderId="0" applyBorder="0" applyProtection="0"/>
  </cellStyleXfs>
  <cellXfs count="167">
    <xf numFmtId="0" fontId="0" fillId="0" borderId="0" xfId="0"/>
    <xf numFmtId="169" fontId="34" fillId="0" borderId="3" xfId="28" applyNumberFormat="1" applyBorder="1" applyAlignment="1" applyProtection="1">
      <alignment horizontal="right" vertical="center"/>
    </xf>
    <xf numFmtId="169" fontId="34" fillId="0" borderId="3" xfId="28" applyNumberFormat="1" applyBorder="1" applyAlignment="1" applyProtection="1">
      <alignment vertical="center"/>
    </xf>
    <xf numFmtId="166" fontId="0" fillId="0" borderId="0" xfId="0" applyNumberFormat="1" applyAlignment="1">
      <alignment vertical="center"/>
    </xf>
    <xf numFmtId="166" fontId="0" fillId="0" borderId="0" xfId="0" applyNumberFormat="1" applyAlignment="1">
      <alignment horizontal="center" vertical="center"/>
    </xf>
    <xf numFmtId="166" fontId="0" fillId="11" borderId="3" xfId="0" applyNumberFormat="1" applyFill="1" applyBorder="1" applyAlignment="1">
      <alignment horizontal="center" vertical="center"/>
    </xf>
    <xf numFmtId="166" fontId="0" fillId="12" borderId="3" xfId="0" applyNumberFormat="1" applyFill="1" applyBorder="1" applyAlignment="1">
      <alignment horizontal="center" vertical="center"/>
    </xf>
    <xf numFmtId="166" fontId="0" fillId="0" borderId="3" xfId="0" applyNumberFormat="1" applyBorder="1" applyAlignment="1">
      <alignment vertical="center"/>
    </xf>
    <xf numFmtId="167" fontId="0" fillId="0" borderId="3" xfId="0" applyNumberFormat="1" applyBorder="1" applyAlignment="1">
      <alignment horizontal="center" vertical="center"/>
    </xf>
    <xf numFmtId="166" fontId="0" fillId="0" borderId="3" xfId="0" applyNumberFormat="1" applyBorder="1" applyAlignment="1">
      <alignment vertical="center" wrapText="1"/>
    </xf>
    <xf numFmtId="166" fontId="34" fillId="0" borderId="3" xfId="1" applyNumberFormat="1" applyBorder="1" applyAlignment="1" applyProtection="1">
      <alignment horizontal="right" vertical="center"/>
    </xf>
    <xf numFmtId="166" fontId="34" fillId="0" borderId="3" xfId="1" applyNumberFormat="1" applyBorder="1" applyAlignment="1" applyProtection="1">
      <alignment horizontal="center" vertical="center"/>
    </xf>
    <xf numFmtId="166" fontId="2" fillId="9" borderId="3" xfId="1" applyNumberFormat="1" applyFont="1" applyFill="1" applyBorder="1" applyAlignment="1" applyProtection="1">
      <alignment horizontal="right" vertical="center"/>
    </xf>
    <xf numFmtId="166" fontId="34" fillId="0" borderId="4" xfId="28" applyNumberFormat="1" applyBorder="1" applyAlignment="1" applyProtection="1">
      <alignment vertical="center"/>
    </xf>
    <xf numFmtId="10" fontId="34" fillId="11" borderId="0" xfId="2" applyNumberFormat="1" applyFill="1" applyBorder="1" applyAlignment="1" applyProtection="1">
      <alignment horizontal="center"/>
    </xf>
    <xf numFmtId="10" fontId="34" fillId="11" borderId="0" xfId="2" applyNumberFormat="1" applyFill="1" applyBorder="1" applyProtection="1"/>
    <xf numFmtId="10" fontId="34" fillId="11" borderId="0" xfId="2" applyNumberFormat="1" applyFill="1" applyBorder="1" applyAlignment="1" applyProtection="1">
      <alignment horizontal="center" vertical="center"/>
    </xf>
    <xf numFmtId="166" fontId="14" fillId="0" borderId="0" xfId="0" applyNumberFormat="1" applyFont="1" applyAlignment="1">
      <alignment vertical="center"/>
    </xf>
    <xf numFmtId="166" fontId="0" fillId="0" borderId="0" xfId="0" applyNumberFormat="1" applyAlignment="1">
      <alignment vertical="center" wrapText="1"/>
    </xf>
    <xf numFmtId="166" fontId="0" fillId="0" borderId="0" xfId="0" applyNumberFormat="1"/>
    <xf numFmtId="166" fontId="34" fillId="0" borderId="0" xfId="28" applyNumberFormat="1" applyBorder="1" applyAlignment="1" applyProtection="1">
      <alignment vertical="center"/>
    </xf>
    <xf numFmtId="166" fontId="34" fillId="0" borderId="0" xfId="2" applyNumberFormat="1" applyBorder="1" applyProtection="1"/>
    <xf numFmtId="166" fontId="34" fillId="0" borderId="0" xfId="1" applyNumberFormat="1" applyBorder="1" applyProtection="1"/>
    <xf numFmtId="166" fontId="2" fillId="0" borderId="0" xfId="0" applyNumberFormat="1" applyFont="1" applyAlignment="1">
      <alignment vertical="center"/>
    </xf>
    <xf numFmtId="166" fontId="2" fillId="0" borderId="3" xfId="0" applyNumberFormat="1" applyFont="1" applyBorder="1" applyAlignment="1">
      <alignment vertical="center"/>
    </xf>
    <xf numFmtId="169" fontId="2" fillId="0" borderId="5" xfId="28" applyNumberFormat="1" applyFont="1" applyBorder="1" applyAlignment="1" applyProtection="1">
      <alignment vertical="center"/>
    </xf>
    <xf numFmtId="166" fontId="1" fillId="13" borderId="3" xfId="0" applyNumberFormat="1" applyFont="1" applyFill="1" applyBorder="1" applyAlignment="1">
      <alignment vertical="center"/>
    </xf>
    <xf numFmtId="166" fontId="1" fillId="13" borderId="5" xfId="0" applyNumberFormat="1" applyFont="1" applyFill="1" applyBorder="1" applyAlignment="1">
      <alignment horizontal="center" vertical="center" wrapText="1"/>
    </xf>
    <xf numFmtId="166" fontId="1" fillId="13" borderId="3" xfId="0" applyNumberFormat="1" applyFont="1" applyFill="1" applyBorder="1" applyAlignment="1">
      <alignment horizontal="center" vertical="center" wrapText="1"/>
    </xf>
    <xf numFmtId="166" fontId="2" fillId="14" borderId="3" xfId="0" applyNumberFormat="1" applyFont="1" applyFill="1" applyBorder="1" applyAlignment="1">
      <alignment vertical="center"/>
    </xf>
    <xf numFmtId="169" fontId="2" fillId="14" borderId="5" xfId="0" applyNumberFormat="1" applyFont="1" applyFill="1" applyBorder="1" applyAlignment="1">
      <alignment vertical="center"/>
    </xf>
    <xf numFmtId="10" fontId="2" fillId="14" borderId="5" xfId="0" applyNumberFormat="1" applyFont="1" applyFill="1" applyBorder="1" applyAlignment="1">
      <alignment horizontal="center" vertical="center"/>
    </xf>
    <xf numFmtId="166" fontId="2" fillId="11" borderId="3" xfId="0" applyNumberFormat="1" applyFont="1" applyFill="1" applyBorder="1" applyAlignment="1">
      <alignment vertical="center"/>
    </xf>
    <xf numFmtId="166" fontId="2" fillId="11" borderId="3" xfId="28" applyNumberFormat="1" applyFont="1" applyFill="1" applyBorder="1" applyAlignment="1" applyProtection="1">
      <alignment horizontal="right" vertical="center"/>
    </xf>
    <xf numFmtId="166" fontId="2" fillId="15" borderId="3" xfId="0" applyNumberFormat="1" applyFont="1" applyFill="1" applyBorder="1" applyAlignment="1">
      <alignment vertical="center"/>
    </xf>
    <xf numFmtId="169" fontId="2" fillId="15" borderId="5" xfId="28" applyNumberFormat="1" applyFont="1" applyFill="1" applyBorder="1" applyAlignment="1" applyProtection="1">
      <alignment vertical="center"/>
    </xf>
    <xf numFmtId="10" fontId="2" fillId="15" borderId="3" xfId="2" applyNumberFormat="1" applyFont="1" applyFill="1" applyBorder="1" applyAlignment="1" applyProtection="1">
      <alignment horizontal="center" vertical="center"/>
    </xf>
    <xf numFmtId="169" fontId="2" fillId="15" borderId="3" xfId="28" applyNumberFormat="1" applyFont="1" applyFill="1" applyBorder="1" applyAlignment="1" applyProtection="1">
      <alignment vertical="center"/>
    </xf>
    <xf numFmtId="166" fontId="16" fillId="0" borderId="3" xfId="0" applyNumberFormat="1" applyFont="1" applyBorder="1" applyAlignment="1">
      <alignment vertical="center"/>
    </xf>
    <xf numFmtId="169" fontId="34" fillId="0" borderId="5" xfId="28" applyNumberFormat="1" applyBorder="1" applyAlignment="1" applyProtection="1">
      <alignment vertical="center"/>
    </xf>
    <xf numFmtId="166" fontId="17" fillId="0" borderId="0" xfId="0" applyNumberFormat="1" applyFont="1" applyAlignment="1">
      <alignment horizontal="left" vertical="center" wrapText="1"/>
    </xf>
    <xf numFmtId="166" fontId="16" fillId="0" borderId="6" xfId="0" applyNumberFormat="1" applyFont="1" applyBorder="1" applyAlignment="1">
      <alignment vertical="center"/>
    </xf>
    <xf numFmtId="169" fontId="34" fillId="0" borderId="7" xfId="28" applyNumberFormat="1" applyBorder="1" applyAlignment="1" applyProtection="1">
      <alignment vertical="center"/>
    </xf>
    <xf numFmtId="166" fontId="0" fillId="0" borderId="8" xfId="0" applyNumberFormat="1" applyBorder="1" applyAlignment="1">
      <alignment vertical="center"/>
    </xf>
    <xf numFmtId="166" fontId="18" fillId="0" borderId="0" xfId="0" applyNumberFormat="1" applyFont="1" applyAlignment="1">
      <alignment horizontal="right" vertical="center" wrapText="1"/>
    </xf>
    <xf numFmtId="169" fontId="16" fillId="0" borderId="5" xfId="28" applyNumberFormat="1" applyFont="1" applyBorder="1" applyAlignment="1" applyProtection="1">
      <alignment vertical="center"/>
    </xf>
    <xf numFmtId="166" fontId="17" fillId="0" borderId="0" xfId="0" applyNumberFormat="1" applyFont="1" applyAlignment="1">
      <alignment horizontal="right" vertical="center" wrapText="1"/>
    </xf>
    <xf numFmtId="169" fontId="34" fillId="16" borderId="5" xfId="28" applyNumberFormat="1" applyFill="1" applyBorder="1" applyAlignment="1" applyProtection="1">
      <alignment vertical="center"/>
    </xf>
    <xf numFmtId="10" fontId="34" fillId="0" borderId="3" xfId="2" applyNumberFormat="1" applyBorder="1" applyAlignment="1" applyProtection="1">
      <alignment horizontal="center" vertical="center"/>
    </xf>
    <xf numFmtId="169" fontId="34" fillId="16" borderId="3" xfId="28" applyNumberFormat="1" applyFill="1" applyBorder="1" applyAlignment="1" applyProtection="1">
      <alignment vertical="center"/>
    </xf>
    <xf numFmtId="166" fontId="0" fillId="0" borderId="4" xfId="0" applyNumberFormat="1" applyBorder="1" applyAlignment="1">
      <alignment vertical="center" wrapText="1"/>
    </xf>
    <xf numFmtId="10" fontId="0" fillId="0" borderId="4" xfId="0" applyNumberFormat="1" applyBorder="1" applyAlignment="1">
      <alignment vertical="center" wrapText="1"/>
    </xf>
    <xf numFmtId="166" fontId="19" fillId="0" borderId="0" xfId="0" applyNumberFormat="1" applyFont="1" applyAlignment="1">
      <alignment vertical="center"/>
    </xf>
    <xf numFmtId="169" fontId="0" fillId="0" borderId="0" xfId="0" applyNumberFormat="1" applyAlignment="1">
      <alignment vertical="center"/>
    </xf>
    <xf numFmtId="169" fontId="34" fillId="0" borderId="0" xfId="2" applyNumberFormat="1" applyBorder="1" applyProtection="1"/>
    <xf numFmtId="169" fontId="2" fillId="14" borderId="5" xfId="0" applyNumberFormat="1" applyFont="1" applyFill="1" applyBorder="1" applyAlignment="1">
      <alignment horizontal="right" vertical="center"/>
    </xf>
    <xf numFmtId="10" fontId="2" fillId="14" borderId="7" xfId="2" applyNumberFormat="1" applyFont="1" applyFill="1" applyBorder="1" applyAlignment="1" applyProtection="1">
      <alignment horizontal="center" vertical="center"/>
    </xf>
    <xf numFmtId="166" fontId="2" fillId="14" borderId="6" xfId="0" applyNumberFormat="1" applyFont="1" applyFill="1" applyBorder="1" applyAlignment="1">
      <alignment vertical="center"/>
    </xf>
    <xf numFmtId="169" fontId="2" fillId="14" borderId="7" xfId="28" applyNumberFormat="1" applyFont="1" applyFill="1" applyBorder="1" applyAlignment="1" applyProtection="1">
      <alignment horizontal="right" vertical="center"/>
    </xf>
    <xf numFmtId="169" fontId="2" fillId="14" borderId="7" xfId="28" applyNumberFormat="1" applyFont="1" applyFill="1" applyBorder="1" applyAlignment="1" applyProtection="1">
      <alignment vertical="center"/>
    </xf>
    <xf numFmtId="169" fontId="34" fillId="0" borderId="3" xfId="1" applyNumberFormat="1" applyBorder="1" applyAlignment="1" applyProtection="1">
      <alignment horizontal="right" vertical="center"/>
    </xf>
    <xf numFmtId="166" fontId="20" fillId="0" borderId="0" xfId="0" applyNumberFormat="1" applyFont="1" applyAlignment="1">
      <alignment vertical="center"/>
    </xf>
    <xf numFmtId="166" fontId="21" fillId="0" borderId="0" xfId="0" applyNumberFormat="1" applyFont="1" applyAlignment="1">
      <alignment horizontal="left" vertical="center" wrapText="1"/>
    </xf>
    <xf numFmtId="166" fontId="22" fillId="0" borderId="0" xfId="0" applyNumberFormat="1" applyFont="1" applyAlignment="1">
      <alignment vertical="center" wrapText="1"/>
    </xf>
    <xf numFmtId="169" fontId="34" fillId="16" borderId="3" xfId="28" applyNumberFormat="1" applyFill="1" applyBorder="1" applyAlignment="1" applyProtection="1">
      <alignment horizontal="right" vertical="center"/>
    </xf>
    <xf numFmtId="166" fontId="34" fillId="0" borderId="0" xfId="28" applyNumberFormat="1" applyBorder="1" applyAlignment="1" applyProtection="1">
      <alignment horizontal="center" vertical="center"/>
    </xf>
    <xf numFmtId="166" fontId="34" fillId="0" borderId="0" xfId="2" applyNumberFormat="1" applyBorder="1" applyAlignment="1" applyProtection="1">
      <alignment horizontal="center" vertical="center"/>
    </xf>
    <xf numFmtId="166" fontId="2" fillId="17" borderId="9" xfId="0" applyNumberFormat="1" applyFont="1" applyFill="1" applyBorder="1" applyAlignment="1">
      <alignment horizontal="center" vertical="center"/>
    </xf>
    <xf numFmtId="166" fontId="2" fillId="17" borderId="9" xfId="0" applyNumberFormat="1" applyFont="1" applyFill="1" applyBorder="1" applyAlignment="1">
      <alignment horizontal="center" vertical="center" wrapText="1"/>
    </xf>
    <xf numFmtId="166" fontId="23" fillId="17" borderId="9" xfId="0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 wrapText="1"/>
    </xf>
    <xf numFmtId="166" fontId="2" fillId="0" borderId="9" xfId="0" applyNumberFormat="1" applyFont="1" applyBorder="1" applyAlignment="1">
      <alignment horizontal="center" vertical="center" wrapText="1"/>
    </xf>
    <xf numFmtId="169" fontId="24" fillId="0" borderId="9" xfId="1" applyNumberFormat="1" applyFont="1" applyBorder="1" applyAlignment="1" applyProtection="1">
      <alignment horizontal="right" vertical="center" wrapText="1"/>
    </xf>
    <xf numFmtId="166" fontId="2" fillId="17" borderId="9" xfId="1" applyNumberFormat="1" applyFont="1" applyFill="1" applyBorder="1" applyAlignment="1" applyProtection="1">
      <alignment horizontal="center" vertical="center"/>
    </xf>
    <xf numFmtId="169" fontId="2" fillId="2" borderId="0" xfId="1" applyNumberFormat="1" applyFont="1" applyFill="1" applyBorder="1" applyAlignment="1" applyProtection="1">
      <alignment horizontal="right" vertical="center"/>
    </xf>
    <xf numFmtId="166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vertical="center" wrapText="1"/>
    </xf>
    <xf numFmtId="166" fontId="1" fillId="13" borderId="3" xfId="0" applyNumberFormat="1" applyFont="1" applyFill="1" applyBorder="1" applyAlignment="1">
      <alignment horizontal="center" vertical="center"/>
    </xf>
    <xf numFmtId="169" fontId="24" fillId="0" borderId="9" xfId="1" applyNumberFormat="1" applyFont="1" applyBorder="1" applyAlignment="1" applyProtection="1">
      <alignment horizontal="center" vertical="center" wrapText="1"/>
    </xf>
    <xf numFmtId="166" fontId="2" fillId="11" borderId="3" xfId="28" applyNumberFormat="1" applyFont="1" applyFill="1" applyBorder="1" applyAlignment="1" applyProtection="1">
      <alignment horizontal="center" vertical="center" wrapText="1"/>
    </xf>
    <xf numFmtId="166" fontId="2" fillId="14" borderId="3" xfId="0" applyNumberFormat="1" applyFont="1" applyFill="1" applyBorder="1" applyAlignment="1">
      <alignment horizontal="center" vertical="center"/>
    </xf>
    <xf numFmtId="169" fontId="2" fillId="14" borderId="3" xfId="1" applyNumberFormat="1" applyFont="1" applyFill="1" applyBorder="1" applyAlignment="1" applyProtection="1">
      <alignment horizontal="right" vertical="center" wrapText="1"/>
    </xf>
    <xf numFmtId="166" fontId="0" fillId="0" borderId="0" xfId="0" applyNumberFormat="1" applyAlignment="1">
      <alignment horizontal="right" vertical="center"/>
    </xf>
    <xf numFmtId="166" fontId="2" fillId="11" borderId="3" xfId="1" applyNumberFormat="1" applyFont="1" applyFill="1" applyBorder="1" applyProtection="1"/>
    <xf numFmtId="169" fontId="2" fillId="15" borderId="3" xfId="1" applyNumberFormat="1" applyFont="1" applyFill="1" applyBorder="1" applyAlignment="1" applyProtection="1">
      <alignment vertical="center"/>
    </xf>
    <xf numFmtId="169" fontId="34" fillId="0" borderId="3" xfId="1" applyNumberFormat="1" applyBorder="1" applyAlignment="1" applyProtection="1">
      <alignment vertical="center"/>
    </xf>
    <xf numFmtId="169" fontId="34" fillId="16" borderId="3" xfId="1" applyNumberFormat="1" applyFill="1" applyBorder="1" applyAlignment="1" applyProtection="1">
      <alignment vertical="center"/>
    </xf>
    <xf numFmtId="166" fontId="0" fillId="0" borderId="0" xfId="0" applyNumberFormat="1" applyAlignment="1">
      <alignment horizontal="left" vertical="center"/>
    </xf>
    <xf numFmtId="166" fontId="34" fillId="0" borderId="0" xfId="28" applyNumberFormat="1" applyBorder="1" applyAlignment="1" applyProtection="1">
      <alignment horizontal="right" vertical="center"/>
    </xf>
    <xf numFmtId="166" fontId="34" fillId="0" borderId="0" xfId="1" applyNumberFormat="1" applyBorder="1" applyAlignment="1" applyProtection="1">
      <alignment vertical="center"/>
    </xf>
    <xf numFmtId="166" fontId="34" fillId="0" borderId="0" xfId="1" applyNumberFormat="1" applyBorder="1" applyAlignment="1" applyProtection="1">
      <alignment horizontal="center" vertical="center"/>
    </xf>
    <xf numFmtId="166" fontId="20" fillId="0" borderId="0" xfId="0" applyNumberFormat="1" applyFont="1" applyAlignment="1">
      <alignment vertical="center" wrapText="1"/>
    </xf>
    <xf numFmtId="166" fontId="25" fillId="0" borderId="0" xfId="0" applyNumberFormat="1" applyFont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166" fontId="20" fillId="0" borderId="0" xfId="1" applyNumberFormat="1" applyFont="1" applyBorder="1" applyProtection="1"/>
    <xf numFmtId="166" fontId="25" fillId="0" borderId="0" xfId="0" applyNumberFormat="1" applyFont="1" applyAlignment="1">
      <alignment vertical="center"/>
    </xf>
    <xf numFmtId="166" fontId="26" fillId="0" borderId="0" xfId="0" applyNumberFormat="1" applyFont="1" applyAlignment="1">
      <alignment horizontal="center" vertical="center"/>
    </xf>
    <xf numFmtId="166" fontId="34" fillId="0" borderId="0" xfId="2" applyNumberFormat="1" applyBorder="1" applyAlignment="1" applyProtection="1">
      <alignment horizontal="center"/>
    </xf>
    <xf numFmtId="166" fontId="2" fillId="0" borderId="0" xfId="1" applyNumberFormat="1" applyFont="1" applyBorder="1" applyProtection="1"/>
    <xf numFmtId="166" fontId="2" fillId="0" borderId="0" xfId="2" applyNumberFormat="1" applyFont="1" applyBorder="1" applyAlignment="1" applyProtection="1">
      <alignment horizontal="center"/>
    </xf>
    <xf numFmtId="166" fontId="27" fillId="18" borderId="10" xfId="0" applyNumberFormat="1" applyFont="1" applyFill="1" applyBorder="1" applyAlignment="1">
      <alignment horizontal="left" vertical="center" wrapText="1"/>
    </xf>
    <xf numFmtId="166" fontId="27" fillId="18" borderId="10" xfId="0" applyNumberFormat="1" applyFont="1" applyFill="1" applyBorder="1" applyAlignment="1">
      <alignment horizontal="center" wrapText="1"/>
    </xf>
    <xf numFmtId="166" fontId="27" fillId="18" borderId="11" xfId="0" applyNumberFormat="1" applyFont="1" applyFill="1" applyBorder="1" applyAlignment="1">
      <alignment horizontal="center" wrapText="1"/>
    </xf>
    <xf numFmtId="166" fontId="27" fillId="18" borderId="12" xfId="0" applyNumberFormat="1" applyFont="1" applyFill="1" applyBorder="1" applyAlignment="1">
      <alignment horizontal="left" vertical="center" wrapText="1"/>
    </xf>
    <xf numFmtId="166" fontId="27" fillId="18" borderId="12" xfId="0" applyNumberFormat="1" applyFont="1" applyFill="1" applyBorder="1" applyAlignment="1">
      <alignment horizontal="center" wrapText="1"/>
    </xf>
    <xf numFmtId="166" fontId="27" fillId="18" borderId="13" xfId="0" applyNumberFormat="1" applyFont="1" applyFill="1" applyBorder="1" applyAlignment="1">
      <alignment horizontal="center" wrapText="1"/>
    </xf>
    <xf numFmtId="166" fontId="17" fillId="16" borderId="12" xfId="0" applyNumberFormat="1" applyFont="1" applyFill="1" applyBorder="1" applyAlignment="1">
      <alignment horizontal="left" vertical="center" wrapText="1"/>
    </xf>
    <xf numFmtId="170" fontId="28" fillId="16" borderId="12" xfId="0" applyNumberFormat="1" applyFont="1" applyFill="1" applyBorder="1" applyAlignment="1">
      <alignment horizontal="right" vertical="center"/>
    </xf>
    <xf numFmtId="170" fontId="28" fillId="16" borderId="13" xfId="0" applyNumberFormat="1" applyFont="1" applyFill="1" applyBorder="1" applyAlignment="1">
      <alignment horizontal="right" vertical="center"/>
    </xf>
    <xf numFmtId="166" fontId="29" fillId="16" borderId="12" xfId="0" applyNumberFormat="1" applyFont="1" applyFill="1" applyBorder="1" applyAlignment="1">
      <alignment horizontal="left" vertical="center" wrapText="1"/>
    </xf>
    <xf numFmtId="0" fontId="29" fillId="16" borderId="12" xfId="0" applyFont="1" applyFill="1" applyBorder="1" applyAlignment="1">
      <alignment horizontal="left" vertical="center" wrapText="1"/>
    </xf>
    <xf numFmtId="166" fontId="27" fillId="19" borderId="12" xfId="0" applyNumberFormat="1" applyFont="1" applyFill="1" applyBorder="1" applyAlignment="1">
      <alignment horizontal="left" vertical="center"/>
    </xf>
    <xf numFmtId="166" fontId="27" fillId="19" borderId="12" xfId="0" applyNumberFormat="1" applyFont="1" applyFill="1" applyBorder="1" applyAlignment="1">
      <alignment horizontal="right" vertical="center"/>
    </xf>
    <xf numFmtId="0" fontId="30" fillId="0" borderId="0" xfId="0" applyFont="1"/>
    <xf numFmtId="0" fontId="31" fillId="0" borderId="0" xfId="0" applyFont="1"/>
    <xf numFmtId="0" fontId="27" fillId="18" borderId="11" xfId="0" applyFont="1" applyFill="1" applyBorder="1" applyAlignment="1">
      <alignment horizontal="center" vertical="center" wrapText="1"/>
    </xf>
    <xf numFmtId="0" fontId="26" fillId="0" borderId="0" xfId="0" applyFont="1"/>
    <xf numFmtId="0" fontId="2" fillId="0" borderId="0" xfId="0" applyFont="1"/>
    <xf numFmtId="0" fontId="27" fillId="18" borderId="12" xfId="0" applyFont="1" applyFill="1" applyBorder="1" applyAlignment="1">
      <alignment horizontal="center" wrapText="1"/>
    </xf>
    <xf numFmtId="0" fontId="27" fillId="18" borderId="13" xfId="0" applyFont="1" applyFill="1" applyBorder="1" applyAlignment="1">
      <alignment horizontal="center" wrapText="1"/>
    </xf>
    <xf numFmtId="17" fontId="27" fillId="18" borderId="13" xfId="0" applyNumberFormat="1" applyFont="1" applyFill="1" applyBorder="1" applyAlignment="1">
      <alignment horizontal="center" wrapText="1"/>
    </xf>
    <xf numFmtId="0" fontId="17" fillId="16" borderId="12" xfId="0" applyFont="1" applyFill="1" applyBorder="1" applyAlignment="1">
      <alignment horizontal="left" vertical="center" wrapText="1"/>
    </xf>
    <xf numFmtId="4" fontId="32" fillId="0" borderId="13" xfId="28" applyNumberFormat="1" applyFont="1" applyBorder="1" applyAlignment="1" applyProtection="1">
      <alignment horizontal="right" vertical="center"/>
    </xf>
    <xf numFmtId="171" fontId="33" fillId="0" borderId="0" xfId="0" applyNumberFormat="1" applyFont="1" applyAlignment="1">
      <alignment vertical="center"/>
    </xf>
    <xf numFmtId="4" fontId="33" fillId="0" borderId="0" xfId="0" applyNumberFormat="1" applyFont="1" applyAlignment="1">
      <alignment vertical="center"/>
    </xf>
    <xf numFmtId="4" fontId="30" fillId="0" borderId="0" xfId="0" applyNumberFormat="1" applyFont="1"/>
    <xf numFmtId="4" fontId="0" fillId="0" borderId="0" xfId="0" applyNumberFormat="1"/>
    <xf numFmtId="0" fontId="27" fillId="19" borderId="12" xfId="0" applyFont="1" applyFill="1" applyBorder="1" applyAlignment="1">
      <alignment horizontal="left" vertical="center"/>
    </xf>
    <xf numFmtId="4" fontId="27" fillId="19" borderId="12" xfId="28" applyNumberFormat="1" applyFont="1" applyFill="1" applyBorder="1" applyAlignment="1" applyProtection="1">
      <alignment horizontal="right" vertical="center"/>
    </xf>
    <xf numFmtId="165" fontId="30" fillId="0" borderId="0" xfId="28" applyFont="1" applyBorder="1" applyProtection="1"/>
    <xf numFmtId="3" fontId="30" fillId="0" borderId="0" xfId="0" applyNumberFormat="1" applyFont="1"/>
    <xf numFmtId="172" fontId="30" fillId="0" borderId="0" xfId="0" applyNumberFormat="1" applyFont="1"/>
    <xf numFmtId="168" fontId="34" fillId="0" borderId="0" xfId="1" applyBorder="1" applyProtection="1"/>
    <xf numFmtId="169" fontId="30" fillId="0" borderId="0" xfId="0" applyNumberFormat="1" applyFont="1"/>
    <xf numFmtId="4" fontId="26" fillId="20" borderId="0" xfId="0" applyNumberFormat="1" applyFont="1" applyFill="1"/>
    <xf numFmtId="0" fontId="35" fillId="21" borderId="12" xfId="0" applyFont="1" applyFill="1" applyBorder="1" applyAlignment="1">
      <alignment horizontal="left" vertical="center" wrapText="1"/>
    </xf>
    <xf numFmtId="170" fontId="36" fillId="21" borderId="12" xfId="0" applyNumberFormat="1" applyFont="1" applyFill="1" applyBorder="1" applyAlignment="1">
      <alignment horizontal="right" vertical="center"/>
    </xf>
    <xf numFmtId="170" fontId="36" fillId="21" borderId="13" xfId="0" applyNumberFormat="1" applyFont="1" applyFill="1" applyBorder="1" applyAlignment="1">
      <alignment horizontal="right" vertical="center"/>
    </xf>
    <xf numFmtId="166" fontId="0" fillId="10" borderId="3" xfId="0" applyNumberFormat="1" applyFill="1" applyBorder="1" applyAlignment="1">
      <alignment horizontal="center" vertical="center"/>
    </xf>
    <xf numFmtId="166" fontId="2" fillId="9" borderId="3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left" vertical="center"/>
    </xf>
    <xf numFmtId="166" fontId="0" fillId="9" borderId="3" xfId="0" applyNumberFormat="1" applyFill="1" applyBorder="1" applyAlignment="1">
      <alignment horizontal="center" vertical="center"/>
    </xf>
    <xf numFmtId="0" fontId="29" fillId="16" borderId="12" xfId="0" applyFont="1" applyFill="1" applyBorder="1" applyAlignment="1">
      <alignment horizontal="left" vertical="center" wrapText="1"/>
    </xf>
    <xf numFmtId="166" fontId="27" fillId="19" borderId="12" xfId="0" applyNumberFormat="1" applyFont="1" applyFill="1" applyBorder="1" applyAlignment="1">
      <alignment horizontal="left" vertical="center"/>
    </xf>
    <xf numFmtId="166" fontId="17" fillId="16" borderId="12" xfId="0" applyNumberFormat="1" applyFont="1" applyFill="1" applyBorder="1" applyAlignment="1">
      <alignment horizontal="left" vertical="center" wrapText="1"/>
    </xf>
    <xf numFmtId="166" fontId="27" fillId="18" borderId="10" xfId="0" applyNumberFormat="1" applyFont="1" applyFill="1" applyBorder="1" applyAlignment="1">
      <alignment horizontal="left" vertical="center" wrapText="1"/>
    </xf>
    <xf numFmtId="166" fontId="17" fillId="16" borderId="11" xfId="0" applyNumberFormat="1" applyFont="1" applyFill="1" applyBorder="1" applyAlignment="1">
      <alignment horizontal="center" vertical="center" wrapText="1"/>
    </xf>
    <xf numFmtId="169" fontId="2" fillId="17" borderId="9" xfId="0" applyNumberFormat="1" applyFont="1" applyFill="1" applyBorder="1" applyAlignment="1">
      <alignment horizontal="right" vertical="center" wrapText="1"/>
    </xf>
    <xf numFmtId="166" fontId="2" fillId="0" borderId="0" xfId="0" applyNumberFormat="1" applyFont="1" applyAlignment="1">
      <alignment horizontal="center" vertical="center"/>
    </xf>
    <xf numFmtId="169" fontId="0" fillId="0" borderId="3" xfId="0" applyNumberFormat="1" applyBorder="1" applyAlignment="1">
      <alignment horizontal="right" vertical="center"/>
    </xf>
    <xf numFmtId="169" fontId="34" fillId="0" borderId="3" xfId="1" applyNumberFormat="1" applyBorder="1" applyAlignment="1" applyProtection="1">
      <alignment horizontal="right" vertical="center"/>
    </xf>
    <xf numFmtId="10" fontId="34" fillId="0" borderId="3" xfId="2" applyNumberFormat="1" applyBorder="1" applyAlignment="1" applyProtection="1">
      <alignment horizontal="center" vertical="center"/>
    </xf>
    <xf numFmtId="169" fontId="34" fillId="0" borderId="3" xfId="28" applyNumberFormat="1" applyBorder="1" applyAlignment="1" applyProtection="1">
      <alignment vertical="center"/>
    </xf>
    <xf numFmtId="169" fontId="34" fillId="0" borderId="3" xfId="28" applyNumberFormat="1" applyBorder="1" applyAlignment="1" applyProtection="1">
      <alignment horizontal="right" vertical="center"/>
    </xf>
    <xf numFmtId="169" fontId="34" fillId="0" borderId="3" xfId="28" applyNumberFormat="1" applyBorder="1" applyAlignment="1" applyProtection="1">
      <alignment horizontal="center" vertical="center"/>
    </xf>
    <xf numFmtId="10" fontId="34" fillId="0" borderId="3" xfId="28" applyNumberFormat="1" applyBorder="1" applyAlignment="1" applyProtection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166" fontId="2" fillId="11" borderId="3" xfId="0" applyNumberFormat="1" applyFont="1" applyFill="1" applyBorder="1" applyAlignment="1">
      <alignment horizontal="center" vertical="center" wrapText="1"/>
    </xf>
    <xf numFmtId="169" fontId="34" fillId="0" borderId="6" xfId="28" applyNumberFormat="1" applyBorder="1" applyAlignment="1" applyProtection="1">
      <alignment vertical="center"/>
    </xf>
    <xf numFmtId="169" fontId="34" fillId="0" borderId="6" xfId="28" applyNumberFormat="1" applyBorder="1" applyAlignment="1" applyProtection="1">
      <alignment horizontal="right" vertical="center"/>
    </xf>
    <xf numFmtId="169" fontId="34" fillId="0" borderId="6" xfId="28" applyNumberFormat="1" applyBorder="1" applyAlignment="1" applyProtection="1">
      <alignment horizontal="center" vertical="center"/>
    </xf>
    <xf numFmtId="10" fontId="34" fillId="0" borderId="6" xfId="2" applyNumberFormat="1" applyBorder="1" applyAlignment="1" applyProtection="1">
      <alignment horizontal="center" vertical="center"/>
    </xf>
    <xf numFmtId="0" fontId="0" fillId="19" borderId="11" xfId="0" applyFill="1" applyBorder="1" applyAlignment="1"/>
    <xf numFmtId="0" fontId="27" fillId="18" borderId="10" xfId="0" applyFont="1" applyFill="1" applyBorder="1" applyAlignment="1">
      <alignment horizontal="center" vertical="center" wrapText="1"/>
    </xf>
    <xf numFmtId="0" fontId="27" fillId="18" borderId="11" xfId="0" applyFont="1" applyFill="1" applyBorder="1" applyAlignment="1">
      <alignment horizontal="left" vertical="center" wrapText="1"/>
    </xf>
    <xf numFmtId="0" fontId="17" fillId="16" borderId="12" xfId="0" applyFont="1" applyFill="1" applyBorder="1" applyAlignment="1">
      <alignment horizontal="left" vertical="center" wrapText="1"/>
    </xf>
    <xf numFmtId="0" fontId="27" fillId="18" borderId="11" xfId="0" applyFont="1" applyFill="1" applyBorder="1" applyAlignment="1">
      <alignment horizontal="center" vertical="center" wrapText="1"/>
    </xf>
  </cellXfs>
  <cellStyles count="29">
    <cellStyle name="Accent 1 5" xfId="3" xr:uid="{00000000-0005-0000-0000-000006000000}"/>
    <cellStyle name="Accent 2 6" xfId="4" xr:uid="{00000000-0005-0000-0000-000007000000}"/>
    <cellStyle name="Accent 3 7" xfId="5" xr:uid="{00000000-0005-0000-0000-000008000000}"/>
    <cellStyle name="Accent 4" xfId="6" xr:uid="{00000000-0005-0000-0000-000009000000}"/>
    <cellStyle name="Bad 8" xfId="7" xr:uid="{00000000-0005-0000-0000-00000A000000}"/>
    <cellStyle name="Error 9" xfId="8" xr:uid="{00000000-0005-0000-0000-00000B000000}"/>
    <cellStyle name="Excel Built-in Comma 10" xfId="28" xr:uid="{00000000-0005-0000-0000-00001F000000}"/>
    <cellStyle name="Footnote 11" xfId="9" xr:uid="{00000000-0005-0000-0000-00000C000000}"/>
    <cellStyle name="Good 12" xfId="10" xr:uid="{00000000-0005-0000-0000-00000D000000}"/>
    <cellStyle name="Heading 1 14" xfId="11" xr:uid="{00000000-0005-0000-0000-00000E000000}"/>
    <cellStyle name="Heading 13" xfId="12" xr:uid="{00000000-0005-0000-0000-00000F000000}"/>
    <cellStyle name="Heading 2 15" xfId="13" xr:uid="{00000000-0005-0000-0000-000010000000}"/>
    <cellStyle name="Hyperlink 16" xfId="14" xr:uid="{00000000-0005-0000-0000-000011000000}"/>
    <cellStyle name="Neutral 17" xfId="15" xr:uid="{00000000-0005-0000-0000-000012000000}"/>
    <cellStyle name="Normal" xfId="0" builtinId="0"/>
    <cellStyle name="Normal 2" xfId="16" xr:uid="{00000000-0005-0000-0000-000013000000}"/>
    <cellStyle name="Normal 3" xfId="17" xr:uid="{00000000-0005-0000-0000-000014000000}"/>
    <cellStyle name="Normal 4" xfId="18" xr:uid="{00000000-0005-0000-0000-000015000000}"/>
    <cellStyle name="Normal 5" xfId="19" xr:uid="{00000000-0005-0000-0000-000016000000}"/>
    <cellStyle name="Note 18" xfId="20" xr:uid="{00000000-0005-0000-0000-000017000000}"/>
    <cellStyle name="Porcentagem" xfId="2" builtinId="5"/>
    <cellStyle name="Result 19" xfId="21" xr:uid="{00000000-0005-0000-0000-000018000000}"/>
    <cellStyle name="Separador de milhares 6" xfId="22" xr:uid="{00000000-0005-0000-0000-000019000000}"/>
    <cellStyle name="Separador de milhares 6 2" xfId="23" xr:uid="{00000000-0005-0000-0000-00001A000000}"/>
    <cellStyle name="Status 20" xfId="24" xr:uid="{00000000-0005-0000-0000-00001B000000}"/>
    <cellStyle name="Text 21" xfId="25" xr:uid="{00000000-0005-0000-0000-00001C000000}"/>
    <cellStyle name="Vírgula" xfId="1" builtinId="3"/>
    <cellStyle name="Vírgula 2" xfId="26" xr:uid="{00000000-0005-0000-0000-00001D000000}"/>
    <cellStyle name="Warning 22" xfId="27" xr:uid="{00000000-0005-0000-0000-00001E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F0F0F0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CE1"/>
      <rgbColor rgb="FFCCFFCC"/>
      <rgbColor rgb="FFFDEADA"/>
      <rgbColor rgb="FFB7DEE8"/>
      <rgbColor rgb="FFDFDFDF"/>
      <rgbColor rgb="FFDDDDDD"/>
      <rgbColor rgb="FFFFCCCC"/>
      <rgbColor rgb="FF3366FF"/>
      <rgbColor rgb="FF33CCCC"/>
      <rgbColor rgb="FF99CC00"/>
      <rgbColor rgb="FFD7E4BD"/>
      <rgbColor rgb="FFFF9900"/>
      <rgbColor rgb="FFFF6600"/>
      <rgbColor rgb="FF376092"/>
      <rgbColor rgb="FFC4BD97"/>
      <rgbColor rgb="FF0B428E"/>
      <rgbColor rgb="FF339966"/>
      <rgbColor rgb="FF003300"/>
      <rgbColor rgb="FF333300"/>
      <rgbColor rgb="FF993300"/>
      <rgbColor rgb="FF993366"/>
      <rgbColor rgb="FF2539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abSelected="1" zoomScale="85" zoomScaleNormal="85" workbookViewId="0">
      <pane ySplit="4" topLeftCell="A5" activePane="bottomLeft" state="frozen"/>
      <selection pane="bottomLeft" activeCell="C18" sqref="C18"/>
    </sheetView>
  </sheetViews>
  <sheetFormatPr baseColWidth="10" defaultColWidth="9.33203125" defaultRowHeight="15" x14ac:dyDescent="0.2"/>
  <cols>
    <col min="1" max="1" width="15.33203125" style="3" customWidth="1"/>
    <col min="2" max="2" width="11.6640625" style="3" customWidth="1"/>
    <col min="3" max="3" width="70.5" style="3" customWidth="1"/>
    <col min="4" max="6" width="18.5" style="4" customWidth="1"/>
    <col min="7" max="7" width="32.5" style="4" customWidth="1"/>
    <col min="8" max="8" width="31.5" style="4" customWidth="1"/>
    <col min="9" max="10" width="18.5" style="4" customWidth="1"/>
    <col min="11" max="11" width="15.83203125" style="3" customWidth="1"/>
    <col min="12" max="12" width="13.33203125" style="3" customWidth="1"/>
    <col min="13" max="16384" width="9.33203125" style="3"/>
  </cols>
  <sheetData>
    <row r="1" spans="1:11" x14ac:dyDescent="0.2">
      <c r="A1" s="140" t="s">
        <v>0</v>
      </c>
      <c r="B1" s="140"/>
      <c r="C1" s="140"/>
    </row>
    <row r="2" spans="1:11" x14ac:dyDescent="0.2">
      <c r="A2" s="141" t="s">
        <v>1</v>
      </c>
      <c r="B2" s="141" t="s">
        <v>2</v>
      </c>
      <c r="C2" s="141" t="s">
        <v>3</v>
      </c>
      <c r="D2" s="138" t="s">
        <v>4</v>
      </c>
      <c r="E2" s="138"/>
      <c r="F2" s="138"/>
      <c r="G2" s="138"/>
      <c r="H2" s="138"/>
      <c r="I2" s="138"/>
      <c r="J2" s="138"/>
    </row>
    <row r="3" spans="1:11" x14ac:dyDescent="0.2">
      <c r="A3" s="141"/>
      <c r="B3" s="141"/>
      <c r="C3" s="141"/>
      <c r="D3" s="5" t="s">
        <v>5</v>
      </c>
      <c r="E3" s="5" t="s">
        <v>6</v>
      </c>
      <c r="F3" s="5" t="s">
        <v>7</v>
      </c>
      <c r="G3" s="5" t="s">
        <v>7</v>
      </c>
      <c r="H3" s="6" t="s">
        <v>8</v>
      </c>
      <c r="I3" s="6" t="s">
        <v>9</v>
      </c>
      <c r="J3" s="6" t="s">
        <v>10</v>
      </c>
    </row>
    <row r="4" spans="1:11" x14ac:dyDescent="0.2">
      <c r="A4" s="141"/>
      <c r="B4" s="141"/>
      <c r="C4" s="141"/>
      <c r="D4" s="5" t="s">
        <v>11</v>
      </c>
      <c r="E4" s="5" t="s">
        <v>12</v>
      </c>
      <c r="F4" s="5" t="s">
        <v>13</v>
      </c>
      <c r="G4" s="5">
        <v>3050</v>
      </c>
      <c r="H4" s="6" t="s">
        <v>12</v>
      </c>
      <c r="I4" s="6">
        <v>1051</v>
      </c>
      <c r="J4" s="6" t="s">
        <v>13</v>
      </c>
    </row>
    <row r="5" spans="1:11" ht="16" x14ac:dyDescent="0.2">
      <c r="A5" s="7" t="s">
        <v>14</v>
      </c>
      <c r="B5" s="8">
        <v>45742</v>
      </c>
      <c r="C5" s="9" t="s">
        <v>15</v>
      </c>
      <c r="D5" s="10">
        <f>K5*D68</f>
        <v>38204320.942073405</v>
      </c>
      <c r="E5" s="10"/>
      <c r="F5" s="10"/>
      <c r="G5" s="10"/>
      <c r="H5" s="10">
        <f>K5*H68</f>
        <v>2197573.0579265812</v>
      </c>
      <c r="I5" s="10"/>
      <c r="J5" s="10"/>
      <c r="K5" s="11">
        <v>40401894</v>
      </c>
    </row>
    <row r="6" spans="1:11" ht="32" x14ac:dyDescent="0.2">
      <c r="A6" s="7" t="s">
        <v>16</v>
      </c>
      <c r="B6" s="8">
        <v>45742</v>
      </c>
      <c r="C6" s="9" t="s">
        <v>17</v>
      </c>
      <c r="D6" s="10">
        <f>K6*D68</f>
        <v>1313343.4068441293</v>
      </c>
      <c r="E6" s="10"/>
      <c r="F6" s="10"/>
      <c r="G6" s="10"/>
      <c r="H6" s="10">
        <f>K6*H68</f>
        <v>75545.593155870156</v>
      </c>
      <c r="I6" s="10"/>
      <c r="J6" s="10"/>
      <c r="K6" s="11">
        <v>1388889</v>
      </c>
    </row>
    <row r="7" spans="1:11" ht="32" x14ac:dyDescent="0.2">
      <c r="A7" s="7" t="s">
        <v>18</v>
      </c>
      <c r="B7" s="8">
        <v>45742</v>
      </c>
      <c r="C7" s="9" t="s">
        <v>19</v>
      </c>
      <c r="D7" s="10"/>
      <c r="E7" s="10">
        <v>11838003</v>
      </c>
      <c r="F7" s="10"/>
      <c r="G7" s="10"/>
      <c r="H7" s="10"/>
      <c r="I7" s="10"/>
      <c r="J7" s="10"/>
    </row>
    <row r="8" spans="1:11" ht="16" x14ac:dyDescent="0.2">
      <c r="A8" s="7" t="s">
        <v>20</v>
      </c>
      <c r="B8" s="8">
        <v>45742</v>
      </c>
      <c r="C8" s="9" t="s">
        <v>21</v>
      </c>
      <c r="D8" s="10"/>
      <c r="E8" s="10"/>
      <c r="F8" s="10">
        <f>K8*F68</f>
        <v>19303828.635465074</v>
      </c>
      <c r="G8" s="10"/>
      <c r="H8" s="10"/>
      <c r="I8" s="10"/>
      <c r="J8" s="10">
        <f>K8*J68</f>
        <v>5154049.7445349256</v>
      </c>
      <c r="K8" s="3">
        <v>24457878.379999999</v>
      </c>
    </row>
    <row r="9" spans="1:11" ht="16" x14ac:dyDescent="0.2">
      <c r="A9" s="7" t="s">
        <v>22</v>
      </c>
      <c r="B9" s="8">
        <v>45749</v>
      </c>
      <c r="C9" s="9" t="s">
        <v>23</v>
      </c>
      <c r="D9" s="10"/>
      <c r="E9" s="10"/>
      <c r="F9" s="10">
        <f>K9*F68</f>
        <v>2002085.587540511</v>
      </c>
      <c r="G9" s="10"/>
      <c r="H9" s="10"/>
      <c r="I9" s="10"/>
      <c r="J9" s="10">
        <f>K9*J68</f>
        <v>534549.33245948912</v>
      </c>
      <c r="K9" s="3">
        <v>2536634.92</v>
      </c>
    </row>
    <row r="10" spans="1:11" ht="16" x14ac:dyDescent="0.2">
      <c r="A10" s="7" t="s">
        <v>24</v>
      </c>
      <c r="B10" s="8">
        <v>45756</v>
      </c>
      <c r="C10" s="9" t="s">
        <v>25</v>
      </c>
      <c r="D10" s="10"/>
      <c r="E10" s="10"/>
      <c r="F10" s="10">
        <f>K10*F68</f>
        <v>484702.21818463883</v>
      </c>
      <c r="G10" s="10"/>
      <c r="H10" s="10"/>
      <c r="I10" s="10"/>
      <c r="J10" s="10">
        <f>K10*J68</f>
        <v>129413.67181536122</v>
      </c>
      <c r="K10" s="3">
        <v>614115.89</v>
      </c>
    </row>
    <row r="11" spans="1:11" ht="16" x14ac:dyDescent="0.2">
      <c r="A11" s="7" t="s">
        <v>26</v>
      </c>
      <c r="B11" s="8">
        <v>45763</v>
      </c>
      <c r="C11" s="9" t="s">
        <v>27</v>
      </c>
      <c r="D11" s="10"/>
      <c r="E11" s="10"/>
      <c r="F11" s="10">
        <f>K11*F68</f>
        <v>1800710.5943895513</v>
      </c>
      <c r="G11" s="10"/>
      <c r="H11" s="10"/>
      <c r="I11" s="10"/>
      <c r="J11" s="10">
        <f>K11*J68</f>
        <v>480782.96561044874</v>
      </c>
      <c r="K11" s="3">
        <v>2281493.56</v>
      </c>
    </row>
    <row r="12" spans="1:11" ht="16" x14ac:dyDescent="0.2">
      <c r="A12" s="7" t="s">
        <v>28</v>
      </c>
      <c r="B12" s="8">
        <v>45770</v>
      </c>
      <c r="C12" s="9" t="s">
        <v>29</v>
      </c>
      <c r="D12" s="10"/>
      <c r="E12" s="10"/>
      <c r="F12" s="10">
        <f>K12*F68</f>
        <v>1775932.1941823866</v>
      </c>
      <c r="G12" s="10"/>
      <c r="H12" s="10"/>
      <c r="I12" s="10"/>
      <c r="J12" s="10">
        <f>K12*J68</f>
        <v>474167.22581761336</v>
      </c>
      <c r="K12" s="3">
        <v>2250099.42</v>
      </c>
    </row>
    <row r="13" spans="1:11" ht="32" x14ac:dyDescent="0.2">
      <c r="A13" s="7" t="s">
        <v>30</v>
      </c>
      <c r="B13" s="8">
        <v>45771</v>
      </c>
      <c r="C13" s="9" t="s">
        <v>31</v>
      </c>
      <c r="D13" s="10"/>
      <c r="E13" s="10">
        <v>5878207</v>
      </c>
      <c r="F13" s="10"/>
      <c r="G13" s="10"/>
      <c r="H13" s="10"/>
      <c r="I13" s="10"/>
      <c r="J13" s="10"/>
    </row>
    <row r="14" spans="1:11" ht="16" x14ac:dyDescent="0.2">
      <c r="A14" s="7" t="s">
        <v>32</v>
      </c>
      <c r="B14" s="8">
        <v>45777</v>
      </c>
      <c r="C14" s="9" t="s">
        <v>33</v>
      </c>
      <c r="D14" s="10"/>
      <c r="E14" s="10"/>
      <c r="F14" s="10">
        <f>K14*F68</f>
        <v>110580.16204886419</v>
      </c>
      <c r="G14" s="10"/>
      <c r="H14" s="10"/>
      <c r="I14" s="10"/>
      <c r="J14" s="10">
        <f>K14*J68</f>
        <v>29524.487951135816</v>
      </c>
      <c r="K14" s="3">
        <v>140104.65</v>
      </c>
    </row>
    <row r="15" spans="1:11" ht="32" x14ac:dyDescent="0.2">
      <c r="A15" s="7" t="s">
        <v>34</v>
      </c>
      <c r="B15" s="8">
        <v>45782</v>
      </c>
      <c r="C15" s="9" t="s">
        <v>35</v>
      </c>
      <c r="D15" s="10">
        <f>K15*D68</f>
        <v>-1406262.3235665699</v>
      </c>
      <c r="E15" s="10"/>
      <c r="F15" s="10"/>
      <c r="G15" s="10"/>
      <c r="H15" s="10">
        <f>K15*H68</f>
        <v>-80890.436433429466</v>
      </c>
      <c r="I15" s="10"/>
      <c r="J15" s="10"/>
      <c r="K15" s="11">
        <v>-1487152.76</v>
      </c>
    </row>
    <row r="16" spans="1:11" ht="32" x14ac:dyDescent="0.2">
      <c r="A16" s="7" t="s">
        <v>36</v>
      </c>
      <c r="B16" s="8">
        <v>45782</v>
      </c>
      <c r="C16" s="9" t="s">
        <v>35</v>
      </c>
      <c r="D16" s="10"/>
      <c r="E16" s="10">
        <v>-12702582.83</v>
      </c>
      <c r="F16" s="10"/>
      <c r="G16" s="10"/>
      <c r="H16" s="10"/>
      <c r="I16" s="10"/>
      <c r="J16" s="10"/>
    </row>
    <row r="17" spans="1:11" ht="16" x14ac:dyDescent="0.2">
      <c r="A17" s="7" t="s">
        <v>37</v>
      </c>
      <c r="B17" s="8">
        <v>45784</v>
      </c>
      <c r="C17" s="9" t="s">
        <v>38</v>
      </c>
      <c r="D17" s="10"/>
      <c r="E17" s="10"/>
      <c r="F17" s="10">
        <f>K17*F68</f>
        <v>1468712.5778820827</v>
      </c>
      <c r="G17" s="10"/>
      <c r="H17" s="10"/>
      <c r="I17" s="10"/>
      <c r="J17" s="10">
        <f>K17*J68</f>
        <v>392140.74211791746</v>
      </c>
      <c r="K17" s="3">
        <v>1860853.32</v>
      </c>
    </row>
    <row r="18" spans="1:11" ht="16" x14ac:dyDescent="0.2">
      <c r="A18" s="7" t="s">
        <v>39</v>
      </c>
      <c r="B18" s="8">
        <v>45791</v>
      </c>
      <c r="C18" s="9" t="s">
        <v>40</v>
      </c>
      <c r="D18" s="10"/>
      <c r="E18" s="10"/>
      <c r="F18" s="10">
        <f>K18*$F$68</f>
        <v>499518.12634994712</v>
      </c>
      <c r="G18" s="10"/>
      <c r="H18" s="10"/>
      <c r="I18" s="10"/>
      <c r="J18" s="10">
        <f>K18*$J$68</f>
        <v>133369.4636500529</v>
      </c>
      <c r="K18" s="3">
        <v>632887.59</v>
      </c>
    </row>
    <row r="19" spans="1:11" ht="16" x14ac:dyDescent="0.2">
      <c r="A19" s="7" t="s">
        <v>41</v>
      </c>
      <c r="B19" s="8" t="s">
        <v>42</v>
      </c>
      <c r="C19" s="9" t="s">
        <v>43</v>
      </c>
      <c r="D19" s="10"/>
      <c r="E19" s="10"/>
      <c r="F19" s="10">
        <f>K19*$F$68</f>
        <v>1986591.9978083284</v>
      </c>
      <c r="G19" s="10"/>
      <c r="H19" s="10"/>
      <c r="I19" s="10"/>
      <c r="J19" s="10">
        <f>K19*$J$68</f>
        <v>530412.60219167196</v>
      </c>
      <c r="K19" s="3">
        <v>2517004.6</v>
      </c>
    </row>
    <row r="20" spans="1:11" ht="16" x14ac:dyDescent="0.2">
      <c r="A20" s="7" t="s">
        <v>44</v>
      </c>
      <c r="B20" s="8">
        <v>45805</v>
      </c>
      <c r="C20" s="9" t="s">
        <v>43</v>
      </c>
      <c r="D20" s="10"/>
      <c r="E20" s="10"/>
      <c r="F20" s="10">
        <f>K20*$F$68</f>
        <v>86481.858569640171</v>
      </c>
      <c r="G20" s="10"/>
      <c r="H20" s="10"/>
      <c r="I20" s="10"/>
      <c r="J20" s="10">
        <f>K20*$J$68</f>
        <v>23090.331430359838</v>
      </c>
      <c r="K20" s="3">
        <v>109572.19</v>
      </c>
    </row>
    <row r="21" spans="1:11" ht="32" x14ac:dyDescent="0.2">
      <c r="A21" s="7" t="s">
        <v>45</v>
      </c>
      <c r="B21" s="8">
        <v>45789</v>
      </c>
      <c r="C21" s="9" t="s">
        <v>46</v>
      </c>
      <c r="D21" s="10">
        <f>K21*$D$68</f>
        <v>1406262.3235665699</v>
      </c>
      <c r="E21" s="10"/>
      <c r="F21" s="10"/>
      <c r="G21" s="10"/>
      <c r="H21" s="10">
        <f>K21*$H$68</f>
        <v>80890.436433429466</v>
      </c>
      <c r="I21" s="10"/>
      <c r="J21" s="10"/>
      <c r="K21" s="11">
        <v>1487152.76</v>
      </c>
    </row>
    <row r="22" spans="1:11" ht="32" x14ac:dyDescent="0.2">
      <c r="A22" s="7" t="s">
        <v>47</v>
      </c>
      <c r="B22" s="8">
        <v>45792</v>
      </c>
      <c r="C22" s="9" t="s">
        <v>48</v>
      </c>
      <c r="D22" s="10">
        <f>K22*$D$68</f>
        <v>1891214.354558398</v>
      </c>
      <c r="E22" s="10"/>
      <c r="F22" s="10"/>
      <c r="G22" s="10"/>
      <c r="H22" s="10">
        <f>K22*$H$68</f>
        <v>108785.64544160139</v>
      </c>
      <c r="I22" s="10"/>
      <c r="J22" s="10"/>
      <c r="K22" s="11">
        <v>2000000</v>
      </c>
    </row>
    <row r="23" spans="1:11" ht="32" x14ac:dyDescent="0.2">
      <c r="A23" s="7" t="s">
        <v>49</v>
      </c>
      <c r="B23" s="8">
        <v>45789</v>
      </c>
      <c r="C23" s="9" t="s">
        <v>50</v>
      </c>
      <c r="D23" s="10"/>
      <c r="E23" s="10">
        <v>12702582.83</v>
      </c>
      <c r="F23" s="10"/>
      <c r="G23" s="10"/>
      <c r="H23" s="10"/>
      <c r="I23" s="10"/>
      <c r="J23" s="10"/>
    </row>
    <row r="24" spans="1:11" ht="32" x14ac:dyDescent="0.2">
      <c r="A24" s="7" t="s">
        <v>51</v>
      </c>
      <c r="B24" s="8">
        <v>45792</v>
      </c>
      <c r="C24" s="9" t="s">
        <v>48</v>
      </c>
      <c r="D24" s="10"/>
      <c r="E24" s="10">
        <v>-2000000</v>
      </c>
      <c r="F24" s="10"/>
      <c r="G24" s="10"/>
      <c r="H24" s="10"/>
      <c r="I24" s="10"/>
      <c r="J24" s="10"/>
    </row>
    <row r="25" spans="1:11" ht="16" x14ac:dyDescent="0.2">
      <c r="A25" s="7" t="s">
        <v>52</v>
      </c>
      <c r="B25" s="8">
        <v>45810</v>
      </c>
      <c r="C25" s="9" t="s">
        <v>53</v>
      </c>
      <c r="D25" s="10">
        <f>K25*D68</f>
        <v>40222130.821507998</v>
      </c>
      <c r="E25" s="10">
        <v>4548257</v>
      </c>
      <c r="F25" s="10"/>
      <c r="G25" s="10"/>
      <c r="H25" s="10">
        <f>K25*H68</f>
        <v>2313640.6784919868</v>
      </c>
      <c r="I25" s="10"/>
      <c r="J25" s="10"/>
      <c r="K25" s="3">
        <v>42535771.5</v>
      </c>
    </row>
    <row r="26" spans="1:11" ht="16" x14ac:dyDescent="0.2">
      <c r="A26" s="7" t="s">
        <v>54</v>
      </c>
      <c r="B26" s="8">
        <v>45812</v>
      </c>
      <c r="C26" s="9" t="s">
        <v>43</v>
      </c>
      <c r="D26" s="10"/>
      <c r="E26" s="10"/>
      <c r="F26" s="10">
        <f>K26*F68</f>
        <v>1542404.8010648328</v>
      </c>
      <c r="G26" s="10"/>
      <c r="H26" s="10"/>
      <c r="I26" s="10"/>
      <c r="J26" s="10">
        <f>K26*J68</f>
        <v>411816.28893516742</v>
      </c>
      <c r="K26" s="3">
        <v>1954221.09</v>
      </c>
    </row>
    <row r="27" spans="1:11" ht="16" x14ac:dyDescent="0.2">
      <c r="A27" s="7" t="s">
        <v>55</v>
      </c>
      <c r="B27" s="8">
        <v>45819</v>
      </c>
      <c r="C27" s="9" t="s">
        <v>43</v>
      </c>
      <c r="D27" s="10"/>
      <c r="E27" s="10"/>
      <c r="F27" s="10">
        <f>K27*F68</f>
        <v>436252.89540208055</v>
      </c>
      <c r="G27" s="10"/>
      <c r="H27" s="10"/>
      <c r="I27" s="10"/>
      <c r="J27" s="10">
        <f>K27*J68</f>
        <v>116477.8845979195</v>
      </c>
      <c r="K27" s="3">
        <v>552730.78</v>
      </c>
    </row>
    <row r="28" spans="1:11" ht="16" x14ac:dyDescent="0.2">
      <c r="A28" s="7" t="s">
        <v>56</v>
      </c>
      <c r="B28" s="8">
        <v>45835</v>
      </c>
      <c r="C28" s="9" t="s">
        <v>53</v>
      </c>
      <c r="D28" s="10">
        <f>K28*D68</f>
        <v>13605168.251011964</v>
      </c>
      <c r="E28" s="10"/>
      <c r="F28" s="10"/>
      <c r="G28" s="10"/>
      <c r="H28" s="10">
        <f>K28*H68</f>
        <v>782590.82898803055</v>
      </c>
      <c r="I28" s="10"/>
      <c r="J28" s="10"/>
      <c r="K28" s="3">
        <v>14387759.08</v>
      </c>
    </row>
    <row r="29" spans="1:11" ht="32" x14ac:dyDescent="0.2">
      <c r="A29" s="7" t="s">
        <v>57</v>
      </c>
      <c r="B29" s="8">
        <v>45835</v>
      </c>
      <c r="C29" s="9" t="s">
        <v>58</v>
      </c>
      <c r="D29" s="10">
        <f>K29</f>
        <v>20516.419999999998</v>
      </c>
      <c r="E29" s="10"/>
      <c r="F29" s="10"/>
      <c r="G29" s="10"/>
      <c r="H29" s="10">
        <f>K29*H68</f>
        <v>1115.9459959254898</v>
      </c>
      <c r="I29" s="10"/>
      <c r="J29" s="10"/>
      <c r="K29" s="3">
        <v>20516.419999999998</v>
      </c>
    </row>
    <row r="30" spans="1:11" ht="16" x14ac:dyDescent="0.2">
      <c r="A30" s="7" t="s">
        <v>59</v>
      </c>
      <c r="B30" s="8">
        <v>45826</v>
      </c>
      <c r="C30" s="9" t="s">
        <v>43</v>
      </c>
      <c r="D30" s="10"/>
      <c r="E30" s="10"/>
      <c r="F30" s="10">
        <f>K30*F68</f>
        <v>1824550.3809224963</v>
      </c>
      <c r="G30" s="10"/>
      <c r="H30" s="10"/>
      <c r="I30" s="10"/>
      <c r="J30" s="10">
        <f>K30*J68</f>
        <v>487148.09907750372</v>
      </c>
      <c r="K30" s="3">
        <v>2311698.48</v>
      </c>
    </row>
    <row r="31" spans="1:11" ht="16" x14ac:dyDescent="0.2">
      <c r="A31" s="7" t="s">
        <v>60</v>
      </c>
      <c r="B31" s="8">
        <v>45833</v>
      </c>
      <c r="C31" s="9" t="s">
        <v>40</v>
      </c>
      <c r="D31" s="10"/>
      <c r="E31" s="10"/>
      <c r="F31" s="10">
        <f>K31*F68</f>
        <v>465734.75075146439</v>
      </c>
      <c r="G31" s="10"/>
      <c r="H31" s="10"/>
      <c r="I31" s="10"/>
      <c r="J31" s="10">
        <f>K31*J68</f>
        <v>124349.42924853571</v>
      </c>
      <c r="K31" s="3">
        <v>590084.18000000005</v>
      </c>
    </row>
    <row r="32" spans="1:11" ht="16" x14ac:dyDescent="0.2">
      <c r="A32" s="7" t="s">
        <v>61</v>
      </c>
      <c r="B32" s="8">
        <v>45835</v>
      </c>
      <c r="C32" s="9" t="s">
        <v>62</v>
      </c>
      <c r="D32" s="10"/>
      <c r="E32" s="10">
        <v>3377411.17</v>
      </c>
      <c r="F32" s="10"/>
      <c r="G32" s="10"/>
      <c r="H32" s="10"/>
      <c r="I32" s="10"/>
      <c r="J32" s="10"/>
    </row>
    <row r="33" spans="1:11" ht="16" x14ac:dyDescent="0.2">
      <c r="A33" s="7" t="s">
        <v>63</v>
      </c>
      <c r="B33" s="8">
        <v>45840</v>
      </c>
      <c r="C33" s="9" t="s">
        <v>62</v>
      </c>
      <c r="D33" s="10"/>
      <c r="E33" s="10"/>
      <c r="F33" s="10">
        <f>K33*F68</f>
        <v>1981561.9276489839</v>
      </c>
      <c r="G33" s="10"/>
      <c r="H33" s="10"/>
      <c r="I33" s="10"/>
      <c r="J33" s="10">
        <f>K33*J68</f>
        <v>529069.59235101624</v>
      </c>
      <c r="K33" s="3">
        <v>2510631.52</v>
      </c>
    </row>
    <row r="34" spans="1:11" ht="16" x14ac:dyDescent="0.2">
      <c r="A34" s="7" t="s">
        <v>64</v>
      </c>
      <c r="B34" s="8">
        <v>45840</v>
      </c>
      <c r="C34" s="9" t="s">
        <v>65</v>
      </c>
      <c r="D34" s="10"/>
      <c r="E34" s="10"/>
      <c r="F34" s="10"/>
      <c r="G34" s="10"/>
      <c r="H34" s="10"/>
      <c r="I34" s="10">
        <v>538270</v>
      </c>
      <c r="J34" s="10"/>
    </row>
    <row r="35" spans="1:11" ht="16" x14ac:dyDescent="0.2">
      <c r="A35" s="7" t="s">
        <v>63</v>
      </c>
      <c r="B35" s="8">
        <v>45847</v>
      </c>
      <c r="C35" s="9" t="s">
        <v>62</v>
      </c>
      <c r="D35" s="10"/>
      <c r="E35" s="10"/>
      <c r="F35" s="10">
        <f>K35*F68</f>
        <v>518392.79950647138</v>
      </c>
      <c r="G35" s="10"/>
      <c r="H35" s="10"/>
      <c r="I35" s="10"/>
      <c r="J35" s="10">
        <f>K35*J68</f>
        <v>138408.93049352866</v>
      </c>
      <c r="K35" s="3">
        <v>656801.73</v>
      </c>
    </row>
    <row r="36" spans="1:11" ht="16" x14ac:dyDescent="0.2">
      <c r="A36" s="7" t="s">
        <v>66</v>
      </c>
      <c r="B36" s="8">
        <v>45854</v>
      </c>
      <c r="C36" s="9" t="s">
        <v>67</v>
      </c>
      <c r="D36" s="10"/>
      <c r="E36" s="10"/>
      <c r="F36" s="10">
        <f>K36*F68</f>
        <v>1378671.5453838622</v>
      </c>
      <c r="G36" s="10"/>
      <c r="H36" s="10"/>
      <c r="I36" s="10"/>
      <c r="J36" s="10">
        <f>K36*J68</f>
        <v>368100.12461613788</v>
      </c>
      <c r="K36" s="3">
        <v>1746771.67</v>
      </c>
    </row>
    <row r="37" spans="1:11" ht="16" x14ac:dyDescent="0.2">
      <c r="A37" s="7" t="s">
        <v>68</v>
      </c>
      <c r="B37" s="8">
        <v>45861</v>
      </c>
      <c r="C37" s="9" t="s">
        <v>69</v>
      </c>
      <c r="D37" s="10"/>
      <c r="E37" s="10"/>
      <c r="F37" s="10">
        <f>K37*F68</f>
        <v>476910.78230223944</v>
      </c>
      <c r="G37" s="10"/>
      <c r="H37" s="10"/>
      <c r="I37" s="10"/>
      <c r="J37" s="10">
        <f>K37*J68</f>
        <v>127333.38769776066</v>
      </c>
      <c r="K37" s="3">
        <v>604244.17000000004</v>
      </c>
    </row>
    <row r="38" spans="1:11" ht="16" x14ac:dyDescent="0.2">
      <c r="A38" s="7" t="s">
        <v>70</v>
      </c>
      <c r="B38" s="8">
        <v>45868</v>
      </c>
      <c r="C38" s="9" t="s">
        <v>67</v>
      </c>
      <c r="D38" s="10"/>
      <c r="E38" s="10"/>
      <c r="F38" s="10">
        <f>K38*F68</f>
        <v>311352.33573331748</v>
      </c>
      <c r="G38" s="10"/>
      <c r="H38" s="10"/>
      <c r="I38" s="10"/>
      <c r="J38" s="10">
        <f>K38*J68</f>
        <v>83129.904266682555</v>
      </c>
      <c r="K38" s="3">
        <v>394482.24</v>
      </c>
    </row>
    <row r="39" spans="1:11" ht="16" x14ac:dyDescent="0.2">
      <c r="A39" s="7" t="s">
        <v>71</v>
      </c>
      <c r="B39" s="8">
        <v>45869</v>
      </c>
      <c r="C39" s="9" t="s">
        <v>72</v>
      </c>
      <c r="D39" s="10">
        <f>K39*D68</f>
        <v>13607939.749999996</v>
      </c>
      <c r="E39" s="10"/>
      <c r="F39" s="10"/>
      <c r="G39" s="10"/>
      <c r="H39" s="10">
        <f>K39*H68</f>
        <v>782750.24999999942</v>
      </c>
      <c r="I39" s="10"/>
      <c r="J39" s="10"/>
      <c r="K39" s="3">
        <v>14390690</v>
      </c>
    </row>
    <row r="40" spans="1:11" ht="16" x14ac:dyDescent="0.2">
      <c r="A40" s="7" t="s">
        <v>73</v>
      </c>
      <c r="B40" s="8">
        <v>45869</v>
      </c>
      <c r="C40" s="9" t="s">
        <v>72</v>
      </c>
      <c r="D40" s="10"/>
      <c r="E40" s="10">
        <v>3377411.16</v>
      </c>
      <c r="F40" s="10"/>
      <c r="G40" s="10"/>
      <c r="H40" s="10"/>
      <c r="I40" s="10"/>
      <c r="J40" s="10"/>
    </row>
    <row r="41" spans="1:11" ht="16" x14ac:dyDescent="0.2">
      <c r="A41" s="7" t="s">
        <v>74</v>
      </c>
      <c r="B41" s="8">
        <v>45873</v>
      </c>
      <c r="C41" s="9" t="s">
        <v>72</v>
      </c>
      <c r="D41" s="10">
        <f>K41*D68</f>
        <v>13607939.749999996</v>
      </c>
      <c r="E41" s="10"/>
      <c r="F41" s="10"/>
      <c r="G41" s="10"/>
      <c r="H41" s="10">
        <f>K41*H68</f>
        <v>782750.24999999942</v>
      </c>
      <c r="I41" s="10"/>
      <c r="J41" s="10"/>
      <c r="K41" s="3">
        <v>14390690</v>
      </c>
    </row>
    <row r="42" spans="1:11" ht="16" x14ac:dyDescent="0.2">
      <c r="A42" s="7" t="s">
        <v>75</v>
      </c>
      <c r="B42" s="8">
        <v>45873</v>
      </c>
      <c r="C42" s="9" t="s">
        <v>76</v>
      </c>
      <c r="D42" s="10"/>
      <c r="E42" s="10">
        <v>3377411.17</v>
      </c>
      <c r="F42" s="10"/>
      <c r="G42" s="10"/>
      <c r="H42" s="10"/>
      <c r="I42" s="10"/>
      <c r="J42" s="10"/>
    </row>
    <row r="43" spans="1:11" ht="16" x14ac:dyDescent="0.2">
      <c r="A43" s="7" t="s">
        <v>77</v>
      </c>
      <c r="B43" s="8">
        <v>45875</v>
      </c>
      <c r="C43" s="9" t="s">
        <v>78</v>
      </c>
      <c r="D43" s="10"/>
      <c r="E43" s="10"/>
      <c r="F43" s="10">
        <f>K43*F68</f>
        <v>1630832.4980781677</v>
      </c>
      <c r="G43" s="10"/>
      <c r="H43" s="10"/>
      <c r="I43" s="10"/>
      <c r="J43" s="10">
        <f>K43*J68</f>
        <v>435426.15192183241</v>
      </c>
      <c r="K43" s="3">
        <v>2066258.65</v>
      </c>
    </row>
    <row r="44" spans="1:11" ht="16" x14ac:dyDescent="0.2">
      <c r="A44" s="7" t="s">
        <v>79</v>
      </c>
      <c r="B44" s="8">
        <v>45882</v>
      </c>
      <c r="C44" s="9" t="s">
        <v>80</v>
      </c>
      <c r="D44" s="10"/>
      <c r="E44" s="10"/>
      <c r="F44" s="10">
        <f>K44*F68</f>
        <v>-1275851.7851869655</v>
      </c>
      <c r="G44" s="10"/>
      <c r="H44" s="10"/>
      <c r="I44" s="10"/>
      <c r="J44" s="10">
        <f>K44*J68</f>
        <v>-340647.63481303462</v>
      </c>
      <c r="K44" s="3">
        <f>-1616499.42</f>
        <v>-1616499.42</v>
      </c>
    </row>
    <row r="45" spans="1:11" ht="16" x14ac:dyDescent="0.2">
      <c r="A45" s="7" t="s">
        <v>81</v>
      </c>
      <c r="B45" s="8">
        <v>45889</v>
      </c>
      <c r="C45" s="9" t="s">
        <v>82</v>
      </c>
      <c r="D45" s="10"/>
      <c r="E45" s="10"/>
      <c r="F45" s="10">
        <f>K45*F68</f>
        <v>1827483.057334902</v>
      </c>
      <c r="G45" s="10"/>
      <c r="H45" s="10"/>
      <c r="I45" s="10"/>
      <c r="J45" s="10">
        <f>K45*J68</f>
        <v>487931.1126650981</v>
      </c>
      <c r="K45" s="3">
        <v>2315414.17</v>
      </c>
    </row>
    <row r="46" spans="1:11" ht="16" x14ac:dyDescent="0.2">
      <c r="A46" s="7" t="s">
        <v>83</v>
      </c>
      <c r="B46" s="8">
        <v>45896</v>
      </c>
      <c r="C46" s="9" t="s">
        <v>84</v>
      </c>
      <c r="D46" s="10"/>
      <c r="E46" s="10"/>
      <c r="F46" s="10">
        <f>K46*F68</f>
        <v>300780.90739545715</v>
      </c>
      <c r="G46" s="10"/>
      <c r="H46" s="10"/>
      <c r="I46" s="10"/>
      <c r="J46" s="10">
        <f>K46*J68</f>
        <v>80307.372604542907</v>
      </c>
      <c r="K46" s="3">
        <v>381088.28</v>
      </c>
    </row>
    <row r="47" spans="1:11" ht="16" x14ac:dyDescent="0.2">
      <c r="A47" s="7" t="s">
        <v>85</v>
      </c>
      <c r="B47" s="8">
        <v>45903</v>
      </c>
      <c r="C47" s="9" t="s">
        <v>86</v>
      </c>
      <c r="D47" s="10"/>
      <c r="E47" s="10"/>
      <c r="F47" s="10">
        <f>K47*F68</f>
        <v>1557809.4165790451</v>
      </c>
      <c r="G47" s="10"/>
      <c r="H47" s="10"/>
      <c r="I47" s="10"/>
      <c r="J47" s="10">
        <f>K47*J68</f>
        <v>415929.26342095505</v>
      </c>
      <c r="K47" s="3">
        <v>1973738.68</v>
      </c>
    </row>
    <row r="48" spans="1:11" ht="16" x14ac:dyDescent="0.2">
      <c r="A48" s="7" t="s">
        <v>87</v>
      </c>
      <c r="B48" s="8">
        <v>45910</v>
      </c>
      <c r="C48" s="9" t="s">
        <v>88</v>
      </c>
      <c r="D48" s="10"/>
      <c r="E48" s="10"/>
      <c r="F48" s="10">
        <f>K48*F68</f>
        <v>413768.77192484681</v>
      </c>
      <c r="G48" s="10"/>
      <c r="H48" s="10"/>
      <c r="I48" s="10"/>
      <c r="J48" s="10">
        <f>K48*J68</f>
        <v>110474.70807515318</v>
      </c>
      <c r="K48" s="3">
        <v>524243.48</v>
      </c>
    </row>
    <row r="49" spans="1:11" ht="16" x14ac:dyDescent="0.2">
      <c r="A49" s="7" t="s">
        <v>89</v>
      </c>
      <c r="B49" s="8">
        <v>45917</v>
      </c>
      <c r="C49" s="9" t="s">
        <v>90</v>
      </c>
      <c r="D49" s="10"/>
      <c r="E49" s="10"/>
      <c r="F49" s="10">
        <f>K49*F68</f>
        <v>1512488.3587918363</v>
      </c>
      <c r="G49" s="10"/>
      <c r="H49" s="10"/>
      <c r="I49" s="10"/>
      <c r="J49" s="10">
        <f>J68*K49</f>
        <v>403828.71120816399</v>
      </c>
      <c r="K49" s="3">
        <v>1916317.07</v>
      </c>
    </row>
    <row r="50" spans="1:11" ht="16" x14ac:dyDescent="0.2">
      <c r="A50" s="7" t="s">
        <v>91</v>
      </c>
      <c r="B50" s="8">
        <v>45931</v>
      </c>
      <c r="C50" s="9" t="s">
        <v>92</v>
      </c>
      <c r="D50" s="10"/>
      <c r="E50" s="10"/>
      <c r="F50" s="10">
        <f>K50*F68</f>
        <v>1414709.7579742116</v>
      </c>
      <c r="G50" s="10"/>
      <c r="H50" s="10"/>
      <c r="I50" s="10"/>
      <c r="J50" s="10">
        <f>K50*J68</f>
        <v>377722.19202578842</v>
      </c>
      <c r="K50" s="3">
        <v>1792431.95</v>
      </c>
    </row>
    <row r="51" spans="1:11" ht="16" x14ac:dyDescent="0.2">
      <c r="A51" s="7" t="s">
        <v>93</v>
      </c>
      <c r="B51" s="8">
        <v>45931</v>
      </c>
      <c r="C51" s="9" t="s">
        <v>94</v>
      </c>
      <c r="D51" s="10">
        <f>K51*D68</f>
        <v>27215879.499999993</v>
      </c>
      <c r="E51" s="10"/>
      <c r="F51" s="10"/>
      <c r="G51" s="10"/>
      <c r="H51" s="10">
        <f>K51*H68</f>
        <v>1565500.4999999988</v>
      </c>
      <c r="I51" s="10"/>
      <c r="J51" s="10"/>
      <c r="K51" s="3">
        <v>28781380</v>
      </c>
    </row>
    <row r="52" spans="1:11" ht="16" x14ac:dyDescent="0.2">
      <c r="A52" s="7" t="s">
        <v>95</v>
      </c>
      <c r="B52" s="8">
        <v>45931</v>
      </c>
      <c r="C52" s="9" t="s">
        <v>96</v>
      </c>
      <c r="D52" s="10"/>
      <c r="E52" s="10">
        <f>K52</f>
        <v>6754822.3300000001</v>
      </c>
      <c r="F52" s="10"/>
      <c r="G52" s="10"/>
      <c r="H52" s="10"/>
      <c r="I52" s="10"/>
      <c r="J52" s="10"/>
      <c r="K52" s="3">
        <v>6754822.3300000001</v>
      </c>
    </row>
    <row r="53" spans="1:11" ht="16" x14ac:dyDescent="0.2">
      <c r="A53" s="7" t="s">
        <v>97</v>
      </c>
      <c r="B53" s="8">
        <v>45938</v>
      </c>
      <c r="C53" s="9" t="s">
        <v>98</v>
      </c>
      <c r="D53" s="10"/>
      <c r="E53" s="10"/>
      <c r="F53" s="10">
        <f>K53*F68</f>
        <v>525632.87621697702</v>
      </c>
      <c r="G53" s="10"/>
      <c r="H53" s="10"/>
      <c r="I53" s="10"/>
      <c r="J53" s="10">
        <f>J68*K53</f>
        <v>140342.00378302304</v>
      </c>
      <c r="K53" s="3">
        <v>665974.88</v>
      </c>
    </row>
    <row r="54" spans="1:11" ht="16" x14ac:dyDescent="0.2">
      <c r="A54" s="7" t="s">
        <v>99</v>
      </c>
      <c r="B54" s="8">
        <v>45945</v>
      </c>
      <c r="C54" s="9" t="s">
        <v>100</v>
      </c>
      <c r="D54" s="10"/>
      <c r="E54" s="10"/>
      <c r="F54" s="10">
        <f>K54*F68</f>
        <v>1167618.1494309672</v>
      </c>
      <c r="G54" s="10"/>
      <c r="H54" s="10"/>
      <c r="I54" s="10"/>
      <c r="J54" s="10">
        <f>K54*J68</f>
        <v>311749.66056903306</v>
      </c>
      <c r="K54" s="3">
        <v>1479367.81</v>
      </c>
    </row>
    <row r="55" spans="1:11" x14ac:dyDescent="0.2">
      <c r="A55" s="7"/>
      <c r="B55" s="8"/>
      <c r="C55" s="9"/>
      <c r="D55" s="10"/>
      <c r="E55" s="10"/>
      <c r="F55" s="10"/>
      <c r="G55" s="10"/>
      <c r="H55" s="10"/>
      <c r="I55" s="10"/>
      <c r="J55" s="10"/>
    </row>
    <row r="56" spans="1:11" x14ac:dyDescent="0.2">
      <c r="A56" s="7"/>
      <c r="B56" s="8"/>
      <c r="C56" s="9"/>
      <c r="D56" s="10"/>
      <c r="E56" s="10"/>
      <c r="F56" s="10"/>
      <c r="G56" s="10"/>
      <c r="H56" s="10"/>
      <c r="I56" s="10"/>
      <c r="J56" s="10"/>
    </row>
    <row r="57" spans="1:11" x14ac:dyDescent="0.2">
      <c r="A57" s="7"/>
      <c r="B57" s="8"/>
      <c r="C57" s="9"/>
      <c r="D57" s="10"/>
      <c r="E57" s="10"/>
      <c r="F57" s="10"/>
      <c r="G57" s="10"/>
      <c r="H57" s="10"/>
      <c r="I57" s="10"/>
      <c r="J57" s="10"/>
    </row>
    <row r="58" spans="1:11" x14ac:dyDescent="0.2">
      <c r="A58" s="7"/>
      <c r="B58" s="8"/>
      <c r="C58" s="9"/>
      <c r="D58" s="10"/>
      <c r="E58" s="10"/>
      <c r="F58" s="10"/>
      <c r="G58" s="10"/>
      <c r="H58" s="10"/>
      <c r="I58" s="10"/>
      <c r="J58" s="10"/>
    </row>
    <row r="59" spans="1:11" x14ac:dyDescent="0.2">
      <c r="A59" s="7"/>
      <c r="B59" s="8"/>
      <c r="C59" s="9"/>
      <c r="D59" s="10"/>
      <c r="E59" s="10"/>
      <c r="F59" s="10"/>
      <c r="G59" s="10"/>
      <c r="H59" s="10"/>
      <c r="I59" s="10"/>
      <c r="J59" s="10"/>
    </row>
    <row r="60" spans="1:11" x14ac:dyDescent="0.2">
      <c r="A60" s="7"/>
      <c r="B60" s="8"/>
      <c r="C60" s="9"/>
      <c r="D60" s="10"/>
      <c r="E60" s="10"/>
      <c r="F60" s="10"/>
      <c r="G60" s="10"/>
      <c r="H60" s="10"/>
      <c r="I60" s="10"/>
      <c r="J60" s="10"/>
    </row>
    <row r="61" spans="1:11" x14ac:dyDescent="0.2">
      <c r="A61" s="7"/>
      <c r="B61" s="8"/>
      <c r="C61" s="9"/>
      <c r="D61" s="10"/>
      <c r="E61" s="10"/>
      <c r="F61" s="10"/>
      <c r="G61" s="10"/>
      <c r="H61" s="10"/>
      <c r="I61" s="10"/>
      <c r="J61" s="10"/>
    </row>
    <row r="62" spans="1:11" x14ac:dyDescent="0.2">
      <c r="A62" s="7"/>
      <c r="B62" s="8"/>
      <c r="C62" s="9"/>
      <c r="D62" s="10"/>
      <c r="E62" s="10"/>
      <c r="F62" s="10"/>
      <c r="G62" s="10"/>
      <c r="H62" s="10"/>
      <c r="I62" s="10"/>
      <c r="J62" s="10"/>
    </row>
    <row r="63" spans="1:11" x14ac:dyDescent="0.2">
      <c r="A63" s="7"/>
      <c r="B63" s="8"/>
      <c r="C63" s="9"/>
      <c r="D63" s="10"/>
      <c r="E63" s="10"/>
      <c r="F63" s="10"/>
      <c r="G63" s="10"/>
      <c r="H63" s="10"/>
      <c r="I63" s="10"/>
      <c r="J63" s="10"/>
    </row>
    <row r="64" spans="1:11" x14ac:dyDescent="0.2">
      <c r="A64" s="7"/>
      <c r="B64" s="8"/>
      <c r="C64" s="9"/>
      <c r="D64" s="10"/>
      <c r="E64" s="10"/>
      <c r="F64" s="10"/>
      <c r="G64" s="10"/>
      <c r="H64" s="10"/>
      <c r="I64" s="10"/>
      <c r="J64" s="10"/>
    </row>
    <row r="65" spans="1:10" x14ac:dyDescent="0.2">
      <c r="A65" s="7"/>
      <c r="B65" s="8"/>
      <c r="C65" s="9"/>
      <c r="D65" s="10"/>
      <c r="E65" s="10"/>
      <c r="F65" s="10"/>
      <c r="G65" s="10"/>
      <c r="H65" s="10"/>
      <c r="I65" s="10"/>
      <c r="J65" s="10"/>
    </row>
    <row r="66" spans="1:10" x14ac:dyDescent="0.2">
      <c r="A66" s="139" t="s">
        <v>101</v>
      </c>
      <c r="B66" s="139"/>
      <c r="C66" s="139"/>
      <c r="D66" s="12">
        <f t="shared" ref="D66:J66" si="0">SUM(D5:D65)</f>
        <v>149688453.1959959</v>
      </c>
      <c r="E66" s="12">
        <f t="shared" si="0"/>
        <v>37151522.829999998</v>
      </c>
      <c r="F66" s="12">
        <f t="shared" si="0"/>
        <v>47530248.17967622</v>
      </c>
      <c r="G66" s="12">
        <f t="shared" si="0"/>
        <v>0</v>
      </c>
      <c r="H66" s="12">
        <f t="shared" si="0"/>
        <v>8610252.7499999925</v>
      </c>
      <c r="I66" s="12">
        <f t="shared" si="0"/>
        <v>538270</v>
      </c>
      <c r="J66" s="12">
        <f t="shared" si="0"/>
        <v>12690397.750323782</v>
      </c>
    </row>
    <row r="67" spans="1:10" x14ac:dyDescent="0.2">
      <c r="A67" s="3" t="s">
        <v>102</v>
      </c>
      <c r="B67" s="3">
        <v>723200200</v>
      </c>
      <c r="C67" s="3" t="s">
        <v>103</v>
      </c>
      <c r="D67" s="13"/>
      <c r="E67" s="13"/>
      <c r="F67" s="13"/>
      <c r="G67" s="13"/>
      <c r="H67" s="13"/>
      <c r="I67" s="13"/>
      <c r="J67" s="13"/>
    </row>
    <row r="68" spans="1:10" x14ac:dyDescent="0.2">
      <c r="B68" s="3">
        <v>823200100</v>
      </c>
      <c r="C68" s="3" t="s">
        <v>104</v>
      </c>
      <c r="D68" s="14">
        <v>0.94560717727919896</v>
      </c>
      <c r="E68" s="15"/>
      <c r="F68" s="16">
        <v>0.78926832227812704</v>
      </c>
      <c r="G68" s="16"/>
      <c r="H68" s="14">
        <v>5.4392822720800697E-2</v>
      </c>
      <c r="I68" s="16">
        <v>1</v>
      </c>
      <c r="J68" s="16">
        <v>0.21073167772187301</v>
      </c>
    </row>
    <row r="69" spans="1:10" x14ac:dyDescent="0.2">
      <c r="D69" s="17">
        <v>79130053</v>
      </c>
      <c r="E69" s="3"/>
      <c r="H69" s="17">
        <v>7196501.5</v>
      </c>
    </row>
    <row r="70" spans="1:10" x14ac:dyDescent="0.2">
      <c r="A70" s="18"/>
      <c r="B70" s="18"/>
      <c r="C70" s="18"/>
      <c r="E70" s="18"/>
      <c r="F70" s="18"/>
      <c r="G70" s="18"/>
      <c r="H70" s="18"/>
      <c r="I70" s="18"/>
      <c r="J70" s="18"/>
    </row>
    <row r="72" spans="1:10" x14ac:dyDescent="0.2">
      <c r="F72" s="4">
        <f>H66</f>
        <v>8610252.7499999925</v>
      </c>
    </row>
    <row r="74" spans="1:10" x14ac:dyDescent="0.2">
      <c r="F74" s="4">
        <v>4245723</v>
      </c>
    </row>
  </sheetData>
  <mergeCells count="6">
    <mergeCell ref="D2:J2"/>
    <mergeCell ref="A66:C66"/>
    <mergeCell ref="A1:C1"/>
    <mergeCell ref="A2:A4"/>
    <mergeCell ref="B2:B4"/>
    <mergeCell ref="C2:C4"/>
  </mergeCells>
  <pageMargins left="0.51180555555555596" right="0.51180555555555596" top="1.1812499999999999" bottom="1.1812499999999999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K151"/>
  <sheetViews>
    <sheetView zoomScaleNormal="100" workbookViewId="0">
      <selection activeCell="I11" sqref="I11:I12"/>
    </sheetView>
  </sheetViews>
  <sheetFormatPr baseColWidth="10" defaultColWidth="9.33203125" defaultRowHeight="15" x14ac:dyDescent="0.2"/>
  <cols>
    <col min="1" max="1" width="4.5" style="3" customWidth="1"/>
    <col min="2" max="2" width="54.6640625" style="3" customWidth="1"/>
    <col min="3" max="5" width="20.33203125" style="3" customWidth="1"/>
    <col min="6" max="6" width="25.5" style="3" customWidth="1"/>
    <col min="7" max="7" width="20.33203125" style="3" customWidth="1"/>
    <col min="8" max="8" width="24.83203125" style="3" customWidth="1"/>
    <col min="9" max="12" width="20.33203125" style="3" customWidth="1"/>
    <col min="13" max="13" width="17.5" style="3" customWidth="1"/>
    <col min="14" max="14" width="23.5" style="3" customWidth="1"/>
    <col min="15" max="15" width="17.1640625" style="3" customWidth="1"/>
    <col min="16" max="16" width="18.83203125" style="3" customWidth="1"/>
    <col min="17" max="17" width="16.5" style="3" customWidth="1"/>
    <col min="18" max="18" width="15.33203125" style="3" customWidth="1"/>
    <col min="19" max="19" width="1.83203125" style="3" customWidth="1"/>
    <col min="20" max="20" width="21" style="3" customWidth="1"/>
    <col min="21" max="22" width="9.33203125" style="3"/>
    <col min="23" max="23" width="5" style="3" customWidth="1"/>
    <col min="24" max="24" width="111" style="3" customWidth="1"/>
    <col min="25" max="25" width="9.33203125" style="3"/>
    <col min="26" max="26" width="14.6640625" style="3" customWidth="1"/>
    <col min="27" max="27" width="15" style="3" customWidth="1"/>
    <col min="28" max="29" width="13.83203125" style="3" customWidth="1"/>
    <col min="30" max="30" width="18" style="3" customWidth="1"/>
    <col min="31" max="31" width="4.1640625" style="19" customWidth="1"/>
    <col min="32" max="32" width="23" style="19" customWidth="1"/>
    <col min="33" max="34" width="12.5" style="19" customWidth="1"/>
    <col min="35" max="35" width="12.1640625" style="19" customWidth="1"/>
    <col min="36" max="37" width="9.33203125" style="19"/>
    <col min="38" max="16384" width="9.33203125" style="3"/>
  </cols>
  <sheetData>
    <row r="1" spans="1:15" x14ac:dyDescent="0.2">
      <c r="C1" s="20"/>
    </row>
    <row r="2" spans="1:15" x14ac:dyDescent="0.2">
      <c r="C2" s="20"/>
    </row>
    <row r="3" spans="1:15" ht="19" x14ac:dyDescent="0.2">
      <c r="B3" s="156" t="s">
        <v>105</v>
      </c>
      <c r="C3" s="156"/>
      <c r="D3" s="156"/>
      <c r="E3" s="156"/>
      <c r="F3" s="156"/>
      <c r="G3" s="156"/>
      <c r="H3" s="156"/>
      <c r="I3" s="156"/>
      <c r="J3" s="156"/>
      <c r="K3" s="156"/>
    </row>
    <row r="4" spans="1:15" x14ac:dyDescent="0.2">
      <c r="D4" s="20"/>
      <c r="F4" s="21"/>
      <c r="G4" s="22"/>
    </row>
    <row r="5" spans="1:15" x14ac:dyDescent="0.2">
      <c r="C5" s="20"/>
      <c r="D5" s="20"/>
      <c r="G5" s="22"/>
    </row>
    <row r="6" spans="1:15" x14ac:dyDescent="0.2">
      <c r="B6" s="3" t="s">
        <v>106</v>
      </c>
      <c r="D6" s="23"/>
      <c r="E6" s="22"/>
      <c r="J6" s="3">
        <f>I6*12</f>
        <v>0</v>
      </c>
    </row>
    <row r="7" spans="1:15" x14ac:dyDescent="0.2">
      <c r="B7" s="24" t="s">
        <v>107</v>
      </c>
      <c r="C7" s="25">
        <f t="shared" ref="C7:K7" si="0">C9+C28</f>
        <v>214628958</v>
      </c>
      <c r="D7" s="25">
        <f t="shared" si="0"/>
        <v>233958183</v>
      </c>
      <c r="E7" s="25">
        <f t="shared" si="0"/>
        <v>0</v>
      </c>
      <c r="F7" s="25">
        <f t="shared" si="0"/>
        <v>257426730.86599591</v>
      </c>
      <c r="G7" s="25">
        <f t="shared" si="0"/>
        <v>61976502.090000004</v>
      </c>
      <c r="H7" s="25">
        <f t="shared" si="0"/>
        <v>256209144.70599592</v>
      </c>
      <c r="I7" s="25">
        <f t="shared" si="0"/>
        <v>1.8970259682653099</v>
      </c>
      <c r="J7" s="25">
        <f t="shared" si="0"/>
        <v>185839123.43000004</v>
      </c>
      <c r="K7" s="25">
        <f t="shared" si="0"/>
        <v>37495263.569999963</v>
      </c>
    </row>
    <row r="8" spans="1:15" ht="45" customHeight="1" x14ac:dyDescent="0.2">
      <c r="B8" s="26" t="s">
        <v>108</v>
      </c>
      <c r="C8" s="27" t="s">
        <v>109</v>
      </c>
      <c r="D8" s="28" t="s">
        <v>110</v>
      </c>
      <c r="E8" s="28" t="s">
        <v>111</v>
      </c>
      <c r="F8" s="28" t="s">
        <v>112</v>
      </c>
      <c r="G8" s="28" t="s">
        <v>113</v>
      </c>
      <c r="H8" s="28" t="s">
        <v>114</v>
      </c>
      <c r="I8" s="28" t="s">
        <v>115</v>
      </c>
      <c r="J8" s="28" t="s">
        <v>116</v>
      </c>
      <c r="K8" s="28" t="s">
        <v>117</v>
      </c>
      <c r="N8" s="157" t="s">
        <v>118</v>
      </c>
      <c r="O8" s="157"/>
    </row>
    <row r="9" spans="1:15" x14ac:dyDescent="0.2">
      <c r="B9" s="29" t="s">
        <v>119</v>
      </c>
      <c r="C9" s="30">
        <f t="shared" ref="C9:H9" si="1">C10+C20</f>
        <v>213182043</v>
      </c>
      <c r="D9" s="30">
        <f t="shared" si="1"/>
        <v>213217214</v>
      </c>
      <c r="E9" s="30">
        <f t="shared" si="1"/>
        <v>0</v>
      </c>
      <c r="F9" s="30">
        <f t="shared" si="1"/>
        <v>195450228.77599591</v>
      </c>
      <c r="G9" s="30">
        <f t="shared" si="1"/>
        <v>0</v>
      </c>
      <c r="H9" s="30">
        <f t="shared" si="1"/>
        <v>195450228.77599591</v>
      </c>
      <c r="I9" s="31">
        <f>H9/D9</f>
        <v>0.91667190049672032</v>
      </c>
      <c r="J9" s="30">
        <f>J10+J20</f>
        <v>185839123.43000004</v>
      </c>
      <c r="K9" s="30">
        <f t="shared" ref="K9:K19" si="2">D9-J9</f>
        <v>27378090.569999963</v>
      </c>
      <c r="N9" s="32" t="s">
        <v>120</v>
      </c>
      <c r="O9" s="33">
        <f>C7/F7</f>
        <v>0.83374775136201995</v>
      </c>
    </row>
    <row r="10" spans="1:15" ht="15" customHeight="1" x14ac:dyDescent="0.2">
      <c r="B10" s="34" t="s">
        <v>121</v>
      </c>
      <c r="C10" s="35">
        <f>SUM(C11:C19)</f>
        <v>198789040</v>
      </c>
      <c r="D10" s="35">
        <f>SUM(D11:D19)</f>
        <v>203824211</v>
      </c>
      <c r="E10" s="35">
        <f>SUM(E11:E17)</f>
        <v>0</v>
      </c>
      <c r="F10" s="35">
        <f>F11+F13</f>
        <v>186839976.02599591</v>
      </c>
      <c r="G10" s="35">
        <f>SUM(G11:G17)</f>
        <v>0</v>
      </c>
      <c r="H10" s="35">
        <f>H11+H13</f>
        <v>186839976.02599591</v>
      </c>
      <c r="I10" s="36">
        <f>H10/D10</f>
        <v>0.91667214169172428</v>
      </c>
      <c r="J10" s="37">
        <f>SUM(J11:J19)</f>
        <v>183483597.41000003</v>
      </c>
      <c r="K10" s="37">
        <f t="shared" si="2"/>
        <v>20340613.589999974</v>
      </c>
      <c r="N10" s="32" t="s">
        <v>122</v>
      </c>
      <c r="O10" s="33">
        <f>C29/H29</f>
        <v>2.4026892731803019E-2</v>
      </c>
    </row>
    <row r="11" spans="1:15" ht="15" customHeight="1" x14ac:dyDescent="0.2">
      <c r="B11" s="38" t="s">
        <v>123</v>
      </c>
      <c r="C11" s="39">
        <f>SUM(Z139:Z142)</f>
        <v>40235215</v>
      </c>
      <c r="D11" s="39">
        <f>SUM(AA139:AA142)</f>
        <v>40235215</v>
      </c>
      <c r="E11" s="158">
        <v>0</v>
      </c>
      <c r="F11" s="159">
        <f>NL!E66</f>
        <v>37151522.829999998</v>
      </c>
      <c r="G11" s="160"/>
      <c r="H11" s="159">
        <f>F11+G11</f>
        <v>37151522.829999998</v>
      </c>
      <c r="I11" s="161">
        <f>H11/(D11+D12)</f>
        <v>0.91666666658442086</v>
      </c>
      <c r="J11" s="39">
        <f>SUM(AB139:AB142)</f>
        <v>36791927.899999999</v>
      </c>
      <c r="K11" s="2">
        <f t="shared" si="2"/>
        <v>3443287.1000000015</v>
      </c>
      <c r="M11" s="40"/>
      <c r="N11" s="40"/>
      <c r="O11" s="40"/>
    </row>
    <row r="12" spans="1:15" ht="13.5" customHeight="1" x14ac:dyDescent="0.2">
      <c r="B12" s="41" t="s">
        <v>124</v>
      </c>
      <c r="C12" s="42">
        <f>SUM(Z95:Z128)</f>
        <v>293719</v>
      </c>
      <c r="D12" s="42">
        <f>SUM(AA95:AA128)</f>
        <v>293719</v>
      </c>
      <c r="E12" s="158"/>
      <c r="F12" s="159"/>
      <c r="G12" s="160"/>
      <c r="H12" s="159"/>
      <c r="I12" s="161"/>
      <c r="J12" s="42">
        <f>SUM(AB95:AB128)</f>
        <v>88886.7</v>
      </c>
      <c r="K12" s="2">
        <f t="shared" si="2"/>
        <v>204832.3</v>
      </c>
      <c r="L12" s="3">
        <f>D12/12</f>
        <v>24476.583333333332</v>
      </c>
      <c r="M12" s="40"/>
      <c r="N12" s="40"/>
      <c r="O12" s="22"/>
    </row>
    <row r="13" spans="1:15" ht="15.75" customHeight="1" x14ac:dyDescent="0.2">
      <c r="A13" s="43"/>
      <c r="B13" s="38" t="s">
        <v>125</v>
      </c>
      <c r="C13" s="39">
        <f>SUM(Z132)</f>
        <v>153807483</v>
      </c>
      <c r="D13" s="39">
        <f>SUM(AA132)</f>
        <v>158842654</v>
      </c>
      <c r="E13" s="152">
        <v>0</v>
      </c>
      <c r="F13" s="153">
        <f>NL!D66</f>
        <v>149688453.1959959</v>
      </c>
      <c r="G13" s="154"/>
      <c r="H13" s="153">
        <f>F13+G13</f>
        <v>149688453.1959959</v>
      </c>
      <c r="I13" s="155">
        <f>H13/SUM(D13:D19)</f>
        <v>0.91667350058137875</v>
      </c>
      <c r="J13" s="39">
        <f>SUM(AB132)</f>
        <v>143344378.08000001</v>
      </c>
      <c r="K13" s="2">
        <f t="shared" si="2"/>
        <v>15498275.919999987</v>
      </c>
      <c r="L13" s="22">
        <f>L12*11</f>
        <v>269242.41666666663</v>
      </c>
      <c r="M13" s="22"/>
      <c r="N13" s="44"/>
      <c r="O13" s="44"/>
    </row>
    <row r="14" spans="1:15" ht="15.75" customHeight="1" x14ac:dyDescent="0.2">
      <c r="A14" s="43"/>
      <c r="B14" s="38" t="s">
        <v>126</v>
      </c>
      <c r="C14" s="39">
        <f>SUM(Z135)</f>
        <v>484811</v>
      </c>
      <c r="D14" s="39">
        <f>SUM(AA135)</f>
        <v>484811</v>
      </c>
      <c r="E14" s="152"/>
      <c r="F14" s="153"/>
      <c r="G14" s="154"/>
      <c r="H14" s="153"/>
      <c r="I14" s="155"/>
      <c r="J14" s="39">
        <f>SUM(AB135)</f>
        <v>464965.24</v>
      </c>
      <c r="K14" s="2">
        <f t="shared" si="2"/>
        <v>19845.760000000009</v>
      </c>
      <c r="L14" s="22">
        <f>L13-J12</f>
        <v>180355.71666666662</v>
      </c>
      <c r="M14" s="22">
        <f>7202095.87-L14</f>
        <v>7021740.1533333333</v>
      </c>
      <c r="N14" s="44"/>
      <c r="O14" s="44"/>
    </row>
    <row r="15" spans="1:15" ht="13.5" customHeight="1" x14ac:dyDescent="0.2">
      <c r="A15" s="43"/>
      <c r="B15" s="38" t="s">
        <v>127</v>
      </c>
      <c r="C15" s="45">
        <f>SUM(Z144)</f>
        <v>52100</v>
      </c>
      <c r="D15" s="45">
        <f>SUM(AA144)</f>
        <v>52100</v>
      </c>
      <c r="E15" s="152"/>
      <c r="F15" s="153"/>
      <c r="G15" s="154"/>
      <c r="H15" s="153"/>
      <c r="I15" s="155"/>
      <c r="J15" s="45">
        <f>SUM(AB144)</f>
        <v>0</v>
      </c>
      <c r="K15" s="2">
        <f t="shared" si="2"/>
        <v>52100</v>
      </c>
      <c r="L15" s="22"/>
      <c r="M15" s="22"/>
      <c r="N15" s="44"/>
      <c r="O15" s="44"/>
    </row>
    <row r="16" spans="1:15" ht="15" customHeight="1" x14ac:dyDescent="0.2">
      <c r="A16" s="43"/>
      <c r="B16" s="38" t="s">
        <v>128</v>
      </c>
      <c r="C16" s="39">
        <f>SUM(Z129:Z131)</f>
        <v>2321331</v>
      </c>
      <c r="D16" s="39">
        <f>SUM(AA129:AA131)</f>
        <v>2321331</v>
      </c>
      <c r="E16" s="152"/>
      <c r="F16" s="153"/>
      <c r="G16" s="154"/>
      <c r="H16" s="153"/>
      <c r="I16" s="155"/>
      <c r="J16" s="39">
        <f>SUM(AB129:AB131)</f>
        <v>1959831</v>
      </c>
      <c r="K16" s="2">
        <f t="shared" si="2"/>
        <v>361500</v>
      </c>
      <c r="L16" s="22"/>
      <c r="M16" s="22"/>
      <c r="N16" s="44"/>
      <c r="O16" s="44"/>
    </row>
    <row r="17" spans="1:17" ht="13.5" customHeight="1" x14ac:dyDescent="0.2">
      <c r="A17" s="43"/>
      <c r="B17" s="38" t="s">
        <v>129</v>
      </c>
      <c r="C17" s="45">
        <f>SUM(Z143)</f>
        <v>1083763</v>
      </c>
      <c r="D17" s="45">
        <f>SUM(AA143)</f>
        <v>1083763</v>
      </c>
      <c r="E17" s="152"/>
      <c r="F17" s="153"/>
      <c r="G17" s="154"/>
      <c r="H17" s="153"/>
      <c r="I17" s="155"/>
      <c r="J17" s="45">
        <f>SUM(AB143)</f>
        <v>516512.68</v>
      </c>
      <c r="K17" s="2">
        <f t="shared" si="2"/>
        <v>567250.32000000007</v>
      </c>
      <c r="L17" s="22"/>
      <c r="M17" s="22"/>
      <c r="N17" s="44"/>
      <c r="O17" s="44"/>
      <c r="P17" s="19"/>
      <c r="Q17" s="19"/>
    </row>
    <row r="18" spans="1:17" ht="13.5" customHeight="1" x14ac:dyDescent="0.2">
      <c r="A18" s="43"/>
      <c r="B18" s="38" t="s">
        <v>130</v>
      </c>
      <c r="C18" s="39">
        <f>SUM(Z137:Z138)</f>
        <v>418416</v>
      </c>
      <c r="D18" s="39">
        <f>SUM(AA137:AA138)</f>
        <v>418416</v>
      </c>
      <c r="E18" s="152"/>
      <c r="F18" s="153"/>
      <c r="G18" s="154"/>
      <c r="H18" s="153"/>
      <c r="I18" s="155"/>
      <c r="J18" s="39">
        <f>SUM(AB137:AB138)</f>
        <v>317095.81</v>
      </c>
      <c r="K18" s="2">
        <f t="shared" si="2"/>
        <v>101320.19</v>
      </c>
      <c r="L18" s="22"/>
      <c r="M18" s="22"/>
      <c r="N18" s="44"/>
      <c r="O18" s="44"/>
    </row>
    <row r="19" spans="1:17" ht="13.5" customHeight="1" x14ac:dyDescent="0.2">
      <c r="A19" s="43"/>
      <c r="B19" s="38" t="s">
        <v>131</v>
      </c>
      <c r="C19" s="39">
        <f>SUM(Z136)</f>
        <v>92202</v>
      </c>
      <c r="D19" s="39">
        <f>SUM(AA136)</f>
        <v>92202</v>
      </c>
      <c r="E19" s="152"/>
      <c r="F19" s="153"/>
      <c r="G19" s="154"/>
      <c r="H19" s="153"/>
      <c r="I19" s="155"/>
      <c r="J19" s="39">
        <f>SUM(AB136)</f>
        <v>0</v>
      </c>
      <c r="K19" s="2">
        <f t="shared" si="2"/>
        <v>92202</v>
      </c>
      <c r="L19" s="22"/>
      <c r="M19" s="22"/>
      <c r="N19" s="44"/>
      <c r="O19" s="44"/>
    </row>
    <row r="20" spans="1:17" x14ac:dyDescent="0.2">
      <c r="B20" s="34" t="s">
        <v>132</v>
      </c>
      <c r="C20" s="35">
        <f t="shared" ref="C20:H20" si="3">SUM(C21:C22)</f>
        <v>14393003</v>
      </c>
      <c r="D20" s="35">
        <f t="shared" si="3"/>
        <v>9393003</v>
      </c>
      <c r="E20" s="35">
        <f t="shared" si="3"/>
        <v>0</v>
      </c>
      <c r="F20" s="35">
        <f t="shared" si="3"/>
        <v>8610252.7499999925</v>
      </c>
      <c r="G20" s="35">
        <f t="shared" si="3"/>
        <v>0</v>
      </c>
      <c r="H20" s="35">
        <f t="shared" si="3"/>
        <v>8610252.7499999925</v>
      </c>
      <c r="I20" s="36">
        <f>I21</f>
        <v>0.91666666666666585</v>
      </c>
      <c r="J20" s="35">
        <f>SUM(J21:J22)</f>
        <v>2355526.02</v>
      </c>
      <c r="K20" s="35">
        <f>SUM(K21:K22)</f>
        <v>7037476.9800000004</v>
      </c>
      <c r="L20" s="22"/>
      <c r="M20" s="22"/>
      <c r="N20" s="46"/>
      <c r="O20" s="22"/>
    </row>
    <row r="21" spans="1:17" x14ac:dyDescent="0.2">
      <c r="B21" s="38" t="s">
        <v>125</v>
      </c>
      <c r="C21" s="47">
        <f>Z90</f>
        <v>14393003</v>
      </c>
      <c r="D21" s="47">
        <f>AA90</f>
        <v>9393003</v>
      </c>
      <c r="E21" s="152">
        <v>0</v>
      </c>
      <c r="F21" s="153">
        <f>NL!H66</f>
        <v>8610252.7499999925</v>
      </c>
      <c r="G21" s="154">
        <v>0</v>
      </c>
      <c r="H21" s="153">
        <f>F21+G21</f>
        <v>8610252.7499999925</v>
      </c>
      <c r="I21" s="151">
        <f>H21/SUM(D21:D22)</f>
        <v>0.91666666666666585</v>
      </c>
      <c r="J21" s="47">
        <f>SUM(AB90)</f>
        <v>2355526.02</v>
      </c>
      <c r="K21" s="49">
        <f>D21-J21</f>
        <v>7037476.9800000004</v>
      </c>
      <c r="L21" s="22"/>
      <c r="M21" s="22"/>
      <c r="N21" s="40"/>
      <c r="O21" s="22"/>
      <c r="P21" s="22"/>
      <c r="Q21" s="22"/>
    </row>
    <row r="22" spans="1:17" x14ac:dyDescent="0.2">
      <c r="B22" s="38" t="s">
        <v>133</v>
      </c>
      <c r="C22" s="47">
        <v>0</v>
      </c>
      <c r="D22" s="47">
        <v>0</v>
      </c>
      <c r="E22" s="152"/>
      <c r="F22" s="153"/>
      <c r="G22" s="154"/>
      <c r="H22" s="154"/>
      <c r="I22" s="151"/>
      <c r="J22" s="47">
        <f>SUM(AB94)</f>
        <v>0</v>
      </c>
      <c r="K22" s="49">
        <f>D22-J22</f>
        <v>0</v>
      </c>
      <c r="L22" s="22"/>
      <c r="M22" s="22"/>
      <c r="N22" s="40"/>
    </row>
    <row r="23" spans="1:17" x14ac:dyDescent="0.2">
      <c r="B23" s="50"/>
      <c r="C23" s="51"/>
      <c r="D23" s="51"/>
      <c r="E23" s="50"/>
      <c r="F23" s="50"/>
      <c r="G23" s="50"/>
      <c r="H23" s="50"/>
      <c r="I23" s="50"/>
      <c r="J23" s="50"/>
      <c r="K23" s="50"/>
      <c r="L23" s="18"/>
      <c r="M23" s="22"/>
      <c r="N23" s="22"/>
      <c r="O23" s="22"/>
    </row>
    <row r="24" spans="1:17" ht="13.5" customHeight="1" x14ac:dyDescent="0.2">
      <c r="B24" s="52"/>
      <c r="C24" s="53"/>
      <c r="D24" s="54"/>
      <c r="H24" s="22"/>
      <c r="I24" s="22"/>
      <c r="J24" s="22"/>
      <c r="M24" s="22"/>
      <c r="N24" s="22"/>
      <c r="O24" s="22"/>
    </row>
    <row r="25" spans="1:17" ht="13.5" customHeight="1" x14ac:dyDescent="0.2">
      <c r="B25" s="52"/>
      <c r="D25" s="21"/>
      <c r="H25" s="22"/>
      <c r="I25" s="22"/>
      <c r="J25" s="22"/>
      <c r="M25" s="22"/>
      <c r="N25" s="22"/>
      <c r="O25" s="22"/>
    </row>
    <row r="26" spans="1:17" ht="13.5" customHeight="1" x14ac:dyDescent="0.2">
      <c r="B26" s="52"/>
      <c r="H26" s="22"/>
      <c r="I26" s="22"/>
      <c r="J26" s="22"/>
      <c r="M26" s="22"/>
      <c r="N26" s="22"/>
      <c r="O26" s="22"/>
    </row>
    <row r="27" spans="1:17" ht="48" x14ac:dyDescent="0.2">
      <c r="B27" s="26" t="s">
        <v>134</v>
      </c>
      <c r="C27" s="27" t="s">
        <v>109</v>
      </c>
      <c r="D27" s="28" t="s">
        <v>110</v>
      </c>
      <c r="E27" s="28" t="s">
        <v>111</v>
      </c>
      <c r="F27" s="28" t="s">
        <v>135</v>
      </c>
      <c r="G27" s="28" t="s">
        <v>136</v>
      </c>
      <c r="H27" s="28" t="s">
        <v>112</v>
      </c>
      <c r="I27" s="28" t="s">
        <v>137</v>
      </c>
      <c r="J27" s="28" t="s">
        <v>116</v>
      </c>
      <c r="K27" s="28" t="s">
        <v>117</v>
      </c>
    </row>
    <row r="28" spans="1:17" x14ac:dyDescent="0.2">
      <c r="B28" s="29" t="s">
        <v>138</v>
      </c>
      <c r="C28" s="55">
        <f>C29+C33+C35</f>
        <v>1446915</v>
      </c>
      <c r="D28" s="55">
        <f>D29+D33+D35</f>
        <v>20740969</v>
      </c>
      <c r="E28" s="55">
        <f>E29+E33+E35</f>
        <v>0</v>
      </c>
      <c r="F28" s="55">
        <f>F29+F33+F35</f>
        <v>61976502.090000004</v>
      </c>
      <c r="G28" s="55">
        <f>G29+G33+G35</f>
        <v>61976502.090000004</v>
      </c>
      <c r="H28" s="55">
        <f t="shared" ref="H28" si="4">H29+H33</f>
        <v>60758915.93</v>
      </c>
      <c r="I28" s="56">
        <f>H28/F28</f>
        <v>0.98035406776858958</v>
      </c>
      <c r="J28" s="30">
        <f>J29+J33</f>
        <v>0</v>
      </c>
      <c r="K28" s="30">
        <f>K29+K33</f>
        <v>10117173</v>
      </c>
    </row>
    <row r="29" spans="1:17" x14ac:dyDescent="0.2">
      <c r="B29" s="57" t="s">
        <v>139</v>
      </c>
      <c r="C29" s="58">
        <f t="shared" ref="C29:H29" si="5">SUM(C30:C32)</f>
        <v>1446915</v>
      </c>
      <c r="D29" s="58">
        <f t="shared" si="5"/>
        <v>10655443</v>
      </c>
      <c r="E29" s="58">
        <f t="shared" si="5"/>
        <v>0</v>
      </c>
      <c r="F29" s="58">
        <f t="shared" si="5"/>
        <v>61438232.090000004</v>
      </c>
      <c r="G29" s="58">
        <f t="shared" si="5"/>
        <v>61438232.090000004</v>
      </c>
      <c r="H29" s="58">
        <f t="shared" si="5"/>
        <v>60220645.93</v>
      </c>
      <c r="I29" s="56">
        <f>H29/F29</f>
        <v>0.98018194667098524</v>
      </c>
      <c r="J29" s="59">
        <f>SUM(J30:J32)</f>
        <v>0</v>
      </c>
      <c r="K29" s="59">
        <f>SUM(K30:K32)</f>
        <v>10117173</v>
      </c>
    </row>
    <row r="30" spans="1:17" x14ac:dyDescent="0.2">
      <c r="B30" s="7" t="s">
        <v>140</v>
      </c>
      <c r="C30" s="1">
        <f>SUM(Z134)</f>
        <v>0</v>
      </c>
      <c r="D30" s="1">
        <f>SUM(AA134)</f>
        <v>10067173</v>
      </c>
      <c r="E30" s="149">
        <v>0</v>
      </c>
      <c r="F30" s="150">
        <f>SUM(Receitas!O5:O18)</f>
        <v>61438232.090000004</v>
      </c>
      <c r="G30" s="150">
        <f>F30</f>
        <v>61438232.090000004</v>
      </c>
      <c r="H30" s="150">
        <f>NL!F66+NL!J66</f>
        <v>60220645.93</v>
      </c>
      <c r="I30" s="151">
        <f>H30/F30</f>
        <v>0.98018194667098524</v>
      </c>
      <c r="J30" s="2">
        <f>SUM(AB134)</f>
        <v>0</v>
      </c>
      <c r="K30" s="2">
        <f>D30-J30</f>
        <v>10067173</v>
      </c>
      <c r="N30" s="61"/>
      <c r="O30" s="62"/>
    </row>
    <row r="31" spans="1:17" ht="19.5" customHeight="1" x14ac:dyDescent="0.2">
      <c r="B31" s="7" t="s">
        <v>141</v>
      </c>
      <c r="C31" s="1">
        <f>Z92</f>
        <v>1396915</v>
      </c>
      <c r="D31" s="1">
        <f>AA92</f>
        <v>538270</v>
      </c>
      <c r="E31" s="149"/>
      <c r="F31" s="150"/>
      <c r="G31" s="150"/>
      <c r="H31" s="150"/>
      <c r="I31" s="151"/>
      <c r="J31" s="2">
        <f>AB92</f>
        <v>0</v>
      </c>
      <c r="K31" s="2">
        <f>AC92</f>
        <v>0</v>
      </c>
      <c r="N31" s="61"/>
      <c r="O31" s="62"/>
    </row>
    <row r="32" spans="1:17" ht="19.5" customHeight="1" x14ac:dyDescent="0.2">
      <c r="B32" s="7" t="s">
        <v>142</v>
      </c>
      <c r="C32" s="1">
        <f>SUM(Z94)</f>
        <v>50000</v>
      </c>
      <c r="D32" s="1">
        <f>SUM(AA94)</f>
        <v>50000</v>
      </c>
      <c r="E32" s="149"/>
      <c r="F32" s="150"/>
      <c r="G32" s="150"/>
      <c r="H32" s="150"/>
      <c r="I32" s="151"/>
      <c r="J32" s="2">
        <f>SUM(AB94)</f>
        <v>0</v>
      </c>
      <c r="K32" s="2">
        <f>D32-J32</f>
        <v>50000</v>
      </c>
      <c r="M32" s="23"/>
      <c r="N32" s="63"/>
      <c r="O32" s="62"/>
    </row>
    <row r="33" spans="2:15" ht="19.5" customHeight="1" x14ac:dyDescent="0.2">
      <c r="B33" s="57" t="s">
        <v>143</v>
      </c>
      <c r="C33" s="58">
        <f t="shared" ref="C33:H33" si="6">C34</f>
        <v>0</v>
      </c>
      <c r="D33" s="58">
        <f t="shared" si="6"/>
        <v>18353</v>
      </c>
      <c r="E33" s="58">
        <f t="shared" si="6"/>
        <v>0</v>
      </c>
      <c r="F33" s="58">
        <f t="shared" si="6"/>
        <v>538270</v>
      </c>
      <c r="G33" s="58">
        <f t="shared" si="6"/>
        <v>538270</v>
      </c>
      <c r="H33" s="58">
        <f t="shared" si="6"/>
        <v>538270</v>
      </c>
      <c r="I33" s="56">
        <f>H33/F33</f>
        <v>1</v>
      </c>
      <c r="J33" s="59">
        <f>J34</f>
        <v>0</v>
      </c>
      <c r="K33" s="59"/>
      <c r="M33" s="23"/>
      <c r="N33" s="63"/>
      <c r="O33" s="62"/>
    </row>
    <row r="34" spans="2:15" ht="19.5" customHeight="1" x14ac:dyDescent="0.2">
      <c r="B34" s="7" t="s">
        <v>144</v>
      </c>
      <c r="C34" s="1">
        <f>SUM(Z93)</f>
        <v>0</v>
      </c>
      <c r="D34" s="1">
        <f>SUM(AA93)</f>
        <v>18353</v>
      </c>
      <c r="E34" s="64">
        <v>0</v>
      </c>
      <c r="F34" s="60">
        <f>Receitas!O19</f>
        <v>538270</v>
      </c>
      <c r="G34" s="60">
        <f>F34</f>
        <v>538270</v>
      </c>
      <c r="H34" s="60">
        <f>NL!I66</f>
        <v>538270</v>
      </c>
      <c r="I34" s="48">
        <f>H34/F34</f>
        <v>1</v>
      </c>
      <c r="J34" s="2">
        <f>SUM(AB93)</f>
        <v>0</v>
      </c>
      <c r="K34" s="2">
        <f>D34-J34</f>
        <v>18353</v>
      </c>
      <c r="N34" s="61"/>
      <c r="O34" s="62"/>
    </row>
    <row r="35" spans="2:15" ht="19.5" customHeight="1" x14ac:dyDescent="0.2">
      <c r="B35" s="57" t="s">
        <v>145</v>
      </c>
      <c r="C35" s="58">
        <f t="shared" ref="C35" si="7">C36</f>
        <v>0</v>
      </c>
      <c r="D35" s="58">
        <f t="shared" ref="D35" si="8">D36</f>
        <v>10067173</v>
      </c>
      <c r="E35" s="58">
        <f t="shared" ref="E35" si="9">E36</f>
        <v>0</v>
      </c>
      <c r="F35" s="58">
        <f t="shared" ref="F35" si="10">F36</f>
        <v>0</v>
      </c>
      <c r="G35" s="58">
        <f t="shared" ref="G35" si="11">G36</f>
        <v>0</v>
      </c>
      <c r="H35" s="58" t="str">
        <f t="shared" ref="H35" si="12">H36</f>
        <v>-</v>
      </c>
      <c r="I35" s="56" t="e">
        <f>H35/F35</f>
        <v>#VALUE!</v>
      </c>
      <c r="J35" s="59">
        <f>J36</f>
        <v>0</v>
      </c>
      <c r="K35" s="59"/>
      <c r="N35" s="61"/>
      <c r="O35" s="62"/>
    </row>
    <row r="36" spans="2:15" ht="19.5" customHeight="1" x14ac:dyDescent="0.2">
      <c r="B36" s="7" t="s">
        <v>146</v>
      </c>
      <c r="C36" s="1">
        <f>Z134</f>
        <v>0</v>
      </c>
      <c r="D36" s="1">
        <f>AA134</f>
        <v>10067173</v>
      </c>
      <c r="E36" s="64">
        <v>0</v>
      </c>
      <c r="F36" s="60">
        <f>Receitas!O21</f>
        <v>0</v>
      </c>
      <c r="G36" s="60">
        <f>F36</f>
        <v>0</v>
      </c>
      <c r="H36" s="60" t="s">
        <v>147</v>
      </c>
      <c r="I36" s="48" t="e">
        <f>H36/F36</f>
        <v>#VALUE!</v>
      </c>
      <c r="J36" s="2">
        <f>SUM(AB95)</f>
        <v>0</v>
      </c>
      <c r="K36" s="2">
        <f>D36-J36</f>
        <v>10067173</v>
      </c>
      <c r="N36" s="61"/>
      <c r="O36" s="62"/>
    </row>
    <row r="37" spans="2:15" ht="19.5" customHeight="1" x14ac:dyDescent="0.2">
      <c r="B37" s="7" t="s">
        <v>148</v>
      </c>
      <c r="C37" s="1">
        <f>Z93</f>
        <v>0</v>
      </c>
      <c r="D37" s="1">
        <f>AA93</f>
        <v>18353</v>
      </c>
      <c r="E37" s="64">
        <v>0</v>
      </c>
      <c r="F37" s="60">
        <f>Receitas!O22</f>
        <v>0</v>
      </c>
      <c r="G37" s="60">
        <f>F37</f>
        <v>0</v>
      </c>
      <c r="H37" s="60">
        <f>NL!I69</f>
        <v>0</v>
      </c>
      <c r="I37" s="48" t="e">
        <f>H37/F37</f>
        <v>#DIV/0!</v>
      </c>
      <c r="J37" s="2">
        <f>SUM(AB96)</f>
        <v>0</v>
      </c>
      <c r="K37" s="2">
        <f>D37-J37</f>
        <v>18353</v>
      </c>
      <c r="N37" s="61"/>
      <c r="O37" s="62"/>
    </row>
    <row r="38" spans="2:15" ht="19.5" customHeight="1" x14ac:dyDescent="0.2"/>
    <row r="39" spans="2:15" x14ac:dyDescent="0.2">
      <c r="C39" s="20"/>
      <c r="D39" s="20"/>
      <c r="E39" s="20"/>
      <c r="F39" s="22">
        <v>58738455.68</v>
      </c>
      <c r="G39" s="22"/>
      <c r="H39" s="65"/>
      <c r="I39" s="66"/>
      <c r="J39" s="20"/>
      <c r="K39" s="20"/>
      <c r="N39" s="23"/>
      <c r="O39" s="23"/>
    </row>
    <row r="40" spans="2:15" ht="32" x14ac:dyDescent="0.2">
      <c r="G40" s="67"/>
      <c r="H40" s="68" t="s">
        <v>149</v>
      </c>
      <c r="I40" s="68" t="s">
        <v>150</v>
      </c>
      <c r="J40" s="67" t="s">
        <v>122</v>
      </c>
      <c r="K40" s="69" t="s">
        <v>151</v>
      </c>
      <c r="M40" s="70"/>
    </row>
    <row r="41" spans="2:15" ht="16" x14ac:dyDescent="0.2">
      <c r="B41" s="18"/>
      <c r="G41" s="71" t="s">
        <v>152</v>
      </c>
      <c r="H41" s="72">
        <f>H11-SUM(J11:J12)</f>
        <v>270708.22999999672</v>
      </c>
      <c r="I41" s="72">
        <f>H13+H20-SUM(J13:J19)-J20</f>
        <v>9340397.1159958653</v>
      </c>
      <c r="J41" s="72">
        <f>H28-J28</f>
        <v>60758915.93</v>
      </c>
      <c r="K41" s="72">
        <f>8725941.34+2152152.02+16333.73+2745.09+774677.75+254192.52</f>
        <v>11926042.449999999</v>
      </c>
    </row>
    <row r="42" spans="2:15" x14ac:dyDescent="0.2">
      <c r="B42" s="18"/>
      <c r="G42" s="73" t="s">
        <v>101</v>
      </c>
      <c r="H42" s="147">
        <f>H41+I41+J41</f>
        <v>70370021.275995865</v>
      </c>
      <c r="I42" s="147"/>
      <c r="J42" s="147"/>
      <c r="K42" s="74"/>
    </row>
    <row r="43" spans="2:15" x14ac:dyDescent="0.2">
      <c r="G43" s="3" t="s">
        <v>153</v>
      </c>
      <c r="I43" s="75"/>
      <c r="J43" s="20"/>
      <c r="K43" s="23"/>
    </row>
    <row r="44" spans="2:15" x14ac:dyDescent="0.2">
      <c r="D44" s="23"/>
      <c r="E44" s="76"/>
      <c r="J44" s="75"/>
      <c r="K44" s="20"/>
      <c r="L44" s="23"/>
    </row>
    <row r="45" spans="2:15" x14ac:dyDescent="0.2">
      <c r="J45" s="75"/>
      <c r="L45" s="23"/>
    </row>
    <row r="46" spans="2:15" ht="32" x14ac:dyDescent="0.2">
      <c r="B46" s="77" t="s">
        <v>154</v>
      </c>
      <c r="C46" s="28" t="s">
        <v>155</v>
      </c>
      <c r="D46" s="28" t="s">
        <v>156</v>
      </c>
      <c r="E46" s="28" t="s">
        <v>157</v>
      </c>
      <c r="F46" s="28" t="s">
        <v>112</v>
      </c>
      <c r="G46" s="28" t="s">
        <v>158</v>
      </c>
      <c r="H46" s="28" t="s">
        <v>159</v>
      </c>
      <c r="I46" s="78">
        <v>15071739.83</v>
      </c>
      <c r="J46" s="23"/>
      <c r="K46" s="79" t="s">
        <v>160</v>
      </c>
      <c r="N46" s="23"/>
      <c r="O46" s="23"/>
    </row>
    <row r="47" spans="2:15" x14ac:dyDescent="0.2">
      <c r="B47" s="80" t="s">
        <v>161</v>
      </c>
      <c r="C47" s="81">
        <f t="shared" ref="C47:H47" si="13">C48+C52</f>
        <v>65080888</v>
      </c>
      <c r="D47" s="81">
        <f t="shared" si="13"/>
        <v>74850888</v>
      </c>
      <c r="E47" s="81">
        <f t="shared" si="13"/>
        <v>6736334</v>
      </c>
      <c r="F47" s="81">
        <f t="shared" si="13"/>
        <v>33325419</v>
      </c>
      <c r="G47" s="81">
        <f t="shared" si="13"/>
        <v>7841555.6799999997</v>
      </c>
      <c r="H47" s="81">
        <f t="shared" si="13"/>
        <v>1373041</v>
      </c>
      <c r="I47" s="82"/>
      <c r="K47" s="83">
        <v>8711534.3900000006</v>
      </c>
    </row>
    <row r="48" spans="2:15" x14ac:dyDescent="0.2">
      <c r="B48" s="34" t="s">
        <v>121</v>
      </c>
      <c r="C48" s="84">
        <f t="shared" ref="C48:H48" si="14">SUM(C49:C51)</f>
        <v>32166888</v>
      </c>
      <c r="D48" s="84">
        <f t="shared" si="14"/>
        <v>44606401</v>
      </c>
      <c r="E48" s="84">
        <f t="shared" si="14"/>
        <v>2500001</v>
      </c>
      <c r="F48" s="84">
        <f t="shared" si="14"/>
        <v>21313692</v>
      </c>
      <c r="G48" s="84">
        <f t="shared" si="14"/>
        <v>7328157.4899999993</v>
      </c>
      <c r="H48" s="84">
        <f t="shared" si="14"/>
        <v>1373041</v>
      </c>
      <c r="I48" s="82"/>
      <c r="K48" s="22"/>
    </row>
    <row r="49" spans="2:37" ht="32" x14ac:dyDescent="0.2">
      <c r="B49" s="7" t="s">
        <v>162</v>
      </c>
      <c r="C49" s="85"/>
      <c r="D49" s="85"/>
      <c r="E49" s="86"/>
      <c r="F49" s="85">
        <v>0</v>
      </c>
      <c r="G49" s="85"/>
      <c r="H49" s="85"/>
      <c r="I49" s="82"/>
      <c r="K49" s="79" t="s">
        <v>163</v>
      </c>
    </row>
    <row r="50" spans="2:37" x14ac:dyDescent="0.2">
      <c r="B50" s="7" t="s">
        <v>164</v>
      </c>
      <c r="C50" s="85">
        <f>Z146+Z147</f>
        <v>1950001</v>
      </c>
      <c r="D50" s="85">
        <f>AA146+AA147</f>
        <v>4220001</v>
      </c>
      <c r="E50" s="85">
        <v>1</v>
      </c>
      <c r="F50" s="85">
        <v>1950000</v>
      </c>
      <c r="G50" s="85">
        <f>AB146+AB147</f>
        <v>532712.64</v>
      </c>
      <c r="H50" s="85">
        <f>AC146+AC147</f>
        <v>0</v>
      </c>
      <c r="K50" s="83">
        <f>44565589.98+9796183.09</f>
        <v>54361773.069999993</v>
      </c>
    </row>
    <row r="51" spans="2:37" x14ac:dyDescent="0.2">
      <c r="B51" s="7" t="s">
        <v>165</v>
      </c>
      <c r="C51" s="85">
        <f>Z150</f>
        <v>30216887</v>
      </c>
      <c r="D51" s="85">
        <f>AA150</f>
        <v>40386400</v>
      </c>
      <c r="E51" s="85">
        <v>2500000</v>
      </c>
      <c r="F51" s="85">
        <f>15117969+4245723</f>
        <v>19363692</v>
      </c>
      <c r="G51" s="85">
        <f>AB150</f>
        <v>6795444.8499999996</v>
      </c>
      <c r="H51" s="85">
        <f>AC150</f>
        <v>1373041</v>
      </c>
      <c r="K51" s="22"/>
    </row>
    <row r="52" spans="2:37" x14ac:dyDescent="0.2">
      <c r="B52" s="34" t="s">
        <v>132</v>
      </c>
      <c r="C52" s="84">
        <f t="shared" ref="C52:H52" si="15">SUM(C53:C54)</f>
        <v>32914000</v>
      </c>
      <c r="D52" s="84">
        <f t="shared" si="15"/>
        <v>30244487</v>
      </c>
      <c r="E52" s="84">
        <f t="shared" si="15"/>
        <v>4236333</v>
      </c>
      <c r="F52" s="84">
        <f t="shared" si="15"/>
        <v>12011727</v>
      </c>
      <c r="G52" s="84">
        <f t="shared" si="15"/>
        <v>513398.19</v>
      </c>
      <c r="H52" s="84">
        <f t="shared" si="15"/>
        <v>0</v>
      </c>
      <c r="K52" s="23"/>
    </row>
    <row r="53" spans="2:37" x14ac:dyDescent="0.2">
      <c r="B53" s="7" t="s">
        <v>164</v>
      </c>
      <c r="C53" s="85">
        <f>Z145</f>
        <v>50000</v>
      </c>
      <c r="D53" s="85">
        <f>AA145</f>
        <v>50000</v>
      </c>
      <c r="E53" s="85">
        <v>0</v>
      </c>
      <c r="F53" s="85">
        <v>50000</v>
      </c>
      <c r="G53" s="85">
        <f>AB145</f>
        <v>0</v>
      </c>
      <c r="H53" s="85">
        <f>AC145</f>
        <v>0</v>
      </c>
      <c r="K53" s="22"/>
    </row>
    <row r="54" spans="2:37" ht="13.5" customHeight="1" x14ac:dyDescent="0.2">
      <c r="B54" s="7" t="s">
        <v>165</v>
      </c>
      <c r="C54" s="85">
        <f>Z148+Z149</f>
        <v>32864000</v>
      </c>
      <c r="D54" s="85">
        <f>AA148+AA149</f>
        <v>30194487</v>
      </c>
      <c r="E54" s="85">
        <v>4236333</v>
      </c>
      <c r="F54" s="85">
        <v>11961727</v>
      </c>
      <c r="G54" s="85">
        <f>AB148</f>
        <v>513398.19</v>
      </c>
      <c r="H54" s="85">
        <f>AC148</f>
        <v>0</v>
      </c>
      <c r="K54" s="23"/>
    </row>
    <row r="55" spans="2:37" x14ac:dyDescent="0.2">
      <c r="B55" s="3" t="s">
        <v>166</v>
      </c>
    </row>
    <row r="56" spans="2:37" x14ac:dyDescent="0.2">
      <c r="B56" s="87"/>
      <c r="D56" s="88"/>
    </row>
    <row r="57" spans="2:37" ht="21.75" customHeight="1" x14ac:dyDescent="0.2">
      <c r="AE57" s="3"/>
      <c r="AF57" s="3"/>
      <c r="AG57" s="3"/>
      <c r="AH57" s="3"/>
      <c r="AI57" s="3"/>
      <c r="AJ57" s="3"/>
      <c r="AK57" s="3"/>
    </row>
    <row r="59" spans="2:37" ht="27" customHeight="1" x14ac:dyDescent="0.2"/>
    <row r="60" spans="2:37" ht="28.5" customHeight="1" x14ac:dyDescent="0.2">
      <c r="E60" s="23"/>
      <c r="F60" s="23"/>
      <c r="G60" s="76"/>
      <c r="H60" s="76"/>
      <c r="I60" s="76"/>
      <c r="J60" s="76"/>
      <c r="K60" s="70"/>
      <c r="L60" s="76"/>
      <c r="M60" s="76"/>
      <c r="AA60" s="19"/>
      <c r="AB60" s="19"/>
      <c r="AC60" s="19"/>
      <c r="AD60" s="19"/>
      <c r="AH60" s="3"/>
      <c r="AI60" s="3"/>
      <c r="AJ60" s="3"/>
      <c r="AK60" s="3"/>
    </row>
    <row r="61" spans="2:37" ht="28.5" customHeight="1" x14ac:dyDescent="0.2">
      <c r="E61" s="23"/>
      <c r="F61" s="23"/>
      <c r="G61" s="75"/>
      <c r="H61" s="75"/>
      <c r="I61" s="76"/>
      <c r="J61" s="76"/>
      <c r="K61" s="75"/>
      <c r="L61" s="76"/>
      <c r="M61" s="76"/>
      <c r="AA61" s="19"/>
      <c r="AB61" s="19"/>
      <c r="AC61" s="19"/>
      <c r="AD61" s="19"/>
      <c r="AH61" s="3"/>
      <c r="AI61" s="3"/>
      <c r="AJ61" s="3"/>
      <c r="AK61" s="3"/>
    </row>
    <row r="62" spans="2:37" x14ac:dyDescent="0.2">
      <c r="E62" s="18"/>
      <c r="F62" s="89"/>
      <c r="G62" s="89"/>
      <c r="H62" s="89"/>
      <c r="I62" s="23"/>
      <c r="J62" s="23"/>
      <c r="K62" s="89"/>
      <c r="L62" s="23"/>
      <c r="M62" s="89"/>
      <c r="AA62" s="19"/>
      <c r="AB62" s="19"/>
      <c r="AC62" s="19"/>
      <c r="AD62" s="19"/>
      <c r="AH62" s="3"/>
      <c r="AI62" s="3"/>
      <c r="AJ62" s="3"/>
      <c r="AK62" s="3"/>
    </row>
    <row r="63" spans="2:37" ht="30.75" customHeight="1" x14ac:dyDescent="0.2">
      <c r="E63" s="18"/>
      <c r="F63" s="89"/>
      <c r="G63" s="89"/>
      <c r="H63" s="89"/>
      <c r="I63" s="23"/>
      <c r="J63" s="23"/>
      <c r="K63" s="89"/>
      <c r="L63" s="23"/>
      <c r="M63" s="89"/>
      <c r="AA63" s="19"/>
      <c r="AB63" s="19"/>
      <c r="AC63" s="19"/>
      <c r="AD63" s="19"/>
      <c r="AH63" s="3"/>
      <c r="AI63" s="3"/>
      <c r="AJ63" s="3"/>
      <c r="AK63" s="3"/>
    </row>
    <row r="64" spans="2:37" ht="30.75" customHeight="1" x14ac:dyDescent="0.2">
      <c r="E64" s="18"/>
      <c r="F64" s="89"/>
      <c r="G64" s="89"/>
      <c r="H64" s="89"/>
      <c r="I64" s="23"/>
      <c r="J64" s="23"/>
      <c r="K64" s="90"/>
      <c r="L64" s="75"/>
      <c r="M64" s="90"/>
      <c r="AA64" s="19"/>
      <c r="AB64" s="19"/>
      <c r="AC64" s="19"/>
      <c r="AD64" s="19"/>
      <c r="AH64" s="3"/>
      <c r="AI64" s="3"/>
      <c r="AJ64" s="3"/>
      <c r="AK64" s="3"/>
    </row>
    <row r="65" spans="4:37" ht="15.75" customHeight="1" x14ac:dyDescent="0.2">
      <c r="F65" s="22"/>
      <c r="G65" s="89"/>
      <c r="H65" s="89"/>
      <c r="I65" s="23"/>
      <c r="J65" s="23"/>
      <c r="K65" s="22"/>
      <c r="L65" s="75"/>
      <c r="M65" s="90"/>
      <c r="AA65" s="19"/>
      <c r="AB65" s="19"/>
      <c r="AC65" s="19"/>
      <c r="AD65" s="19"/>
      <c r="AH65" s="3"/>
      <c r="AI65" s="3"/>
      <c r="AJ65" s="3"/>
      <c r="AK65" s="3"/>
    </row>
    <row r="66" spans="4:37" ht="15.75" customHeight="1" x14ac:dyDescent="0.2">
      <c r="F66" s="22"/>
      <c r="G66" s="89"/>
      <c r="H66" s="89"/>
      <c r="I66" s="23"/>
      <c r="J66" s="23"/>
      <c r="K66" s="22"/>
      <c r="L66" s="75"/>
      <c r="M66" s="90"/>
      <c r="AA66" s="19"/>
      <c r="AB66" s="19"/>
      <c r="AC66" s="19"/>
      <c r="AD66" s="19"/>
      <c r="AH66" s="3"/>
      <c r="AI66" s="3"/>
      <c r="AJ66" s="3"/>
      <c r="AK66" s="3"/>
    </row>
    <row r="67" spans="4:37" ht="15.75" customHeight="1" x14ac:dyDescent="0.2">
      <c r="E67" s="23"/>
      <c r="F67" s="23"/>
      <c r="G67" s="23"/>
      <c r="H67" s="23"/>
      <c r="I67" s="23"/>
      <c r="J67" s="23"/>
      <c r="K67" s="23"/>
      <c r="L67" s="23"/>
      <c r="M67" s="23"/>
      <c r="AA67" s="19"/>
      <c r="AB67" s="19"/>
      <c r="AC67" s="19"/>
      <c r="AD67" s="19"/>
      <c r="AH67" s="3"/>
      <c r="AI67" s="3"/>
      <c r="AJ67" s="3"/>
      <c r="AK67" s="3"/>
    </row>
    <row r="68" spans="4:37" ht="26.25" customHeight="1" x14ac:dyDescent="0.2">
      <c r="E68" s="91"/>
      <c r="F68" s="91"/>
      <c r="G68" s="91"/>
      <c r="H68" s="91"/>
      <c r="I68" s="91"/>
      <c r="J68" s="91"/>
      <c r="K68" s="23"/>
      <c r="L68" s="23"/>
      <c r="M68" s="23"/>
    </row>
    <row r="69" spans="4:37" x14ac:dyDescent="0.2">
      <c r="E69" s="92"/>
      <c r="F69" s="75"/>
      <c r="G69" s="75"/>
      <c r="H69" s="23"/>
      <c r="I69" s="148"/>
      <c r="J69" s="148"/>
      <c r="K69" s="23"/>
      <c r="L69" s="23"/>
      <c r="M69" s="23"/>
    </row>
    <row r="70" spans="4:37" x14ac:dyDescent="0.2">
      <c r="E70" s="61"/>
      <c r="F70" s="23"/>
      <c r="G70" s="23"/>
      <c r="H70" s="23"/>
      <c r="I70" s="75"/>
      <c r="J70" s="75"/>
      <c r="K70" s="23"/>
      <c r="L70" s="23"/>
      <c r="M70" s="23"/>
    </row>
    <row r="71" spans="4:37" x14ac:dyDescent="0.2">
      <c r="E71" s="61"/>
      <c r="F71" s="23"/>
      <c r="G71" s="23"/>
      <c r="H71" s="23"/>
      <c r="I71" s="23"/>
      <c r="J71" s="23"/>
      <c r="K71" s="23"/>
      <c r="L71" s="23"/>
      <c r="M71" s="23"/>
    </row>
    <row r="72" spans="4:37" x14ac:dyDescent="0.2">
      <c r="E72" s="75"/>
      <c r="F72" s="75"/>
      <c r="G72" s="75"/>
      <c r="H72" s="75"/>
      <c r="I72" s="70"/>
      <c r="J72" s="70"/>
      <c r="K72" s="75"/>
    </row>
    <row r="73" spans="4:37" x14ac:dyDescent="0.2">
      <c r="F73" s="4"/>
      <c r="G73" s="22"/>
      <c r="H73" s="22"/>
      <c r="I73" s="75"/>
      <c r="J73" s="92"/>
      <c r="K73" s="93"/>
      <c r="M73" s="22"/>
    </row>
    <row r="74" spans="4:37" x14ac:dyDescent="0.2">
      <c r="F74" s="4"/>
      <c r="G74" s="22"/>
      <c r="H74" s="22"/>
      <c r="J74" s="61"/>
      <c r="K74" s="93"/>
      <c r="M74" s="22"/>
    </row>
    <row r="75" spans="4:37" x14ac:dyDescent="0.2">
      <c r="E75" s="61"/>
      <c r="F75" s="93"/>
      <c r="G75" s="22"/>
      <c r="H75" s="22"/>
      <c r="J75" s="94"/>
    </row>
    <row r="76" spans="4:37" x14ac:dyDescent="0.2">
      <c r="E76" s="95"/>
      <c r="F76" s="92"/>
      <c r="G76" s="92"/>
      <c r="H76" s="92"/>
      <c r="I76" s="95"/>
      <c r="M76" s="22"/>
    </row>
    <row r="77" spans="4:37" x14ac:dyDescent="0.2">
      <c r="M77" s="22"/>
    </row>
    <row r="78" spans="4:37" x14ac:dyDescent="0.2">
      <c r="E78" s="96"/>
      <c r="F78" s="75"/>
      <c r="G78" s="75"/>
      <c r="H78" s="75"/>
      <c r="I78" s="75"/>
      <c r="J78" s="75"/>
      <c r="M78" s="22"/>
    </row>
    <row r="79" spans="4:37" x14ac:dyDescent="0.2">
      <c r="D79" s="82"/>
      <c r="F79" s="22"/>
      <c r="G79" s="22"/>
      <c r="H79" s="22"/>
      <c r="I79" s="22"/>
      <c r="J79" s="97"/>
    </row>
    <row r="80" spans="4:37" x14ac:dyDescent="0.2">
      <c r="D80" s="82"/>
      <c r="F80" s="22"/>
      <c r="G80" s="22"/>
      <c r="H80" s="22"/>
      <c r="I80" s="22"/>
      <c r="J80" s="97"/>
      <c r="M80" s="22"/>
    </row>
    <row r="81" spans="5:29" x14ac:dyDescent="0.2">
      <c r="F81" s="22"/>
      <c r="G81" s="22"/>
      <c r="H81" s="22"/>
      <c r="I81" s="22"/>
      <c r="J81" s="97"/>
    </row>
    <row r="82" spans="5:29" ht="15.75" customHeight="1" x14ac:dyDescent="0.2">
      <c r="E82" s="23"/>
      <c r="F82" s="98"/>
      <c r="G82" s="98"/>
      <c r="H82" s="98"/>
      <c r="I82" s="98"/>
      <c r="J82" s="99"/>
    </row>
    <row r="84" spans="5:29" ht="15.75" customHeight="1" x14ac:dyDescent="0.2"/>
    <row r="88" spans="5:29" ht="21" customHeight="1" x14ac:dyDescent="0.2">
      <c r="R88" s="145" t="s">
        <v>167</v>
      </c>
      <c r="S88" s="145" t="s">
        <v>168</v>
      </c>
      <c r="T88" s="145"/>
      <c r="U88" s="145" t="s">
        <v>169</v>
      </c>
      <c r="V88" s="145" t="s">
        <v>170</v>
      </c>
      <c r="W88" s="145" t="s">
        <v>171</v>
      </c>
      <c r="X88" s="145"/>
      <c r="Y88" s="100" t="s">
        <v>172</v>
      </c>
      <c r="Z88" s="101" t="s">
        <v>173</v>
      </c>
      <c r="AA88" s="101" t="s">
        <v>174</v>
      </c>
      <c r="AB88" s="102" t="s">
        <v>175</v>
      </c>
      <c r="AC88" s="102" t="s">
        <v>176</v>
      </c>
    </row>
    <row r="89" spans="5:29" ht="37" x14ac:dyDescent="0.2">
      <c r="R89" s="145"/>
      <c r="S89" s="145"/>
      <c r="T89" s="145"/>
      <c r="U89" s="145"/>
      <c r="V89" s="145"/>
      <c r="W89" s="145"/>
      <c r="X89" s="145"/>
      <c r="Y89" s="103" t="s">
        <v>177</v>
      </c>
      <c r="Z89" s="104" t="s">
        <v>178</v>
      </c>
      <c r="AA89" s="104" t="s">
        <v>178</v>
      </c>
      <c r="AB89" s="105" t="s">
        <v>178</v>
      </c>
      <c r="AC89" s="105" t="s">
        <v>178</v>
      </c>
    </row>
    <row r="90" spans="5:29" ht="14" customHeight="1" x14ac:dyDescent="0.2">
      <c r="R90" s="146" t="s">
        <v>179</v>
      </c>
      <c r="S90" s="144" t="s">
        <v>180</v>
      </c>
      <c r="T90" s="144" t="s">
        <v>181</v>
      </c>
      <c r="U90" s="144" t="s">
        <v>182</v>
      </c>
      <c r="V90" s="144" t="s">
        <v>183</v>
      </c>
      <c r="W90" s="144" t="s">
        <v>184</v>
      </c>
      <c r="X90" s="144" t="s">
        <v>185</v>
      </c>
      <c r="Y90" s="135" t="s">
        <v>12</v>
      </c>
      <c r="Z90" s="136">
        <v>14393003</v>
      </c>
      <c r="AA90" s="136">
        <v>9393003</v>
      </c>
      <c r="AB90" s="136">
        <v>2355526.02</v>
      </c>
      <c r="AC90" s="137">
        <v>700702.76</v>
      </c>
    </row>
    <row r="91" spans="5:29" ht="14" customHeight="1" x14ac:dyDescent="0.2">
      <c r="R91" s="146"/>
      <c r="S91" s="144"/>
      <c r="T91" s="144"/>
      <c r="U91" s="144"/>
      <c r="V91" s="144"/>
      <c r="W91" s="144"/>
      <c r="X91" s="144"/>
      <c r="Y91" s="135" t="s">
        <v>13</v>
      </c>
      <c r="Z91" s="136">
        <v>20450001</v>
      </c>
      <c r="AA91" s="136">
        <v>21308646</v>
      </c>
      <c r="AB91" s="136">
        <v>6001804.7000000002</v>
      </c>
      <c r="AC91" s="137">
        <v>1015546.05</v>
      </c>
    </row>
    <row r="92" spans="5:29" x14ac:dyDescent="0.2">
      <c r="R92" s="146"/>
      <c r="S92" s="144"/>
      <c r="T92" s="144"/>
      <c r="U92" s="144"/>
      <c r="V92" s="144"/>
      <c r="W92" s="144"/>
      <c r="X92" s="144"/>
      <c r="Y92" s="135" t="s">
        <v>186</v>
      </c>
      <c r="Z92" s="136">
        <v>1396915</v>
      </c>
      <c r="AA92" s="136">
        <v>538270</v>
      </c>
      <c r="AB92" s="136"/>
      <c r="AC92" s="137"/>
    </row>
    <row r="93" spans="5:29" x14ac:dyDescent="0.2">
      <c r="R93" s="146"/>
      <c r="S93" s="144"/>
      <c r="T93" s="144"/>
      <c r="U93" s="144"/>
      <c r="V93" s="144"/>
      <c r="W93" s="144"/>
      <c r="X93" s="144"/>
      <c r="Y93" s="135" t="s">
        <v>187</v>
      </c>
      <c r="Z93" s="136"/>
      <c r="AA93" s="136">
        <v>18353</v>
      </c>
      <c r="AB93" s="136"/>
      <c r="AC93" s="137"/>
    </row>
    <row r="94" spans="5:29" x14ac:dyDescent="0.2">
      <c r="R94" s="146"/>
      <c r="S94" s="144"/>
      <c r="T94" s="144"/>
      <c r="U94" s="144"/>
      <c r="V94" s="106" t="s">
        <v>188</v>
      </c>
      <c r="W94" s="106" t="s">
        <v>184</v>
      </c>
      <c r="X94" s="106" t="s">
        <v>189</v>
      </c>
      <c r="Y94" s="106" t="s">
        <v>13</v>
      </c>
      <c r="Z94" s="107">
        <v>50000</v>
      </c>
      <c r="AA94" s="107">
        <v>50000</v>
      </c>
      <c r="AB94" s="107"/>
      <c r="AC94" s="108"/>
    </row>
    <row r="95" spans="5:29" ht="14" customHeight="1" x14ac:dyDescent="0.2">
      <c r="R95" s="146"/>
      <c r="S95" s="144"/>
      <c r="T95" s="144"/>
      <c r="U95" s="144" t="s">
        <v>190</v>
      </c>
      <c r="V95" s="144" t="s">
        <v>191</v>
      </c>
      <c r="W95" s="106" t="s">
        <v>192</v>
      </c>
      <c r="X95" s="106" t="s">
        <v>193</v>
      </c>
      <c r="Y95" s="106" t="s">
        <v>12</v>
      </c>
      <c r="Z95" s="107">
        <v>2796</v>
      </c>
      <c r="AA95" s="107">
        <v>2900</v>
      </c>
      <c r="AB95" s="107"/>
      <c r="AC95" s="108"/>
    </row>
    <row r="96" spans="5:29" x14ac:dyDescent="0.2">
      <c r="R96" s="146"/>
      <c r="S96" s="144"/>
      <c r="T96" s="144"/>
      <c r="U96" s="144"/>
      <c r="V96" s="144"/>
      <c r="W96" s="106" t="s">
        <v>194</v>
      </c>
      <c r="X96" s="106" t="s">
        <v>195</v>
      </c>
      <c r="Y96" s="106" t="s">
        <v>12</v>
      </c>
      <c r="Z96" s="107">
        <v>16700</v>
      </c>
      <c r="AA96" s="107">
        <v>16700</v>
      </c>
      <c r="AB96" s="107"/>
      <c r="AC96" s="108"/>
    </row>
    <row r="97" spans="18:29" x14ac:dyDescent="0.2">
      <c r="R97" s="146"/>
      <c r="S97" s="144"/>
      <c r="T97" s="144"/>
      <c r="U97" s="144"/>
      <c r="V97" s="144"/>
      <c r="W97" s="106" t="s">
        <v>196</v>
      </c>
      <c r="X97" s="106" t="s">
        <v>197</v>
      </c>
      <c r="Y97" s="106" t="s">
        <v>12</v>
      </c>
      <c r="Z97" s="107">
        <v>2000</v>
      </c>
      <c r="AA97" s="107">
        <v>2000</v>
      </c>
      <c r="AB97" s="107"/>
      <c r="AC97" s="108"/>
    </row>
    <row r="98" spans="18:29" x14ac:dyDescent="0.2">
      <c r="R98" s="146"/>
      <c r="S98" s="144"/>
      <c r="T98" s="144"/>
      <c r="U98" s="144"/>
      <c r="V98" s="144"/>
      <c r="W98" s="106" t="s">
        <v>198</v>
      </c>
      <c r="X98" s="106" t="s">
        <v>199</v>
      </c>
      <c r="Y98" s="106" t="s">
        <v>12</v>
      </c>
      <c r="Z98" s="107">
        <v>1500</v>
      </c>
      <c r="AA98" s="107">
        <v>1500</v>
      </c>
      <c r="AB98" s="107"/>
      <c r="AC98" s="108"/>
    </row>
    <row r="99" spans="18:29" x14ac:dyDescent="0.2">
      <c r="R99" s="146"/>
      <c r="S99" s="144"/>
      <c r="T99" s="144"/>
      <c r="U99" s="144"/>
      <c r="V99" s="144"/>
      <c r="W99" s="106" t="s">
        <v>200</v>
      </c>
      <c r="X99" s="106" t="s">
        <v>201</v>
      </c>
      <c r="Y99" s="106" t="s">
        <v>12</v>
      </c>
      <c r="Z99" s="107">
        <v>6807</v>
      </c>
      <c r="AA99" s="107">
        <v>11912</v>
      </c>
      <c r="AB99" s="107">
        <v>6806</v>
      </c>
      <c r="AC99" s="108">
        <v>6806</v>
      </c>
    </row>
    <row r="100" spans="18:29" x14ac:dyDescent="0.2">
      <c r="R100" s="146"/>
      <c r="S100" s="144"/>
      <c r="T100" s="144"/>
      <c r="U100" s="144"/>
      <c r="V100" s="144"/>
      <c r="W100" s="106" t="s">
        <v>202</v>
      </c>
      <c r="X100" s="106" t="s">
        <v>203</v>
      </c>
      <c r="Y100" s="106" t="s">
        <v>12</v>
      </c>
      <c r="Z100" s="107">
        <v>100000</v>
      </c>
      <c r="AA100" s="107">
        <v>58451</v>
      </c>
      <c r="AB100" s="107"/>
      <c r="AC100" s="108"/>
    </row>
    <row r="101" spans="18:29" x14ac:dyDescent="0.2">
      <c r="R101" s="146"/>
      <c r="S101" s="144"/>
      <c r="T101" s="144"/>
      <c r="U101" s="144"/>
      <c r="V101" s="144"/>
      <c r="W101" s="106" t="s">
        <v>204</v>
      </c>
      <c r="X101" s="106" t="s">
        <v>205</v>
      </c>
      <c r="Y101" s="106" t="s">
        <v>12</v>
      </c>
      <c r="Z101" s="107">
        <v>2800</v>
      </c>
      <c r="AA101" s="107">
        <v>2800</v>
      </c>
      <c r="AB101" s="107">
        <v>1149.8</v>
      </c>
      <c r="AC101" s="108">
        <v>1149.8</v>
      </c>
    </row>
    <row r="102" spans="18:29" x14ac:dyDescent="0.2">
      <c r="R102" s="146"/>
      <c r="S102" s="144"/>
      <c r="T102" s="144"/>
      <c r="U102" s="144"/>
      <c r="V102" s="144"/>
      <c r="W102" s="106" t="s">
        <v>206</v>
      </c>
      <c r="X102" s="106" t="s">
        <v>207</v>
      </c>
      <c r="Y102" s="106" t="s">
        <v>12</v>
      </c>
      <c r="Z102" s="107">
        <v>8000</v>
      </c>
      <c r="AA102" s="107">
        <v>8000</v>
      </c>
      <c r="AB102" s="107"/>
      <c r="AC102" s="108"/>
    </row>
    <row r="103" spans="18:29" x14ac:dyDescent="0.2">
      <c r="R103" s="146"/>
      <c r="S103" s="144"/>
      <c r="T103" s="144"/>
      <c r="U103" s="144"/>
      <c r="V103" s="144"/>
      <c r="W103" s="106" t="s">
        <v>208</v>
      </c>
      <c r="X103" s="106" t="s">
        <v>209</v>
      </c>
      <c r="Y103" s="106" t="s">
        <v>12</v>
      </c>
      <c r="Z103" s="107">
        <v>5500</v>
      </c>
      <c r="AA103" s="107">
        <v>10084</v>
      </c>
      <c r="AB103" s="107">
        <v>5500</v>
      </c>
      <c r="AC103" s="108"/>
    </row>
    <row r="104" spans="18:29" x14ac:dyDescent="0.2">
      <c r="R104" s="146"/>
      <c r="S104" s="144"/>
      <c r="T104" s="144"/>
      <c r="U104" s="144"/>
      <c r="V104" s="144"/>
      <c r="W104" s="106" t="s">
        <v>210</v>
      </c>
      <c r="X104" s="106" t="s">
        <v>211</v>
      </c>
      <c r="Y104" s="106" t="s">
        <v>12</v>
      </c>
      <c r="Z104" s="107">
        <v>4230</v>
      </c>
      <c r="AA104" s="107">
        <v>4653</v>
      </c>
      <c r="AB104" s="107">
        <v>4653</v>
      </c>
      <c r="AC104" s="108">
        <v>4653</v>
      </c>
    </row>
    <row r="105" spans="18:29" x14ac:dyDescent="0.2">
      <c r="R105" s="146"/>
      <c r="S105" s="144"/>
      <c r="T105" s="144"/>
      <c r="U105" s="144"/>
      <c r="V105" s="144"/>
      <c r="W105" s="106" t="s">
        <v>212</v>
      </c>
      <c r="X105" s="106" t="s">
        <v>213</v>
      </c>
      <c r="Y105" s="106" t="s">
        <v>12</v>
      </c>
      <c r="Z105" s="107">
        <v>4000</v>
      </c>
      <c r="AA105" s="107">
        <v>4000</v>
      </c>
      <c r="AB105" s="107">
        <v>4000</v>
      </c>
      <c r="AC105" s="108"/>
    </row>
    <row r="106" spans="18:29" x14ac:dyDescent="0.2">
      <c r="R106" s="146"/>
      <c r="S106" s="144"/>
      <c r="T106" s="144"/>
      <c r="U106" s="144"/>
      <c r="V106" s="144"/>
      <c r="W106" s="106" t="s">
        <v>214</v>
      </c>
      <c r="X106" s="106" t="s">
        <v>215</v>
      </c>
      <c r="Y106" s="106" t="s">
        <v>12</v>
      </c>
      <c r="Z106" s="107">
        <v>774</v>
      </c>
      <c r="AA106" s="107">
        <v>774</v>
      </c>
      <c r="AB106" s="107"/>
      <c r="AC106" s="108"/>
    </row>
    <row r="107" spans="18:29" x14ac:dyDescent="0.2">
      <c r="R107" s="146"/>
      <c r="S107" s="144"/>
      <c r="T107" s="144"/>
      <c r="U107" s="144"/>
      <c r="V107" s="144"/>
      <c r="W107" s="106" t="s">
        <v>216</v>
      </c>
      <c r="X107" s="106" t="s">
        <v>217</v>
      </c>
      <c r="Y107" s="106" t="s">
        <v>12</v>
      </c>
      <c r="Z107" s="107">
        <v>950</v>
      </c>
      <c r="AA107" s="107">
        <v>950</v>
      </c>
      <c r="AB107" s="107"/>
      <c r="AC107" s="108"/>
    </row>
    <row r="108" spans="18:29" x14ac:dyDescent="0.2">
      <c r="R108" s="146"/>
      <c r="S108" s="144"/>
      <c r="T108" s="144"/>
      <c r="U108" s="144"/>
      <c r="V108" s="144"/>
      <c r="W108" s="106" t="s">
        <v>218</v>
      </c>
      <c r="X108" s="106" t="s">
        <v>219</v>
      </c>
      <c r="Y108" s="106" t="s">
        <v>12</v>
      </c>
      <c r="Z108" s="107">
        <v>8472</v>
      </c>
      <c r="AA108" s="107">
        <v>8472</v>
      </c>
      <c r="AB108" s="107">
        <v>3035.8</v>
      </c>
      <c r="AC108" s="108"/>
    </row>
    <row r="109" spans="18:29" x14ac:dyDescent="0.2">
      <c r="R109" s="146"/>
      <c r="S109" s="144"/>
      <c r="T109" s="144"/>
      <c r="U109" s="144"/>
      <c r="V109" s="144"/>
      <c r="W109" s="106" t="s">
        <v>220</v>
      </c>
      <c r="X109" s="106" t="s">
        <v>221</v>
      </c>
      <c r="Y109" s="106" t="s">
        <v>12</v>
      </c>
      <c r="Z109" s="107">
        <v>1500</v>
      </c>
      <c r="AA109" s="107">
        <v>1500</v>
      </c>
      <c r="AB109" s="107"/>
      <c r="AC109" s="108"/>
    </row>
    <row r="110" spans="18:29" x14ac:dyDescent="0.2">
      <c r="R110" s="146"/>
      <c r="S110" s="144"/>
      <c r="T110" s="144"/>
      <c r="U110" s="144"/>
      <c r="V110" s="144"/>
      <c r="W110" s="106" t="s">
        <v>222</v>
      </c>
      <c r="X110" s="106" t="s">
        <v>223</v>
      </c>
      <c r="Y110" s="106" t="s">
        <v>12</v>
      </c>
      <c r="Z110" s="107">
        <v>1800</v>
      </c>
      <c r="AA110" s="107">
        <v>1800</v>
      </c>
      <c r="AB110" s="107"/>
      <c r="AC110" s="108"/>
    </row>
    <row r="111" spans="18:29" x14ac:dyDescent="0.2">
      <c r="R111" s="146"/>
      <c r="S111" s="144"/>
      <c r="T111" s="144"/>
      <c r="U111" s="144"/>
      <c r="V111" s="144"/>
      <c r="W111" s="106" t="s">
        <v>224</v>
      </c>
      <c r="X111" s="106" t="s">
        <v>225</v>
      </c>
      <c r="Y111" s="106" t="s">
        <v>12</v>
      </c>
      <c r="Z111" s="107">
        <v>1714</v>
      </c>
      <c r="AA111" s="107">
        <v>1714</v>
      </c>
      <c r="AB111" s="107"/>
      <c r="AC111" s="108"/>
    </row>
    <row r="112" spans="18:29" x14ac:dyDescent="0.2">
      <c r="R112" s="146"/>
      <c r="S112" s="144"/>
      <c r="T112" s="144"/>
      <c r="U112" s="144"/>
      <c r="V112" s="144"/>
      <c r="W112" s="106" t="s">
        <v>226</v>
      </c>
      <c r="X112" s="106" t="s">
        <v>227</v>
      </c>
      <c r="Y112" s="106" t="s">
        <v>12</v>
      </c>
      <c r="Z112" s="107">
        <v>3500</v>
      </c>
      <c r="AA112" s="107">
        <v>3500</v>
      </c>
      <c r="AB112" s="107">
        <v>1150</v>
      </c>
      <c r="AC112" s="108">
        <v>1150</v>
      </c>
    </row>
    <row r="113" spans="18:29" x14ac:dyDescent="0.2">
      <c r="R113" s="146"/>
      <c r="S113" s="144"/>
      <c r="T113" s="144"/>
      <c r="U113" s="144"/>
      <c r="V113" s="144"/>
      <c r="W113" s="109" t="s">
        <v>228</v>
      </c>
      <c r="X113" s="109" t="s">
        <v>229</v>
      </c>
      <c r="Y113" s="109" t="s">
        <v>12</v>
      </c>
      <c r="Z113" s="107">
        <v>0</v>
      </c>
      <c r="AA113" s="107">
        <v>13690</v>
      </c>
      <c r="AB113" s="107">
        <v>13690</v>
      </c>
      <c r="AC113" s="108">
        <v>13690</v>
      </c>
    </row>
    <row r="114" spans="18:29" x14ac:dyDescent="0.2">
      <c r="R114" s="146"/>
      <c r="S114" s="144"/>
      <c r="T114" s="144"/>
      <c r="U114" s="144"/>
      <c r="V114" s="144"/>
      <c r="W114" s="109" t="s">
        <v>230</v>
      </c>
      <c r="X114" s="109" t="s">
        <v>231</v>
      </c>
      <c r="Y114" s="109" t="s">
        <v>12</v>
      </c>
      <c r="Z114" s="107">
        <v>0</v>
      </c>
      <c r="AA114" s="107">
        <v>7415</v>
      </c>
      <c r="AB114" s="107">
        <v>7414.3</v>
      </c>
      <c r="AC114" s="108">
        <v>7414.3</v>
      </c>
    </row>
    <row r="115" spans="18:29" x14ac:dyDescent="0.2">
      <c r="R115" s="146"/>
      <c r="S115" s="144"/>
      <c r="T115" s="144"/>
      <c r="U115" s="144"/>
      <c r="V115" s="144"/>
      <c r="W115" s="109" t="s">
        <v>232</v>
      </c>
      <c r="X115" s="109" t="s">
        <v>233</v>
      </c>
      <c r="Y115" s="109" t="s">
        <v>12</v>
      </c>
      <c r="Z115" s="107">
        <v>0</v>
      </c>
      <c r="AA115" s="107">
        <v>3200</v>
      </c>
      <c r="AB115" s="107">
        <v>3200</v>
      </c>
      <c r="AC115" s="108">
        <v>3200</v>
      </c>
    </row>
    <row r="116" spans="18:29" x14ac:dyDescent="0.2">
      <c r="R116" s="146"/>
      <c r="S116" s="144"/>
      <c r="T116" s="144"/>
      <c r="U116" s="144"/>
      <c r="V116" s="144"/>
      <c r="W116" s="106" t="s">
        <v>234</v>
      </c>
      <c r="X116" s="106" t="s">
        <v>235</v>
      </c>
      <c r="Y116" s="109" t="s">
        <v>12</v>
      </c>
      <c r="Z116" s="107">
        <v>1000</v>
      </c>
      <c r="AA116" s="107">
        <v>1100</v>
      </c>
      <c r="AB116" s="107"/>
      <c r="AC116" s="108"/>
    </row>
    <row r="117" spans="18:29" x14ac:dyDescent="0.2">
      <c r="R117" s="146"/>
      <c r="S117" s="144"/>
      <c r="T117" s="144"/>
      <c r="U117" s="144"/>
      <c r="V117" s="144"/>
      <c r="W117" s="106" t="s">
        <v>236</v>
      </c>
      <c r="X117" s="106" t="s">
        <v>237</v>
      </c>
      <c r="Y117" s="106" t="s">
        <v>12</v>
      </c>
      <c r="Z117" s="107">
        <v>0</v>
      </c>
      <c r="AA117" s="107">
        <v>600</v>
      </c>
      <c r="AB117" s="107">
        <v>600</v>
      </c>
      <c r="AC117" s="108"/>
    </row>
    <row r="118" spans="18:29" x14ac:dyDescent="0.2">
      <c r="R118" s="146"/>
      <c r="S118" s="144"/>
      <c r="T118" s="144"/>
      <c r="U118" s="144"/>
      <c r="V118" s="144"/>
      <c r="W118" s="106" t="s">
        <v>238</v>
      </c>
      <c r="X118" s="106" t="s">
        <v>239</v>
      </c>
      <c r="Y118" s="106" t="s">
        <v>12</v>
      </c>
      <c r="Z118" s="107">
        <v>850</v>
      </c>
      <c r="AA118" s="107">
        <v>850</v>
      </c>
      <c r="AB118" s="107"/>
      <c r="AC118" s="108"/>
    </row>
    <row r="119" spans="18:29" x14ac:dyDescent="0.2">
      <c r="R119" s="146"/>
      <c r="S119" s="144"/>
      <c r="T119" s="144"/>
      <c r="U119" s="144"/>
      <c r="V119" s="144"/>
      <c r="W119" s="106" t="s">
        <v>240</v>
      </c>
      <c r="X119" s="106" t="s">
        <v>241</v>
      </c>
      <c r="Y119" s="106" t="s">
        <v>12</v>
      </c>
      <c r="Z119" s="107">
        <v>8472</v>
      </c>
      <c r="AA119" s="107">
        <v>14800</v>
      </c>
      <c r="AB119" s="107">
        <v>7740</v>
      </c>
      <c r="AC119" s="108">
        <v>7740</v>
      </c>
    </row>
    <row r="120" spans="18:29" ht="14" customHeight="1" x14ac:dyDescent="0.2">
      <c r="R120" s="146"/>
      <c r="S120" s="144"/>
      <c r="T120" s="144"/>
      <c r="U120" s="144"/>
      <c r="V120" s="144" t="s">
        <v>242</v>
      </c>
      <c r="W120" s="109" t="s">
        <v>243</v>
      </c>
      <c r="X120" s="109" t="s">
        <v>244</v>
      </c>
      <c r="Y120" s="109" t="s">
        <v>12</v>
      </c>
      <c r="Z120" s="107">
        <v>15600</v>
      </c>
      <c r="AA120" s="107">
        <v>14375</v>
      </c>
      <c r="AB120" s="107"/>
      <c r="AC120" s="108"/>
    </row>
    <row r="121" spans="18:29" x14ac:dyDescent="0.2">
      <c r="R121" s="146"/>
      <c r="S121" s="144"/>
      <c r="T121" s="144"/>
      <c r="U121" s="144"/>
      <c r="V121" s="144"/>
      <c r="W121" s="109" t="s">
        <v>192</v>
      </c>
      <c r="X121" s="109" t="s">
        <v>245</v>
      </c>
      <c r="Y121" s="109" t="s">
        <v>12</v>
      </c>
      <c r="Z121" s="107">
        <v>9000</v>
      </c>
      <c r="AA121" s="107">
        <v>10380</v>
      </c>
      <c r="AB121" s="107">
        <v>9600</v>
      </c>
      <c r="AC121" s="108">
        <v>9600</v>
      </c>
    </row>
    <row r="122" spans="18:29" x14ac:dyDescent="0.2">
      <c r="R122" s="146"/>
      <c r="S122" s="144"/>
      <c r="T122" s="144"/>
      <c r="U122" s="144"/>
      <c r="V122" s="144"/>
      <c r="W122" s="109" t="s">
        <v>194</v>
      </c>
      <c r="X122" s="109" t="s">
        <v>246</v>
      </c>
      <c r="Y122" s="109" t="s">
        <v>12</v>
      </c>
      <c r="Z122" s="107">
        <v>9800</v>
      </c>
      <c r="AA122" s="107">
        <v>9800</v>
      </c>
      <c r="AB122" s="107"/>
      <c r="AC122" s="108"/>
    </row>
    <row r="123" spans="18:29" x14ac:dyDescent="0.2">
      <c r="R123" s="146"/>
      <c r="S123" s="144"/>
      <c r="T123" s="144"/>
      <c r="U123" s="144"/>
      <c r="V123" s="144"/>
      <c r="W123" s="109" t="s">
        <v>247</v>
      </c>
      <c r="X123" s="109" t="s">
        <v>248</v>
      </c>
      <c r="Y123" s="109" t="s">
        <v>12</v>
      </c>
      <c r="Z123" s="107">
        <v>49380</v>
      </c>
      <c r="AA123" s="107">
        <v>27139</v>
      </c>
      <c r="AB123" s="107"/>
      <c r="AC123" s="108"/>
    </row>
    <row r="124" spans="18:29" x14ac:dyDescent="0.2">
      <c r="R124" s="146"/>
      <c r="S124" s="144"/>
      <c r="T124" s="144"/>
      <c r="U124" s="144"/>
      <c r="V124" s="144"/>
      <c r="W124" s="109" t="s">
        <v>249</v>
      </c>
      <c r="X124" s="109" t="s">
        <v>250</v>
      </c>
      <c r="Y124" s="109" t="s">
        <v>12</v>
      </c>
      <c r="Z124" s="107">
        <v>5200</v>
      </c>
      <c r="AA124" s="107">
        <v>8758</v>
      </c>
      <c r="AB124" s="107">
        <v>4386.75</v>
      </c>
      <c r="AC124" s="108">
        <v>4386.75</v>
      </c>
    </row>
    <row r="125" spans="18:29" x14ac:dyDescent="0.2">
      <c r="R125" s="146"/>
      <c r="S125" s="144"/>
      <c r="T125" s="144"/>
      <c r="U125" s="144"/>
      <c r="V125" s="144"/>
      <c r="W125" s="109" t="s">
        <v>251</v>
      </c>
      <c r="X125" s="109" t="s">
        <v>252</v>
      </c>
      <c r="Y125" s="109" t="s">
        <v>12</v>
      </c>
      <c r="Z125" s="107">
        <v>19274</v>
      </c>
      <c r="AA125" s="107">
        <v>19274</v>
      </c>
      <c r="AB125" s="107"/>
      <c r="AC125" s="108"/>
    </row>
    <row r="126" spans="18:29" x14ac:dyDescent="0.2">
      <c r="R126" s="146"/>
      <c r="S126" s="144"/>
      <c r="T126" s="144"/>
      <c r="U126" s="144"/>
      <c r="V126" s="144"/>
      <c r="W126" s="109" t="s">
        <v>253</v>
      </c>
      <c r="X126" s="109" t="s">
        <v>254</v>
      </c>
      <c r="Y126" s="109" t="s">
        <v>12</v>
      </c>
      <c r="Z126" s="107">
        <v>2100</v>
      </c>
      <c r="AA126" s="107">
        <v>2100</v>
      </c>
      <c r="AB126" s="107"/>
      <c r="AC126" s="108"/>
    </row>
    <row r="127" spans="18:29" x14ac:dyDescent="0.2">
      <c r="R127" s="146"/>
      <c r="S127" s="144"/>
      <c r="T127" s="144"/>
      <c r="U127" s="144"/>
      <c r="V127" s="144"/>
      <c r="W127" s="109" t="s">
        <v>255</v>
      </c>
      <c r="X127" s="109" t="s">
        <v>256</v>
      </c>
      <c r="Y127" s="109" t="s">
        <v>12</v>
      </c>
      <c r="Z127" s="107">
        <v>0</v>
      </c>
      <c r="AA127" s="107">
        <v>5340</v>
      </c>
      <c r="AB127" s="107">
        <v>4441.05</v>
      </c>
      <c r="AC127" s="108">
        <v>4441.05</v>
      </c>
    </row>
    <row r="128" spans="18:29" x14ac:dyDescent="0.2">
      <c r="R128" s="146"/>
      <c r="S128" s="144"/>
      <c r="T128" s="144"/>
      <c r="U128" s="144"/>
      <c r="V128" s="144"/>
      <c r="W128" s="109" t="s">
        <v>257</v>
      </c>
      <c r="X128" s="109" t="s">
        <v>258</v>
      </c>
      <c r="Y128" s="109" t="s">
        <v>12</v>
      </c>
      <c r="Z128" s="107">
        <v>0</v>
      </c>
      <c r="AA128" s="107">
        <v>13188</v>
      </c>
      <c r="AB128" s="107">
        <v>11520</v>
      </c>
      <c r="AC128" s="108">
        <v>11520</v>
      </c>
    </row>
    <row r="129" spans="18:29" ht="14" customHeight="1" x14ac:dyDescent="0.2">
      <c r="R129" s="146"/>
      <c r="S129" s="144"/>
      <c r="T129" s="144"/>
      <c r="U129" s="144"/>
      <c r="V129" s="144" t="s">
        <v>259</v>
      </c>
      <c r="W129" s="106" t="s">
        <v>184</v>
      </c>
      <c r="X129" s="106" t="s">
        <v>260</v>
      </c>
      <c r="Y129" s="106" t="s">
        <v>12</v>
      </c>
      <c r="Z129" s="107">
        <v>1370663</v>
      </c>
      <c r="AA129" s="107">
        <v>1845997</v>
      </c>
      <c r="AB129" s="107">
        <v>1484497</v>
      </c>
      <c r="AC129" s="108">
        <v>545384.5</v>
      </c>
    </row>
    <row r="130" spans="18:29" x14ac:dyDescent="0.2">
      <c r="R130" s="146"/>
      <c r="S130" s="144"/>
      <c r="T130" s="144"/>
      <c r="U130" s="144"/>
      <c r="V130" s="144"/>
      <c r="W130" s="106" t="s">
        <v>243</v>
      </c>
      <c r="X130" s="106" t="s">
        <v>261</v>
      </c>
      <c r="Y130" s="106" t="s">
        <v>12</v>
      </c>
      <c r="Z130" s="107">
        <v>475334</v>
      </c>
      <c r="AA130" s="107">
        <v>237667</v>
      </c>
      <c r="AB130" s="107">
        <v>237667</v>
      </c>
      <c r="AC130" s="108">
        <v>100800</v>
      </c>
    </row>
    <row r="131" spans="18:29" x14ac:dyDescent="0.2">
      <c r="R131" s="146"/>
      <c r="S131" s="144"/>
      <c r="T131" s="144"/>
      <c r="U131" s="144"/>
      <c r="V131" s="144"/>
      <c r="W131" s="106" t="s">
        <v>202</v>
      </c>
      <c r="X131" s="106" t="s">
        <v>262</v>
      </c>
      <c r="Y131" s="106" t="s">
        <v>12</v>
      </c>
      <c r="Z131" s="107">
        <v>475334</v>
      </c>
      <c r="AA131" s="107">
        <v>237667</v>
      </c>
      <c r="AB131" s="107">
        <v>237667</v>
      </c>
      <c r="AC131" s="108">
        <v>194178.92</v>
      </c>
    </row>
    <row r="132" spans="18:29" ht="14" customHeight="1" x14ac:dyDescent="0.2">
      <c r="R132" s="146"/>
      <c r="S132" s="144"/>
      <c r="T132" s="144"/>
      <c r="U132" s="144"/>
      <c r="V132" s="144" t="s">
        <v>183</v>
      </c>
      <c r="W132" s="144" t="s">
        <v>184</v>
      </c>
      <c r="X132" s="144" t="s">
        <v>185</v>
      </c>
      <c r="Y132" s="135" t="s">
        <v>12</v>
      </c>
      <c r="Z132" s="136">
        <v>153807483</v>
      </c>
      <c r="AA132" s="136">
        <v>158842654</v>
      </c>
      <c r="AB132" s="136">
        <v>143344378.08000001</v>
      </c>
      <c r="AC132" s="137">
        <v>101234845.48999999</v>
      </c>
    </row>
    <row r="133" spans="18:29" ht="14" customHeight="1" x14ac:dyDescent="0.2">
      <c r="R133" s="146"/>
      <c r="S133" s="144"/>
      <c r="T133" s="144"/>
      <c r="U133" s="144"/>
      <c r="V133" s="144"/>
      <c r="W133" s="144"/>
      <c r="X133" s="144"/>
      <c r="Y133" s="135" t="s">
        <v>13</v>
      </c>
      <c r="Z133" s="136">
        <v>57356817</v>
      </c>
      <c r="AA133" s="136">
        <v>57356817</v>
      </c>
      <c r="AB133" s="136">
        <v>37254518.100000001</v>
      </c>
      <c r="AC133" s="137">
        <v>31418780.219999999</v>
      </c>
    </row>
    <row r="134" spans="18:29" x14ac:dyDescent="0.2">
      <c r="R134" s="146"/>
      <c r="S134" s="144"/>
      <c r="T134" s="144"/>
      <c r="U134" s="144"/>
      <c r="V134" s="144"/>
      <c r="W134" s="144"/>
      <c r="X134" s="144"/>
      <c r="Y134" s="135" t="s">
        <v>263</v>
      </c>
      <c r="Z134" s="136"/>
      <c r="AA134" s="136">
        <v>10067173</v>
      </c>
      <c r="AB134" s="136"/>
      <c r="AC134" s="137"/>
    </row>
    <row r="135" spans="18:29" x14ac:dyDescent="0.2">
      <c r="R135" s="146"/>
      <c r="S135" s="144"/>
      <c r="T135" s="144"/>
      <c r="U135" s="144"/>
      <c r="V135" s="144"/>
      <c r="W135" s="106" t="s">
        <v>192</v>
      </c>
      <c r="X135" s="106" t="s">
        <v>264</v>
      </c>
      <c r="Y135" s="106" t="s">
        <v>12</v>
      </c>
      <c r="Z135" s="107">
        <v>484811</v>
      </c>
      <c r="AA135" s="107">
        <v>484811</v>
      </c>
      <c r="AB135" s="107">
        <v>464965.24</v>
      </c>
      <c r="AC135" s="108">
        <v>330010.65000000002</v>
      </c>
    </row>
    <row r="136" spans="18:29" x14ac:dyDescent="0.2">
      <c r="R136" s="146"/>
      <c r="S136" s="144"/>
      <c r="T136" s="144"/>
      <c r="U136" s="144"/>
      <c r="V136" s="106" t="s">
        <v>265</v>
      </c>
      <c r="W136" s="106" t="s">
        <v>184</v>
      </c>
      <c r="X136" s="106" t="s">
        <v>266</v>
      </c>
      <c r="Y136" s="106" t="s">
        <v>12</v>
      </c>
      <c r="Z136" s="107">
        <v>92202</v>
      </c>
      <c r="AA136" s="107">
        <v>92202</v>
      </c>
      <c r="AB136" s="107"/>
      <c r="AC136" s="108"/>
    </row>
    <row r="137" spans="18:29" ht="14" customHeight="1" x14ac:dyDescent="0.2">
      <c r="R137" s="146"/>
      <c r="S137" s="144"/>
      <c r="T137" s="144"/>
      <c r="U137" s="144"/>
      <c r="V137" s="144" t="s">
        <v>267</v>
      </c>
      <c r="W137" s="106" t="s">
        <v>184</v>
      </c>
      <c r="X137" s="106" t="s">
        <v>268</v>
      </c>
      <c r="Y137" s="106" t="s">
        <v>12</v>
      </c>
      <c r="Z137" s="107">
        <v>268498</v>
      </c>
      <c r="AA137" s="107">
        <v>268498</v>
      </c>
      <c r="AB137" s="107">
        <v>171177.81</v>
      </c>
      <c r="AC137" s="108">
        <v>144598.23000000001</v>
      </c>
    </row>
    <row r="138" spans="18:29" x14ac:dyDescent="0.2">
      <c r="R138" s="146"/>
      <c r="S138" s="144"/>
      <c r="T138" s="144"/>
      <c r="U138" s="144"/>
      <c r="V138" s="144"/>
      <c r="W138" s="106" t="s">
        <v>192</v>
      </c>
      <c r="X138" s="106" t="s">
        <v>269</v>
      </c>
      <c r="Y138" s="106" t="s">
        <v>12</v>
      </c>
      <c r="Z138" s="107">
        <v>149918</v>
      </c>
      <c r="AA138" s="107">
        <v>149918</v>
      </c>
      <c r="AB138" s="107">
        <v>145918</v>
      </c>
      <c r="AC138" s="108"/>
    </row>
    <row r="139" spans="18:29" ht="14" customHeight="1" x14ac:dyDescent="0.2">
      <c r="R139" s="146"/>
      <c r="S139" s="144"/>
      <c r="T139" s="144"/>
      <c r="U139" s="144"/>
      <c r="V139" s="144" t="s">
        <v>270</v>
      </c>
      <c r="W139" s="106" t="s">
        <v>243</v>
      </c>
      <c r="X139" s="106" t="s">
        <v>271</v>
      </c>
      <c r="Y139" s="106" t="s">
        <v>12</v>
      </c>
      <c r="Z139" s="107">
        <v>576738</v>
      </c>
      <c r="AA139" s="107">
        <v>576738</v>
      </c>
      <c r="AB139" s="107">
        <v>576738</v>
      </c>
      <c r="AC139" s="108"/>
    </row>
    <row r="140" spans="18:29" x14ac:dyDescent="0.2">
      <c r="R140" s="146"/>
      <c r="S140" s="144"/>
      <c r="T140" s="144"/>
      <c r="U140" s="144"/>
      <c r="V140" s="144"/>
      <c r="W140" s="106" t="s">
        <v>192</v>
      </c>
      <c r="X140" s="106" t="s">
        <v>272</v>
      </c>
      <c r="Y140" s="106" t="s">
        <v>12</v>
      </c>
      <c r="Z140" s="107">
        <v>15781090</v>
      </c>
      <c r="AA140" s="107">
        <v>18781090</v>
      </c>
      <c r="AB140" s="107">
        <v>15781089.9</v>
      </c>
      <c r="AC140" s="108">
        <v>9297657.25</v>
      </c>
    </row>
    <row r="141" spans="18:29" x14ac:dyDescent="0.2">
      <c r="R141" s="146"/>
      <c r="S141" s="144"/>
      <c r="T141" s="144"/>
      <c r="U141" s="144"/>
      <c r="V141" s="144"/>
      <c r="W141" s="106" t="s">
        <v>194</v>
      </c>
      <c r="X141" s="106" t="s">
        <v>273</v>
      </c>
      <c r="Y141" s="106" t="s">
        <v>12</v>
      </c>
      <c r="Z141" s="107">
        <v>23434100</v>
      </c>
      <c r="AA141" s="107">
        <v>20767387</v>
      </c>
      <c r="AB141" s="107">
        <v>20434100</v>
      </c>
      <c r="AC141" s="108">
        <v>6276577.3700000001</v>
      </c>
    </row>
    <row r="142" spans="18:29" x14ac:dyDescent="0.2">
      <c r="R142" s="146"/>
      <c r="S142" s="144"/>
      <c r="T142" s="144"/>
      <c r="U142" s="144"/>
      <c r="V142" s="144"/>
      <c r="W142" s="106" t="s">
        <v>196</v>
      </c>
      <c r="X142" s="106" t="s">
        <v>274</v>
      </c>
      <c r="Y142" s="106" t="s">
        <v>12</v>
      </c>
      <c r="Z142" s="107">
        <v>443287</v>
      </c>
      <c r="AA142" s="107">
        <v>110000</v>
      </c>
      <c r="AB142" s="107"/>
      <c r="AC142" s="108"/>
    </row>
    <row r="143" spans="18:29" x14ac:dyDescent="0.2">
      <c r="R143" s="146"/>
      <c r="S143" s="144"/>
      <c r="T143" s="144"/>
      <c r="U143" s="144"/>
      <c r="V143" s="106" t="s">
        <v>275</v>
      </c>
      <c r="W143" s="106" t="s">
        <v>184</v>
      </c>
      <c r="X143" s="106" t="s">
        <v>276</v>
      </c>
      <c r="Y143" s="106" t="s">
        <v>12</v>
      </c>
      <c r="Z143" s="107">
        <v>1083763</v>
      </c>
      <c r="AA143" s="107">
        <v>1083763</v>
      </c>
      <c r="AB143" s="107">
        <v>516512.68</v>
      </c>
      <c r="AC143" s="108">
        <v>90715.91</v>
      </c>
    </row>
    <row r="144" spans="18:29" x14ac:dyDescent="0.2">
      <c r="R144" s="146"/>
      <c r="S144" s="144"/>
      <c r="T144" s="144"/>
      <c r="U144" s="144"/>
      <c r="V144" s="106" t="s">
        <v>188</v>
      </c>
      <c r="W144" s="106" t="s">
        <v>243</v>
      </c>
      <c r="X144" s="106" t="s">
        <v>277</v>
      </c>
      <c r="Y144" s="106" t="s">
        <v>12</v>
      </c>
      <c r="Z144" s="107">
        <v>52100</v>
      </c>
      <c r="AA144" s="107">
        <v>52100</v>
      </c>
      <c r="AB144" s="107"/>
      <c r="AC144" s="108"/>
    </row>
    <row r="145" spans="18:29" ht="14" customHeight="1" x14ac:dyDescent="0.2">
      <c r="R145" s="146"/>
      <c r="S145" s="144" t="s">
        <v>278</v>
      </c>
      <c r="T145" s="144" t="s">
        <v>279</v>
      </c>
      <c r="U145" s="106" t="s">
        <v>182</v>
      </c>
      <c r="V145" s="106" t="s">
        <v>259</v>
      </c>
      <c r="W145" s="106" t="s">
        <v>184</v>
      </c>
      <c r="X145" s="106" t="s">
        <v>260</v>
      </c>
      <c r="Y145" s="106" t="s">
        <v>12</v>
      </c>
      <c r="Z145" s="107">
        <v>50000</v>
      </c>
      <c r="AA145" s="107">
        <v>50000</v>
      </c>
      <c r="AB145" s="107"/>
      <c r="AC145" s="108"/>
    </row>
    <row r="146" spans="18:29" ht="14" customHeight="1" x14ac:dyDescent="0.2">
      <c r="R146" s="146"/>
      <c r="S146" s="144"/>
      <c r="T146" s="144"/>
      <c r="U146" s="144" t="s">
        <v>190</v>
      </c>
      <c r="V146" s="106" t="s">
        <v>259</v>
      </c>
      <c r="W146" s="106" t="s">
        <v>184</v>
      </c>
      <c r="X146" s="106" t="s">
        <v>260</v>
      </c>
      <c r="Y146" s="106" t="s">
        <v>12</v>
      </c>
      <c r="Z146" s="107">
        <v>1750000</v>
      </c>
      <c r="AA146" s="107">
        <v>1950000</v>
      </c>
      <c r="AB146" s="107">
        <v>532712.64</v>
      </c>
      <c r="AC146" s="108"/>
    </row>
    <row r="147" spans="18:29" x14ac:dyDescent="0.2">
      <c r="R147" s="146"/>
      <c r="S147" s="144"/>
      <c r="T147" s="144"/>
      <c r="U147" s="144"/>
      <c r="V147" s="106" t="s">
        <v>183</v>
      </c>
      <c r="W147" s="106" t="s">
        <v>184</v>
      </c>
      <c r="X147" s="106" t="s">
        <v>185</v>
      </c>
      <c r="Y147" s="106" t="s">
        <v>12</v>
      </c>
      <c r="Z147" s="107">
        <v>200001</v>
      </c>
      <c r="AA147" s="107">
        <v>2270001</v>
      </c>
      <c r="AB147" s="107"/>
      <c r="AC147" s="108"/>
    </row>
    <row r="148" spans="18:29" ht="14" customHeight="1" x14ac:dyDescent="0.2">
      <c r="R148" s="146"/>
      <c r="S148" s="144" t="s">
        <v>280</v>
      </c>
      <c r="T148" s="144" t="s">
        <v>281</v>
      </c>
      <c r="U148" s="142" t="s">
        <v>182</v>
      </c>
      <c r="V148" s="142" t="s">
        <v>183</v>
      </c>
      <c r="W148" s="142" t="s">
        <v>184</v>
      </c>
      <c r="X148" s="142" t="s">
        <v>185</v>
      </c>
      <c r="Y148" s="110" t="s">
        <v>12</v>
      </c>
      <c r="Z148" s="107">
        <v>32864000</v>
      </c>
      <c r="AA148" s="107">
        <v>30179936</v>
      </c>
      <c r="AB148" s="107">
        <v>513398.19</v>
      </c>
      <c r="AC148" s="108"/>
    </row>
    <row r="149" spans="18:29" x14ac:dyDescent="0.2">
      <c r="R149" s="146"/>
      <c r="S149" s="144"/>
      <c r="T149" s="144"/>
      <c r="U149" s="142"/>
      <c r="V149" s="142"/>
      <c r="W149" s="142"/>
      <c r="X149" s="142"/>
      <c r="Y149" s="110" t="s">
        <v>282</v>
      </c>
      <c r="Z149" s="107"/>
      <c r="AA149" s="107">
        <v>14551</v>
      </c>
      <c r="AB149" s="107"/>
      <c r="AC149" s="108"/>
    </row>
    <row r="150" spans="18:29" x14ac:dyDescent="0.2">
      <c r="R150" s="146"/>
      <c r="S150" s="144"/>
      <c r="T150" s="144"/>
      <c r="U150" s="106" t="s">
        <v>190</v>
      </c>
      <c r="V150" s="106" t="s">
        <v>183</v>
      </c>
      <c r="W150" s="106" t="s">
        <v>184</v>
      </c>
      <c r="X150" s="106" t="s">
        <v>185</v>
      </c>
      <c r="Y150" s="106" t="s">
        <v>12</v>
      </c>
      <c r="Z150" s="107">
        <v>30216887</v>
      </c>
      <c r="AA150" s="107">
        <v>40386400</v>
      </c>
      <c r="AB150" s="107">
        <v>6795444.8499999996</v>
      </c>
      <c r="AC150" s="108">
        <v>1373041</v>
      </c>
    </row>
    <row r="151" spans="18:29" x14ac:dyDescent="0.2">
      <c r="R151" s="111" t="s">
        <v>101</v>
      </c>
      <c r="S151" s="143"/>
      <c r="T151" s="143"/>
      <c r="U151" s="111"/>
      <c r="V151" s="111"/>
      <c r="W151" s="143"/>
      <c r="X151" s="143"/>
      <c r="Y151" s="111"/>
      <c r="Z151" s="112">
        <f>SUM(Z90:Z150)</f>
        <v>357516664</v>
      </c>
      <c r="AA151" s="112">
        <f>SUM(AA90:AA150)</f>
        <v>377407361</v>
      </c>
      <c r="AB151" s="112">
        <f>SUM(AB90:AB150)</f>
        <v>236937001.91</v>
      </c>
      <c r="AC151" s="112">
        <f>SUM(AC90:AC150)</f>
        <v>152798589.24999997</v>
      </c>
    </row>
  </sheetData>
  <mergeCells count="56">
    <mergeCell ref="B3:K3"/>
    <mergeCell ref="N8:O8"/>
    <mergeCell ref="E11:E12"/>
    <mergeCell ref="F11:F12"/>
    <mergeCell ref="G11:G12"/>
    <mergeCell ref="H11:H12"/>
    <mergeCell ref="I11:I12"/>
    <mergeCell ref="E13:E19"/>
    <mergeCell ref="F13:F19"/>
    <mergeCell ref="G13:G19"/>
    <mergeCell ref="H13:H19"/>
    <mergeCell ref="I13:I19"/>
    <mergeCell ref="E21:E22"/>
    <mergeCell ref="F21:F22"/>
    <mergeCell ref="G21:G22"/>
    <mergeCell ref="H21:H22"/>
    <mergeCell ref="I21:I22"/>
    <mergeCell ref="E30:E32"/>
    <mergeCell ref="F30:F32"/>
    <mergeCell ref="G30:G32"/>
    <mergeCell ref="H30:H32"/>
    <mergeCell ref="I30:I32"/>
    <mergeCell ref="H42:J42"/>
    <mergeCell ref="I69:J69"/>
    <mergeCell ref="R88:R89"/>
    <mergeCell ref="S88:T89"/>
    <mergeCell ref="U88:U89"/>
    <mergeCell ref="V88:V89"/>
    <mergeCell ref="W88:X89"/>
    <mergeCell ref="R90:R150"/>
    <mergeCell ref="S90:S144"/>
    <mergeCell ref="T90:T144"/>
    <mergeCell ref="U90:U94"/>
    <mergeCell ref="V90:V93"/>
    <mergeCell ref="W90:W93"/>
    <mergeCell ref="X90:X93"/>
    <mergeCell ref="U95:U144"/>
    <mergeCell ref="V95:V119"/>
    <mergeCell ref="V120:V128"/>
    <mergeCell ref="V129:V131"/>
    <mergeCell ref="V132:V135"/>
    <mergeCell ref="W132:W134"/>
    <mergeCell ref="X132:X134"/>
    <mergeCell ref="V137:V138"/>
    <mergeCell ref="V139:V142"/>
    <mergeCell ref="S145:S147"/>
    <mergeCell ref="T145:T147"/>
    <mergeCell ref="U146:U147"/>
    <mergeCell ref="X148:X149"/>
    <mergeCell ref="S151:T151"/>
    <mergeCell ref="W151:X151"/>
    <mergeCell ref="S148:S150"/>
    <mergeCell ref="T148:T150"/>
    <mergeCell ref="U148:U149"/>
    <mergeCell ref="V148:V149"/>
    <mergeCell ref="W148:W149"/>
  </mergeCells>
  <phoneticPr fontId="37" type="noConversion"/>
  <pageMargins left="0.51180555555555596" right="0.51180555555555596" top="1.1812499999999999" bottom="1.1812499999999999" header="0.511811023622047" footer="0.511811023622047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87"/>
  <sheetViews>
    <sheetView topLeftCell="D1" zoomScaleNormal="100" workbookViewId="0">
      <selection activeCell="R6" sqref="R6"/>
    </sheetView>
  </sheetViews>
  <sheetFormatPr baseColWidth="10" defaultColWidth="9.33203125" defaultRowHeight="15" x14ac:dyDescent="0.2"/>
  <cols>
    <col min="1" max="1" width="11.5" style="113" customWidth="1"/>
    <col min="2" max="2" width="5.33203125" style="113" customWidth="1"/>
    <col min="3" max="3" width="9.83203125" style="113" customWidth="1"/>
    <col min="4" max="4" width="46.6640625" style="113" customWidth="1"/>
    <col min="5" max="18" width="13.1640625" style="113" customWidth="1"/>
    <col min="19" max="19" width="9.33203125" style="113"/>
    <col min="20" max="20" width="12.1640625" customWidth="1"/>
    <col min="21" max="21" width="9.33203125" style="113"/>
    <col min="22" max="22" width="13.5" style="113" customWidth="1"/>
    <col min="23" max="16384" width="9.33203125" style="113"/>
  </cols>
  <sheetData>
    <row r="1" spans="1:22" ht="16" x14ac:dyDescent="0.2">
      <c r="A1" s="114" t="s">
        <v>283</v>
      </c>
      <c r="T1">
        <v>4</v>
      </c>
    </row>
    <row r="2" spans="1:22" x14ac:dyDescent="0.2">
      <c r="A2" s="113" t="str">
        <f>UO_26271!B6</f>
        <v>Atualizado: 20/10/2025</v>
      </c>
    </row>
    <row r="3" spans="1:22" s="116" customFormat="1" ht="42.75" customHeight="1" x14ac:dyDescent="0.2">
      <c r="A3" s="164" t="s">
        <v>167</v>
      </c>
      <c r="B3" s="164" t="s">
        <v>177</v>
      </c>
      <c r="C3" s="164" t="s">
        <v>172</v>
      </c>
      <c r="D3" s="164"/>
      <c r="E3" s="115" t="s">
        <v>284</v>
      </c>
      <c r="F3" s="115" t="s">
        <v>284</v>
      </c>
      <c r="G3" s="115" t="s">
        <v>284</v>
      </c>
      <c r="H3" s="115" t="s">
        <v>284</v>
      </c>
      <c r="I3" s="115" t="s">
        <v>284</v>
      </c>
      <c r="J3" s="115" t="s">
        <v>284</v>
      </c>
      <c r="K3" s="115" t="s">
        <v>284</v>
      </c>
      <c r="L3" s="115" t="s">
        <v>284</v>
      </c>
      <c r="M3" s="115" t="s">
        <v>284</v>
      </c>
      <c r="N3" s="115" t="s">
        <v>284</v>
      </c>
      <c r="O3" s="163" t="s">
        <v>101</v>
      </c>
      <c r="P3" s="166" t="s">
        <v>285</v>
      </c>
      <c r="Q3" s="163" t="s">
        <v>286</v>
      </c>
      <c r="R3" s="163" t="s">
        <v>287</v>
      </c>
      <c r="T3" s="117"/>
    </row>
    <row r="4" spans="1:22" s="116" customFormat="1" ht="13.5" customHeight="1" x14ac:dyDescent="0.2">
      <c r="A4" s="164"/>
      <c r="B4" s="164"/>
      <c r="C4" s="164" t="s">
        <v>288</v>
      </c>
      <c r="D4" s="164"/>
      <c r="E4" s="118" t="s">
        <v>289</v>
      </c>
      <c r="F4" s="118" t="s">
        <v>290</v>
      </c>
      <c r="G4" s="119" t="s">
        <v>291</v>
      </c>
      <c r="H4" s="120">
        <v>45748</v>
      </c>
      <c r="I4" s="120">
        <v>45778</v>
      </c>
      <c r="J4" s="120">
        <v>45809</v>
      </c>
      <c r="K4" s="120">
        <v>45839</v>
      </c>
      <c r="L4" s="120">
        <v>45870</v>
      </c>
      <c r="M4" s="120">
        <v>45901</v>
      </c>
      <c r="N4" s="120">
        <v>45931</v>
      </c>
      <c r="O4" s="163"/>
      <c r="P4" s="166"/>
      <c r="Q4" s="163"/>
      <c r="R4" s="163"/>
      <c r="T4" s="117"/>
    </row>
    <row r="5" spans="1:22" ht="13.5" customHeight="1" x14ac:dyDescent="0.2">
      <c r="A5" s="165" t="s">
        <v>179</v>
      </c>
      <c r="B5" s="165" t="s">
        <v>13</v>
      </c>
      <c r="C5" s="121" t="s">
        <v>292</v>
      </c>
      <c r="D5" s="121" t="s">
        <v>293</v>
      </c>
      <c r="E5" s="107">
        <v>4507417.1900000004</v>
      </c>
      <c r="F5" s="107">
        <v>3271619.44</v>
      </c>
      <c r="G5" s="107">
        <v>3102071.4</v>
      </c>
      <c r="H5" s="107">
        <v>3610312.08</v>
      </c>
      <c r="I5" s="107">
        <v>3122817.83</v>
      </c>
      <c r="J5" s="107">
        <v>3132812.93</v>
      </c>
      <c r="K5" s="107">
        <v>3128487.34</v>
      </c>
      <c r="L5" s="107">
        <v>909371.33</v>
      </c>
      <c r="M5" s="107">
        <v>3089481.33</v>
      </c>
      <c r="N5" s="108">
        <v>1688906.59</v>
      </c>
      <c r="O5" s="122">
        <f t="shared" ref="O5:O19" si="0">SUM(E5:N5)</f>
        <v>29563297.459999997</v>
      </c>
      <c r="P5" s="123">
        <f>SUM(F5:K5)+M5</f>
        <v>22457602.350000001</v>
      </c>
      <c r="Q5" s="124">
        <f t="shared" ref="Q5:Q19" si="1">P5/7</f>
        <v>3208228.9071428576</v>
      </c>
      <c r="R5" s="124">
        <f>Q5*12</f>
        <v>38498746.885714293</v>
      </c>
      <c r="S5" s="125"/>
      <c r="T5" s="126"/>
      <c r="U5" s="125"/>
      <c r="V5" s="125"/>
    </row>
    <row r="6" spans="1:22" x14ac:dyDescent="0.2">
      <c r="A6" s="165"/>
      <c r="B6" s="165"/>
      <c r="C6" s="121" t="s">
        <v>294</v>
      </c>
      <c r="D6" s="121" t="s">
        <v>295</v>
      </c>
      <c r="E6" s="107">
        <v>6782</v>
      </c>
      <c r="F6" s="107">
        <v>5590.38</v>
      </c>
      <c r="G6" s="107">
        <v>5902.78</v>
      </c>
      <c r="H6" s="107">
        <v>5761.22</v>
      </c>
      <c r="I6" s="107">
        <v>5487.27</v>
      </c>
      <c r="J6" s="107">
        <v>6712.04</v>
      </c>
      <c r="K6" s="107">
        <v>5697.69</v>
      </c>
      <c r="L6" s="107">
        <v>2383.8000000000002</v>
      </c>
      <c r="M6" s="107">
        <v>7471.07</v>
      </c>
      <c r="N6" s="108">
        <v>5412.03</v>
      </c>
      <c r="O6" s="122">
        <f t="shared" si="0"/>
        <v>57200.280000000006</v>
      </c>
      <c r="P6" s="123">
        <f>SUM(F6:K6)+M6</f>
        <v>42622.450000000004</v>
      </c>
      <c r="Q6" s="124">
        <f t="shared" si="1"/>
        <v>6088.9214285714288</v>
      </c>
      <c r="R6" s="124">
        <f>Q6*12</f>
        <v>73067.057142857142</v>
      </c>
      <c r="S6" s="125"/>
      <c r="T6" s="126"/>
      <c r="U6" s="125"/>
      <c r="V6" s="125"/>
    </row>
    <row r="7" spans="1:22" x14ac:dyDescent="0.2">
      <c r="A7" s="165"/>
      <c r="B7" s="165"/>
      <c r="C7" s="121" t="s">
        <v>296</v>
      </c>
      <c r="D7" s="121" t="s">
        <v>297</v>
      </c>
      <c r="E7" s="107">
        <v>38997.15</v>
      </c>
      <c r="F7" s="107">
        <v>42125.58</v>
      </c>
      <c r="G7" s="107">
        <v>49916.99</v>
      </c>
      <c r="H7" s="107">
        <v>44316.98</v>
      </c>
      <c r="I7" s="107">
        <v>43149.15</v>
      </c>
      <c r="J7" s="107">
        <v>45413.58</v>
      </c>
      <c r="K7" s="107">
        <v>41943.55</v>
      </c>
      <c r="L7" s="107">
        <v>48448.51</v>
      </c>
      <c r="M7" s="107">
        <v>41848.03</v>
      </c>
      <c r="N7" s="108">
        <v>29728.799999999999</v>
      </c>
      <c r="O7" s="122">
        <f t="shared" si="0"/>
        <v>425888.32</v>
      </c>
      <c r="P7" s="123">
        <f t="shared" ref="P7:P19" si="2">SUM(F7:K7)+M7</f>
        <v>308713.86</v>
      </c>
      <c r="Q7" s="124">
        <f t="shared" si="1"/>
        <v>44101.979999999996</v>
      </c>
      <c r="R7" s="124">
        <f>Q7*12</f>
        <v>529223.76</v>
      </c>
      <c r="S7" s="125"/>
      <c r="T7" s="126"/>
      <c r="U7" s="125"/>
      <c r="V7" s="125"/>
    </row>
    <row r="8" spans="1:22" x14ac:dyDescent="0.2">
      <c r="A8" s="165"/>
      <c r="B8" s="165"/>
      <c r="C8" s="121" t="s">
        <v>298</v>
      </c>
      <c r="D8" s="121" t="s">
        <v>299</v>
      </c>
      <c r="E8" s="107">
        <v>422068.37</v>
      </c>
      <c r="F8" s="107">
        <v>292530.28000000003</v>
      </c>
      <c r="G8" s="107">
        <v>295538.11</v>
      </c>
      <c r="H8" s="107">
        <v>298167.78000000003</v>
      </c>
      <c r="I8" s="107">
        <v>305680.45</v>
      </c>
      <c r="J8" s="107">
        <v>304776.01</v>
      </c>
      <c r="K8" s="107">
        <v>310888.86</v>
      </c>
      <c r="L8" s="107">
        <v>53832.58</v>
      </c>
      <c r="M8" s="107">
        <v>310410.76</v>
      </c>
      <c r="N8" s="108"/>
      <c r="O8" s="122">
        <f t="shared" si="0"/>
        <v>2593893.2000000002</v>
      </c>
      <c r="P8" s="123">
        <f t="shared" si="2"/>
        <v>2117992.25</v>
      </c>
      <c r="Q8" s="124">
        <f t="shared" si="1"/>
        <v>302570.32142857142</v>
      </c>
      <c r="R8" s="124">
        <f>Q8*12</f>
        <v>3630843.8571428573</v>
      </c>
      <c r="S8" s="125"/>
      <c r="T8" s="126"/>
      <c r="U8" s="125"/>
      <c r="V8" s="125"/>
    </row>
    <row r="9" spans="1:22" x14ac:dyDescent="0.2">
      <c r="A9" s="165"/>
      <c r="B9" s="165"/>
      <c r="C9" s="121" t="s">
        <v>300</v>
      </c>
      <c r="D9" s="121" t="s">
        <v>301</v>
      </c>
      <c r="E9" s="107"/>
      <c r="F9" s="107">
        <v>31053.75</v>
      </c>
      <c r="G9" s="107"/>
      <c r="H9" s="107"/>
      <c r="I9" s="107"/>
      <c r="J9" s="107">
        <v>31370.15</v>
      </c>
      <c r="K9" s="107">
        <v>90198.45</v>
      </c>
      <c r="L9" s="107">
        <v>142943.6</v>
      </c>
      <c r="M9" s="107">
        <v>45601.8</v>
      </c>
      <c r="N9" s="108">
        <v>10629.6</v>
      </c>
      <c r="O9" s="122">
        <f t="shared" si="0"/>
        <v>351797.35</v>
      </c>
      <c r="P9" s="123">
        <f t="shared" si="2"/>
        <v>198224.15000000002</v>
      </c>
      <c r="Q9" s="124">
        <f t="shared" si="1"/>
        <v>28317.735714285718</v>
      </c>
      <c r="R9" s="124">
        <f>Q9*12</f>
        <v>339812.8285714286</v>
      </c>
      <c r="S9" s="125"/>
      <c r="T9" s="126"/>
      <c r="U9" s="125"/>
      <c r="V9" s="125"/>
    </row>
    <row r="10" spans="1:22" x14ac:dyDescent="0.2">
      <c r="A10" s="165"/>
      <c r="B10" s="165"/>
      <c r="C10" s="121" t="s">
        <v>302</v>
      </c>
      <c r="D10" s="121" t="s">
        <v>303</v>
      </c>
      <c r="E10" s="107">
        <v>9806918.0800000001</v>
      </c>
      <c r="F10" s="107">
        <v>1575534.82</v>
      </c>
      <c r="G10" s="107">
        <v>3115206.43</v>
      </c>
      <c r="H10" s="107">
        <v>2781284.94</v>
      </c>
      <c r="I10" s="107">
        <v>1669985.82</v>
      </c>
      <c r="J10" s="107">
        <v>2277080.89</v>
      </c>
      <c r="K10" s="107">
        <v>1182395.6100000001</v>
      </c>
      <c r="L10" s="107">
        <v>1994467.82</v>
      </c>
      <c r="M10" s="107">
        <v>1150101.05</v>
      </c>
      <c r="N10" s="108">
        <v>1031764.8</v>
      </c>
      <c r="O10" s="122">
        <f t="shared" si="0"/>
        <v>26584740.260000002</v>
      </c>
      <c r="P10" s="123">
        <f t="shared" si="2"/>
        <v>13751589.560000001</v>
      </c>
      <c r="Q10" s="124">
        <f t="shared" si="1"/>
        <v>1964512.7942857144</v>
      </c>
      <c r="R10" s="124">
        <f>(Q10*12)+Q24</f>
        <v>31416558.817142859</v>
      </c>
      <c r="S10" s="125"/>
      <c r="T10" s="126"/>
      <c r="U10" s="125"/>
      <c r="V10" s="125"/>
    </row>
    <row r="11" spans="1:22" x14ac:dyDescent="0.2">
      <c r="A11" s="165"/>
      <c r="B11" s="165"/>
      <c r="C11" s="121" t="s">
        <v>304</v>
      </c>
      <c r="D11" s="121" t="s">
        <v>305</v>
      </c>
      <c r="E11" s="107">
        <v>17.2</v>
      </c>
      <c r="F11" s="107">
        <v>458.5</v>
      </c>
      <c r="G11" s="107">
        <v>258.39999999999998</v>
      </c>
      <c r="H11" s="107">
        <v>452</v>
      </c>
      <c r="I11" s="107">
        <v>204.5</v>
      </c>
      <c r="J11" s="107">
        <v>325.58999999999997</v>
      </c>
      <c r="K11" s="107">
        <v>3.6</v>
      </c>
      <c r="L11" s="107">
        <v>707</v>
      </c>
      <c r="M11" s="107">
        <v>491.65</v>
      </c>
      <c r="N11" s="108">
        <v>4.5</v>
      </c>
      <c r="O11" s="122">
        <f t="shared" si="0"/>
        <v>2922.94</v>
      </c>
      <c r="P11" s="123">
        <f t="shared" si="2"/>
        <v>2194.2399999999998</v>
      </c>
      <c r="Q11" s="124">
        <f t="shared" si="1"/>
        <v>313.4628571428571</v>
      </c>
      <c r="R11" s="124">
        <f t="shared" ref="R11:R19" si="3">Q11*12</f>
        <v>3761.5542857142855</v>
      </c>
      <c r="S11" s="125"/>
      <c r="T11" s="126"/>
      <c r="U11" s="125"/>
      <c r="V11" s="125"/>
    </row>
    <row r="12" spans="1:22" x14ac:dyDescent="0.2">
      <c r="A12" s="165"/>
      <c r="B12" s="165"/>
      <c r="C12" s="121" t="s">
        <v>306</v>
      </c>
      <c r="D12" s="121" t="s">
        <v>307</v>
      </c>
      <c r="E12" s="107">
        <v>20102.400000000001</v>
      </c>
      <c r="F12" s="107">
        <v>14712.6</v>
      </c>
      <c r="G12" s="107">
        <v>2142.4</v>
      </c>
      <c r="H12" s="107">
        <v>100</v>
      </c>
      <c r="I12" s="107">
        <v>9916</v>
      </c>
      <c r="J12" s="107">
        <v>9558</v>
      </c>
      <c r="K12" s="107">
        <v>1450</v>
      </c>
      <c r="L12" s="107">
        <v>810</v>
      </c>
      <c r="M12" s="107">
        <v>440</v>
      </c>
      <c r="N12" s="108">
        <v>2813.6</v>
      </c>
      <c r="O12" s="122">
        <f t="shared" si="0"/>
        <v>62045</v>
      </c>
      <c r="P12" s="123">
        <f t="shared" si="2"/>
        <v>38319</v>
      </c>
      <c r="Q12" s="124">
        <f t="shared" si="1"/>
        <v>5474.1428571428569</v>
      </c>
      <c r="R12" s="124">
        <f t="shared" si="3"/>
        <v>65689.71428571429</v>
      </c>
      <c r="S12" s="125"/>
      <c r="T12" s="126"/>
      <c r="U12" s="125"/>
      <c r="V12" s="125"/>
    </row>
    <row r="13" spans="1:22" x14ac:dyDescent="0.2">
      <c r="A13" s="165"/>
      <c r="B13" s="165"/>
      <c r="C13" s="121" t="s">
        <v>308</v>
      </c>
      <c r="D13" s="121" t="s">
        <v>309</v>
      </c>
      <c r="E13" s="107">
        <v>11.7</v>
      </c>
      <c r="F13" s="107">
        <v>79</v>
      </c>
      <c r="G13" s="107">
        <v>11.7</v>
      </c>
      <c r="H13" s="107"/>
      <c r="I13" s="107"/>
      <c r="J13" s="107">
        <v>50</v>
      </c>
      <c r="K13" s="107"/>
      <c r="L13" s="107">
        <v>531</v>
      </c>
      <c r="M13" s="107"/>
      <c r="N13" s="108"/>
      <c r="O13" s="122">
        <f t="shared" si="0"/>
        <v>683.4</v>
      </c>
      <c r="P13" s="123">
        <f t="shared" si="2"/>
        <v>140.69999999999999</v>
      </c>
      <c r="Q13" s="124">
        <f t="shared" si="1"/>
        <v>20.099999999999998</v>
      </c>
      <c r="R13" s="124">
        <f t="shared" si="3"/>
        <v>241.2</v>
      </c>
      <c r="S13" s="125"/>
      <c r="T13" s="126"/>
      <c r="U13" s="125"/>
      <c r="V13" s="125"/>
    </row>
    <row r="14" spans="1:22" x14ac:dyDescent="0.2">
      <c r="A14" s="165"/>
      <c r="B14" s="165"/>
      <c r="C14" s="121" t="s">
        <v>310</v>
      </c>
      <c r="D14" s="121" t="s">
        <v>311</v>
      </c>
      <c r="E14" s="107">
        <v>341.4</v>
      </c>
      <c r="F14" s="107">
        <v>9186.01</v>
      </c>
      <c r="G14" s="107">
        <v>12526.43</v>
      </c>
      <c r="H14" s="107">
        <v>4963.26</v>
      </c>
      <c r="I14" s="107">
        <v>11564.11</v>
      </c>
      <c r="J14" s="107">
        <v>12380.78</v>
      </c>
      <c r="K14" s="107">
        <v>12745.37</v>
      </c>
      <c r="L14" s="107">
        <v>11275.47</v>
      </c>
      <c r="M14" s="107">
        <v>5640.85</v>
      </c>
      <c r="N14" s="108">
        <v>13590.27</v>
      </c>
      <c r="O14" s="122">
        <f t="shared" si="0"/>
        <v>94213.950000000012</v>
      </c>
      <c r="P14" s="123">
        <f t="shared" si="2"/>
        <v>69006.810000000012</v>
      </c>
      <c r="Q14" s="124">
        <f t="shared" si="1"/>
        <v>9858.1157142857155</v>
      </c>
      <c r="R14" s="124">
        <f t="shared" si="3"/>
        <v>118297.38857142859</v>
      </c>
      <c r="S14" s="125"/>
      <c r="T14" s="126"/>
      <c r="U14" s="125"/>
      <c r="V14" s="125"/>
    </row>
    <row r="15" spans="1:22" x14ac:dyDescent="0.2">
      <c r="A15" s="165"/>
      <c r="B15" s="165"/>
      <c r="C15" s="110" t="s">
        <v>312</v>
      </c>
      <c r="D15" s="110" t="s">
        <v>313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8">
        <v>9.49</v>
      </c>
      <c r="O15" s="122">
        <f t="shared" si="0"/>
        <v>9.49</v>
      </c>
      <c r="P15" s="123">
        <f t="shared" si="2"/>
        <v>0</v>
      </c>
      <c r="Q15" s="124">
        <f t="shared" si="1"/>
        <v>0</v>
      </c>
      <c r="R15" s="124">
        <f t="shared" si="3"/>
        <v>0</v>
      </c>
      <c r="S15" s="125"/>
      <c r="T15" s="126"/>
      <c r="U15" s="125"/>
      <c r="V15" s="125"/>
    </row>
    <row r="16" spans="1:22" x14ac:dyDescent="0.2">
      <c r="A16" s="165"/>
      <c r="B16" s="165"/>
      <c r="C16" s="121" t="s">
        <v>314</v>
      </c>
      <c r="D16" s="121" t="s">
        <v>315</v>
      </c>
      <c r="E16" s="107"/>
      <c r="F16" s="107"/>
      <c r="G16" s="107"/>
      <c r="H16" s="107"/>
      <c r="I16" s="107"/>
      <c r="J16" s="107">
        <v>380</v>
      </c>
      <c r="K16" s="107"/>
      <c r="L16" s="107"/>
      <c r="M16" s="107"/>
      <c r="N16" s="108"/>
      <c r="O16" s="122">
        <f t="shared" si="0"/>
        <v>380</v>
      </c>
      <c r="P16" s="123">
        <f t="shared" si="2"/>
        <v>380</v>
      </c>
      <c r="Q16" s="124">
        <f t="shared" si="1"/>
        <v>54.285714285714285</v>
      </c>
      <c r="R16" s="124">
        <f t="shared" si="3"/>
        <v>651.42857142857144</v>
      </c>
      <c r="S16" s="125"/>
      <c r="T16" s="126"/>
      <c r="U16" s="125"/>
      <c r="V16" s="125"/>
    </row>
    <row r="17" spans="1:22" x14ac:dyDescent="0.2">
      <c r="A17" s="165"/>
      <c r="B17" s="165"/>
      <c r="C17" s="121" t="s">
        <v>316</v>
      </c>
      <c r="D17" s="121" t="s">
        <v>317</v>
      </c>
      <c r="E17" s="107">
        <v>-9846.9</v>
      </c>
      <c r="F17" s="107">
        <v>73461.320000000007</v>
      </c>
      <c r="G17" s="107">
        <v>351691.69</v>
      </c>
      <c r="H17" s="107">
        <v>245089.34</v>
      </c>
      <c r="I17" s="107">
        <v>152858.12</v>
      </c>
      <c r="J17" s="107">
        <v>181259.01</v>
      </c>
      <c r="K17" s="107">
        <v>508211.75</v>
      </c>
      <c r="L17" s="107">
        <v>52854.8</v>
      </c>
      <c r="M17" s="107">
        <v>46857.73</v>
      </c>
      <c r="N17" s="108">
        <v>98663.58</v>
      </c>
      <c r="O17" s="122">
        <f t="shared" si="0"/>
        <v>1701100.4400000002</v>
      </c>
      <c r="P17" s="123">
        <f t="shared" si="2"/>
        <v>1559428.96</v>
      </c>
      <c r="Q17" s="124">
        <f t="shared" si="1"/>
        <v>222775.56571428571</v>
      </c>
      <c r="R17" s="124">
        <f t="shared" si="3"/>
        <v>2673306.7885714285</v>
      </c>
      <c r="S17" s="125"/>
      <c r="T17" s="126"/>
      <c r="U17" s="125"/>
      <c r="V17" s="125"/>
    </row>
    <row r="18" spans="1:22" x14ac:dyDescent="0.2">
      <c r="A18" s="165"/>
      <c r="B18" s="165"/>
      <c r="C18" s="121" t="s">
        <v>318</v>
      </c>
      <c r="D18" s="121" t="s">
        <v>319</v>
      </c>
      <c r="E18" s="107"/>
      <c r="F18" s="107"/>
      <c r="G18" s="107">
        <v>60</v>
      </c>
      <c r="H18" s="107"/>
      <c r="I18" s="107"/>
      <c r="J18" s="107"/>
      <c r="K18" s="107"/>
      <c r="L18" s="107"/>
      <c r="M18" s="107"/>
      <c r="N18" s="108"/>
      <c r="O18" s="122">
        <f t="shared" si="0"/>
        <v>60</v>
      </c>
      <c r="P18" s="123">
        <f t="shared" si="2"/>
        <v>60</v>
      </c>
      <c r="Q18" s="124">
        <f t="shared" si="1"/>
        <v>8.5714285714285712</v>
      </c>
      <c r="R18" s="124">
        <f t="shared" si="3"/>
        <v>102.85714285714286</v>
      </c>
      <c r="S18" s="125"/>
      <c r="T18" s="126"/>
      <c r="U18" s="125"/>
      <c r="V18" s="125"/>
    </row>
    <row r="19" spans="1:22" x14ac:dyDescent="0.2">
      <c r="A19" s="165"/>
      <c r="B19" s="121" t="s">
        <v>186</v>
      </c>
      <c r="C19" s="121" t="s">
        <v>320</v>
      </c>
      <c r="D19" s="121" t="s">
        <v>321</v>
      </c>
      <c r="E19" s="107"/>
      <c r="F19" s="107"/>
      <c r="G19" s="107"/>
      <c r="H19" s="107"/>
      <c r="I19" s="107"/>
      <c r="J19" s="107">
        <v>538270</v>
      </c>
      <c r="K19" s="107"/>
      <c r="L19" s="107"/>
      <c r="M19" s="107"/>
      <c r="N19" s="108">
        <v>0</v>
      </c>
      <c r="O19" s="122">
        <f t="shared" si="0"/>
        <v>538270</v>
      </c>
      <c r="P19" s="123">
        <f t="shared" si="2"/>
        <v>538270</v>
      </c>
      <c r="Q19" s="124">
        <f t="shared" si="1"/>
        <v>76895.71428571429</v>
      </c>
      <c r="R19" s="124">
        <f t="shared" si="3"/>
        <v>922748.57142857148</v>
      </c>
      <c r="S19" s="125"/>
      <c r="T19" s="126"/>
      <c r="U19" s="125"/>
      <c r="V19" s="125"/>
    </row>
    <row r="20" spans="1:22" x14ac:dyDescent="0.2">
      <c r="A20" s="127" t="s">
        <v>101</v>
      </c>
      <c r="B20" s="127"/>
      <c r="C20" s="162"/>
      <c r="D20" s="162"/>
      <c r="E20" s="128">
        <f t="shared" ref="E20:R20" si="4">SUM(E5:E19)</f>
        <v>14792808.59</v>
      </c>
      <c r="F20" s="128">
        <f t="shared" si="4"/>
        <v>5316351.68</v>
      </c>
      <c r="G20" s="128">
        <f t="shared" si="4"/>
        <v>6935326.330000001</v>
      </c>
      <c r="H20" s="128">
        <f t="shared" si="4"/>
        <v>6990447.5999999996</v>
      </c>
      <c r="I20" s="128">
        <f t="shared" si="4"/>
        <v>5321663.2500000009</v>
      </c>
      <c r="J20" s="128">
        <f t="shared" si="4"/>
        <v>6540388.9800000004</v>
      </c>
      <c r="K20" s="128">
        <f t="shared" si="4"/>
        <v>5282022.22</v>
      </c>
      <c r="L20" s="128">
        <f t="shared" si="4"/>
        <v>3217625.91</v>
      </c>
      <c r="M20" s="128">
        <f t="shared" si="4"/>
        <v>4698344.2699999996</v>
      </c>
      <c r="N20" s="128">
        <f t="shared" si="4"/>
        <v>2881523.2600000007</v>
      </c>
      <c r="O20" s="128">
        <f t="shared" si="4"/>
        <v>61976502.090000004</v>
      </c>
      <c r="P20" s="128">
        <f t="shared" si="4"/>
        <v>41084544.330000006</v>
      </c>
      <c r="Q20" s="128">
        <f t="shared" si="4"/>
        <v>5869220.6185714286</v>
      </c>
      <c r="R20" s="128">
        <f t="shared" si="4"/>
        <v>78273052.708571434</v>
      </c>
      <c r="S20" s="125"/>
    </row>
    <row r="21" spans="1:22" x14ac:dyDescent="0.2">
      <c r="A21" s="113" t="s">
        <v>322</v>
      </c>
      <c r="D21" s="129"/>
      <c r="Q21" s="125"/>
      <c r="R21" s="125"/>
      <c r="S21" s="125"/>
    </row>
    <row r="22" spans="1:22" x14ac:dyDescent="0.2">
      <c r="A22" s="130" t="s">
        <v>323</v>
      </c>
      <c r="D22" s="129"/>
      <c r="O22" s="131"/>
      <c r="P22" s="125"/>
      <c r="Q22" s="125"/>
      <c r="R22" s="125"/>
      <c r="S22" s="125"/>
    </row>
    <row r="23" spans="1:22" x14ac:dyDescent="0.2">
      <c r="J23" s="113" t="s">
        <v>324</v>
      </c>
      <c r="K23" s="132">
        <f>(SUM(E5:K18)/7)*12</f>
        <v>86812694.828571409</v>
      </c>
      <c r="L23" s="132"/>
      <c r="M23" s="132"/>
      <c r="N23" s="132"/>
    </row>
    <row r="24" spans="1:22" x14ac:dyDescent="0.2">
      <c r="J24" s="113" t="s">
        <v>325</v>
      </c>
      <c r="K24" s="132">
        <v>77856818</v>
      </c>
      <c r="L24" s="132"/>
      <c r="M24" s="132"/>
      <c r="N24" s="132"/>
      <c r="O24" s="125"/>
      <c r="Q24" s="125">
        <f>E10-Q10</f>
        <v>7842405.2857142854</v>
      </c>
    </row>
    <row r="25" spans="1:22" x14ac:dyDescent="0.2">
      <c r="H25" s="113" t="s">
        <v>326</v>
      </c>
      <c r="K25" s="133">
        <f>K23-K24</f>
        <v>8955876.828571409</v>
      </c>
      <c r="L25" s="133"/>
      <c r="M25" s="133"/>
      <c r="N25" s="133"/>
      <c r="O25" s="125"/>
    </row>
    <row r="26" spans="1:22" x14ac:dyDescent="0.2">
      <c r="H26" s="125">
        <v>8765876.4399999995</v>
      </c>
    </row>
    <row r="27" spans="1:22" x14ac:dyDescent="0.2">
      <c r="H27" s="125">
        <v>1174336.96</v>
      </c>
      <c r="M27" s="125">
        <v>1149</v>
      </c>
    </row>
    <row r="28" spans="1:22" x14ac:dyDescent="0.2">
      <c r="H28" s="125">
        <v>2209000.7000000002</v>
      </c>
      <c r="M28" s="113">
        <v>904</v>
      </c>
    </row>
    <row r="29" spans="1:22" x14ac:dyDescent="0.2">
      <c r="H29" s="125">
        <v>1913213.66</v>
      </c>
      <c r="M29" s="113">
        <v>20.7</v>
      </c>
    </row>
    <row r="30" spans="1:22" x14ac:dyDescent="0.2">
      <c r="H30" s="125">
        <v>1276164.6100000001</v>
      </c>
      <c r="M30" s="113">
        <v>400</v>
      </c>
    </row>
    <row r="31" spans="1:22" x14ac:dyDescent="0.2">
      <c r="H31" s="125">
        <v>1188863.96</v>
      </c>
      <c r="M31" s="113">
        <v>170</v>
      </c>
    </row>
    <row r="32" spans="1:22" x14ac:dyDescent="0.2">
      <c r="H32" s="125">
        <v>209635.95</v>
      </c>
      <c r="I32" s="113">
        <f>SUM(H27:H31)/5</f>
        <v>1552315.9780000001</v>
      </c>
      <c r="M32" s="125">
        <f>-8279.23</f>
        <v>-8279.23</v>
      </c>
    </row>
    <row r="33" spans="8:13" x14ac:dyDescent="0.2">
      <c r="H33" s="113" t="s">
        <v>327</v>
      </c>
      <c r="M33" s="113">
        <v>405</v>
      </c>
    </row>
    <row r="34" spans="8:13" x14ac:dyDescent="0.2">
      <c r="H34" s="125">
        <v>7655247.1600000001</v>
      </c>
      <c r="M34" s="125">
        <v>2862</v>
      </c>
    </row>
    <row r="35" spans="8:13" x14ac:dyDescent="0.2">
      <c r="M35" s="113">
        <v>50</v>
      </c>
    </row>
    <row r="36" spans="8:13" x14ac:dyDescent="0.2">
      <c r="M36" s="113">
        <v>452</v>
      </c>
    </row>
    <row r="37" spans="8:13" x14ac:dyDescent="0.2">
      <c r="M37" s="125">
        <v>3144</v>
      </c>
    </row>
    <row r="38" spans="8:13" x14ac:dyDescent="0.2">
      <c r="M38" s="113">
        <v>220</v>
      </c>
    </row>
    <row r="39" spans="8:13" x14ac:dyDescent="0.2">
      <c r="M39" s="125">
        <v>1585</v>
      </c>
    </row>
    <row r="40" spans="8:13" x14ac:dyDescent="0.2">
      <c r="M40" s="113">
        <v>452</v>
      </c>
    </row>
    <row r="41" spans="8:13" x14ac:dyDescent="0.2">
      <c r="M41" s="113">
        <v>97.2</v>
      </c>
    </row>
    <row r="42" spans="8:13" x14ac:dyDescent="0.2">
      <c r="M42" s="113">
        <v>79</v>
      </c>
    </row>
    <row r="43" spans="8:13" x14ac:dyDescent="0.2">
      <c r="M43" s="125">
        <v>1183</v>
      </c>
    </row>
    <row r="44" spans="8:13" x14ac:dyDescent="0.2">
      <c r="M44" s="125">
        <v>1020</v>
      </c>
    </row>
    <row r="45" spans="8:13" x14ac:dyDescent="0.2">
      <c r="M45" s="125">
        <v>1732.2</v>
      </c>
    </row>
    <row r="46" spans="8:13" x14ac:dyDescent="0.2">
      <c r="M46" s="113">
        <v>896</v>
      </c>
    </row>
    <row r="47" spans="8:13" x14ac:dyDescent="0.2">
      <c r="M47" s="125">
        <v>181036.02</v>
      </c>
    </row>
    <row r="48" spans="8:13" x14ac:dyDescent="0.2">
      <c r="M48" s="113">
        <v>50</v>
      </c>
    </row>
    <row r="49" spans="13:13" x14ac:dyDescent="0.2">
      <c r="M49" s="113">
        <v>339</v>
      </c>
    </row>
    <row r="50" spans="13:13" x14ac:dyDescent="0.2">
      <c r="M50" s="125">
        <v>3797</v>
      </c>
    </row>
    <row r="51" spans="13:13" x14ac:dyDescent="0.2">
      <c r="M51" s="113">
        <v>650.70000000000005</v>
      </c>
    </row>
    <row r="52" spans="13:13" x14ac:dyDescent="0.2">
      <c r="M52" s="113">
        <v>100</v>
      </c>
    </row>
    <row r="53" spans="13:13" x14ac:dyDescent="0.2">
      <c r="M53" s="113">
        <v>225</v>
      </c>
    </row>
    <row r="54" spans="13:13" x14ac:dyDescent="0.2">
      <c r="M54" s="113">
        <v>670</v>
      </c>
    </row>
    <row r="55" spans="13:13" x14ac:dyDescent="0.2">
      <c r="M55" s="125">
        <v>1710</v>
      </c>
    </row>
    <row r="56" spans="13:13" x14ac:dyDescent="0.2">
      <c r="M56" s="113">
        <v>554.95000000000005</v>
      </c>
    </row>
    <row r="57" spans="13:13" x14ac:dyDescent="0.2">
      <c r="M57" s="113">
        <v>50</v>
      </c>
    </row>
    <row r="58" spans="13:13" x14ac:dyDescent="0.2">
      <c r="M58" s="113">
        <v>464.4</v>
      </c>
    </row>
    <row r="59" spans="13:13" x14ac:dyDescent="0.2">
      <c r="M59" s="113">
        <v>250</v>
      </c>
    </row>
    <row r="60" spans="13:13" x14ac:dyDescent="0.2">
      <c r="M60" s="113">
        <v>300</v>
      </c>
    </row>
    <row r="61" spans="13:13" x14ac:dyDescent="0.2">
      <c r="M61" s="113">
        <v>516.79999999999995</v>
      </c>
    </row>
    <row r="62" spans="13:13" x14ac:dyDescent="0.2">
      <c r="M62" s="113">
        <v>793</v>
      </c>
    </row>
    <row r="63" spans="13:13" x14ac:dyDescent="0.2">
      <c r="M63" s="113">
        <v>70</v>
      </c>
    </row>
    <row r="64" spans="13:13" x14ac:dyDescent="0.2">
      <c r="M64" s="125">
        <v>12767.44</v>
      </c>
    </row>
    <row r="65" spans="13:13" x14ac:dyDescent="0.2">
      <c r="M65" s="113">
        <v>784</v>
      </c>
    </row>
    <row r="66" spans="13:13" x14ac:dyDescent="0.2">
      <c r="M66" s="113">
        <v>224</v>
      </c>
    </row>
    <row r="67" spans="13:13" x14ac:dyDescent="0.2">
      <c r="M67" s="113">
        <v>599.5</v>
      </c>
    </row>
    <row r="68" spans="13:13" x14ac:dyDescent="0.2">
      <c r="M68" s="113">
        <v>200</v>
      </c>
    </row>
    <row r="69" spans="13:13" x14ac:dyDescent="0.2">
      <c r="M69" s="113">
        <v>800</v>
      </c>
    </row>
    <row r="70" spans="13:13" x14ac:dyDescent="0.2">
      <c r="M70" s="113">
        <v>10.8</v>
      </c>
    </row>
    <row r="71" spans="13:13" x14ac:dyDescent="0.2">
      <c r="M71" s="125">
        <v>5484</v>
      </c>
    </row>
    <row r="72" spans="13:13" x14ac:dyDescent="0.2">
      <c r="M72" s="113">
        <v>660</v>
      </c>
    </row>
    <row r="73" spans="13:13" x14ac:dyDescent="0.2">
      <c r="M73" s="113">
        <v>448</v>
      </c>
    </row>
    <row r="74" spans="13:13" x14ac:dyDescent="0.2">
      <c r="M74" s="113">
        <v>416.1</v>
      </c>
    </row>
    <row r="75" spans="13:13" x14ac:dyDescent="0.2">
      <c r="M75" s="125">
        <v>2101</v>
      </c>
    </row>
    <row r="76" spans="13:13" x14ac:dyDescent="0.2">
      <c r="M76" s="125">
        <v>3742</v>
      </c>
    </row>
    <row r="77" spans="13:13" x14ac:dyDescent="0.2">
      <c r="M77" s="125">
        <v>3520</v>
      </c>
    </row>
    <row r="78" spans="13:13" x14ac:dyDescent="0.2">
      <c r="M78" s="113">
        <v>258.5</v>
      </c>
    </row>
    <row r="79" spans="13:13" x14ac:dyDescent="0.2">
      <c r="M79" s="125">
        <v>1320</v>
      </c>
    </row>
    <row r="80" spans="13:13" x14ac:dyDescent="0.2">
      <c r="M80" s="113">
        <v>452</v>
      </c>
    </row>
    <row r="81" spans="13:13" x14ac:dyDescent="0.2">
      <c r="M81" s="125">
        <v>21084</v>
      </c>
    </row>
    <row r="82" spans="13:13" x14ac:dyDescent="0.2">
      <c r="M82" s="125">
        <v>3960</v>
      </c>
    </row>
    <row r="83" spans="13:13" x14ac:dyDescent="0.2">
      <c r="M83" s="113">
        <v>112</v>
      </c>
    </row>
    <row r="84" spans="13:13" x14ac:dyDescent="0.2">
      <c r="M84" s="113">
        <v>226.9</v>
      </c>
    </row>
    <row r="85" spans="13:13" x14ac:dyDescent="0.2">
      <c r="M85" s="125">
        <v>2007</v>
      </c>
    </row>
    <row r="86" spans="13:13" x14ac:dyDescent="0.2">
      <c r="M86" s="113">
        <v>100</v>
      </c>
    </row>
    <row r="87" spans="13:13" x14ac:dyDescent="0.2">
      <c r="M87" s="134">
        <f>SUM(M27:M86)</f>
        <v>261395.97999999998</v>
      </c>
    </row>
  </sheetData>
  <mergeCells count="11">
    <mergeCell ref="C20:D20"/>
    <mergeCell ref="Q3:Q4"/>
    <mergeCell ref="R3:R4"/>
    <mergeCell ref="C4:D4"/>
    <mergeCell ref="A5:A19"/>
    <mergeCell ref="B5:B18"/>
    <mergeCell ref="A3:A4"/>
    <mergeCell ref="B3:B4"/>
    <mergeCell ref="C3:D3"/>
    <mergeCell ref="O3:O4"/>
    <mergeCell ref="P3:P4"/>
  </mergeCells>
  <pageMargins left="0.25" right="0.25" top="0.75" bottom="0.75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NL</vt:lpstr>
      <vt:lpstr>UO_26271</vt:lpstr>
      <vt:lpstr>Receitas</vt:lpstr>
      <vt:lpstr>UO_26271!Area_de_impressao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96753021515</dc:creator>
  <cp:keywords/>
  <dc:description/>
  <cp:lastModifiedBy>Microsoft Office User</cp:lastModifiedBy>
  <cp:revision>480</cp:revision>
  <dcterms:created xsi:type="dcterms:W3CDTF">2015-01-14T21:55:41Z</dcterms:created>
  <dcterms:modified xsi:type="dcterms:W3CDTF">2025-11-05T17:02:49Z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0x0101004F0EC09FDEB9C44989824D56BEE8AF26</vt:lpwstr>
  </property>
</Properties>
</file>