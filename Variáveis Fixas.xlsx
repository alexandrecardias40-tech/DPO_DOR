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ente/Downloads/Site Dashboard/"/>
    </mc:Choice>
  </mc:AlternateContent>
  <xr:revisionPtr revIDLastSave="0" documentId="13_ncr:1_{BAC843BF-9C16-E042-A323-496A1FF8DEBB}" xr6:coauthVersionLast="40" xr6:coauthVersionMax="47" xr10:uidLastSave="{00000000-0000-0000-0000-000000000000}"/>
  <bookViews>
    <workbookView xWindow="0" yWindow="0" windowWidth="28800" windowHeight="18000" tabRatio="923" activeTab="15" xr2:uid="{00000000-000D-0000-FFFF-FFFF00000000}"/>
  </bookViews>
  <sheets>
    <sheet name="I. Situação Atual" sheetId="1" state="hidden" r:id="rId1"/>
    <sheet name="Programação 17.11" sheetId="15" state="hidden" r:id="rId2"/>
    <sheet name="Bolsas" sheetId="8" state="hidden" r:id="rId3"/>
    <sheet name="Estudo de Crédito" sheetId="2" state="hidden" r:id="rId4"/>
    <sheet name="Prog-09.10" sheetId="3" state="hidden" r:id="rId5"/>
    <sheet name="Prog-16.09" sheetId="4" state="hidden" r:id="rId6"/>
    <sheet name="Prog-18.08" sheetId="5" state="hidden" r:id="rId7"/>
    <sheet name="Prog-08.07" sheetId="6" state="hidden" r:id="rId8"/>
    <sheet name="Prog 03.06" sheetId="7" state="hidden" r:id="rId9"/>
    <sheet name="Prog 07.04" sheetId="9" state="hidden" r:id="rId10"/>
    <sheet name="Prog-17.03 PRC" sheetId="10" state="hidden" r:id="rId11"/>
    <sheet name="Prog-12.03" sheetId="11" state="hidden" r:id="rId12"/>
    <sheet name="Ressarc DAC 25" sheetId="14" state="hidden" r:id="rId13"/>
    <sheet name="Prog-25.02" sheetId="12" state="hidden" r:id="rId14"/>
    <sheet name="DRU 25" sheetId="13" state="hidden" r:id="rId15"/>
    <sheet name="Variáveis fixas" sheetId="16" r:id="rId16"/>
  </sheets>
  <externalReferences>
    <externalReference r:id="rId17"/>
  </externalReferences>
  <definedNames>
    <definedName name="_xlnm._FilterDatabase" localSheetId="3" hidden="1">'Estudo de Crédito'!$A$3:$P$29</definedName>
    <definedName name="_xlnm._FilterDatabase" localSheetId="0" hidden="1">'I. Situação Atual'!$A$3:$O$91</definedName>
    <definedName name="_xlnm._FilterDatabase" localSheetId="8" hidden="1">'Prog 03.06'!$A$3:$F$38</definedName>
    <definedName name="_xlnm._FilterDatabase" localSheetId="9" hidden="1">'Prog 07.04'!$A$3:$P$25</definedName>
    <definedName name="_xlnm._FilterDatabase" localSheetId="7" hidden="1">'Prog-08.07'!$A$3:$P$35</definedName>
    <definedName name="_xlnm._FilterDatabase" localSheetId="4" hidden="1">'Prog-09.10'!$A$3:$F$30</definedName>
    <definedName name="_xlnm._FilterDatabase" localSheetId="11" hidden="1">'Prog-12.03'!$B$3:$G$18</definedName>
    <definedName name="_xlnm._FilterDatabase" localSheetId="5" hidden="1">'Prog-16.09'!$A$3:$L$14</definedName>
    <definedName name="_xlnm._FilterDatabase" localSheetId="10" hidden="1">'Prog-17.03 PRC'!$B$3:$G$6</definedName>
    <definedName name="_xlnm._FilterDatabase" localSheetId="6" hidden="1">'Prog-18.08'!$A$3:$E$38</definedName>
    <definedName name="_xlnm._FilterDatabase" localSheetId="13" hidden="1">'Prog-25.02'!$A$3:$P$46</definedName>
    <definedName name="_xlnm._FilterDatabase" localSheetId="1" hidden="1">'Programação 17.11'!$A$3:$O$35</definedName>
    <definedName name="_xlnm._FilterDatabase" localSheetId="15" hidden="1">'Variáveis fixas'!$A$1:$L$89</definedName>
    <definedName name="_xlcn.WorksheetConnection_II.SituaçãoAtualA2AA90" localSheetId="3">'Estudo de Crédito'!$A$3:$P$29</definedName>
    <definedName name="_xlcn.WorksheetConnection_II.SituaçãoAtualA2AA90" localSheetId="8">'Prog 03.06'!$A$3:$F$38</definedName>
    <definedName name="_xlcn.WorksheetConnection_II.SituaçãoAtualA2AA90" localSheetId="9">'Prog 07.04'!$A$3:$P$25</definedName>
    <definedName name="_xlcn.WorksheetConnection_II.SituaçãoAtualA2AA90" localSheetId="7">'Prog-08.07'!$A$3:$P$35</definedName>
    <definedName name="_xlcn.WorksheetConnection_II.SituaçãoAtualA2AA90" localSheetId="4">'Prog-09.10'!$A$3:$F$30</definedName>
    <definedName name="_xlcn.WorksheetConnection_II.SituaçãoAtualA2AA90" localSheetId="11">'Prog-12.03'!$B$3:$G$18</definedName>
    <definedName name="_xlcn.WorksheetConnection_II.SituaçãoAtualA2AA90" localSheetId="5">'Prog-16.09'!$A$3:$L$14</definedName>
    <definedName name="_xlcn.WorksheetConnection_II.SituaçãoAtualA2AA90" localSheetId="10">'Prog-17.03 PRC'!$B$3:$G$6</definedName>
    <definedName name="_xlcn.WorksheetConnection_II.SituaçãoAtualA2AA90" localSheetId="6">'Prog-18.08'!$A$3:$E$38</definedName>
    <definedName name="_xlcn.WorksheetConnection_II.SituaçãoAtualA2AA90" localSheetId="13">'Prog-25.02'!$A$3:$P$46</definedName>
    <definedName name="_xlcn.WorksheetConnection_II.SituaçãoAtualA2AA90" localSheetId="1">'Programação 17.11'!$A$3:$O$35</definedName>
    <definedName name="_xlcn.WorksheetConnection_II.SituaçãoAtualA2AA90" localSheetId="15">'Variáveis fixas'!$A$1:$L$89</definedName>
    <definedName name="_xlcn.WorksheetConnection_II.SituaçãoAtualA2AA90">'I. Situação Atual'!$A$3:$O$91</definedName>
    <definedName name="_xlcn.WorksheetConnection_II.SituaçãoAtualA2AA93" localSheetId="3">'Estudo de Crédito'!$A$3:$P$29</definedName>
    <definedName name="_xlcn.WorksheetConnection_II.SituaçãoAtualA2AA93" localSheetId="8">'Prog 03.06'!$A$3:$F$38</definedName>
    <definedName name="_xlcn.WorksheetConnection_II.SituaçãoAtualA2AA93" localSheetId="9">'Prog 07.04'!$A$3:$P$25</definedName>
    <definedName name="_xlcn.WorksheetConnection_II.SituaçãoAtualA2AA93" localSheetId="7">'Prog-08.07'!$A$3:$P$35</definedName>
    <definedName name="_xlcn.WorksheetConnection_II.SituaçãoAtualA2AA93" localSheetId="4">'Prog-09.10'!$A$3:$F$30</definedName>
    <definedName name="_xlcn.WorksheetConnection_II.SituaçãoAtualA2AA93" localSheetId="11">'Prog-12.03'!$B$3:$G$18</definedName>
    <definedName name="_xlcn.WorksheetConnection_II.SituaçãoAtualA2AA93" localSheetId="5">'Prog-16.09'!$A$3:$L$14</definedName>
    <definedName name="_xlcn.WorksheetConnection_II.SituaçãoAtualA2AA93" localSheetId="10">'Prog-17.03 PRC'!$B$3:$G$6</definedName>
    <definedName name="_xlcn.WorksheetConnection_II.SituaçãoAtualA2AA93" localSheetId="6">'Prog-18.08'!$A$3:$E$38</definedName>
    <definedName name="_xlcn.WorksheetConnection_II.SituaçãoAtualA2AA93" localSheetId="13">'Prog-25.02'!$A$3:$P$46</definedName>
    <definedName name="_xlcn.WorksheetConnection_II.SituaçãoAtualA2AA93" localSheetId="1">'Programação 17.11'!$A$3:$O$35</definedName>
    <definedName name="_xlcn.WorksheetConnection_II.SituaçãoAtualA2AA93" localSheetId="15">'Variáveis fixas'!$A$1:$L$89</definedName>
    <definedName name="_xlcn.WorksheetConnection_II.SituaçãoAtualA2AA93">'I. Situação Atual'!$A$3:$O$91</definedName>
    <definedName name="Área_impressão_IM">[1]FLUXO98!$A$1:$N$68</definedName>
    <definedName name="PRINT_AREA_MI">[1]FLUXO98!$A$1:$N$69</definedName>
    <definedName name="SegmentaçãodeDados_Classificação">#N/A</definedName>
    <definedName name="SegmentaçãodeDados_Classificação1">#N/A</definedName>
    <definedName name="SegmentaçãodeDados_Descrição_das_despesas">#N/A</definedName>
    <definedName name="SegmentaçãodeDados_Descrição_das_despesas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9" i="16" l="1"/>
  <c r="L5" i="16"/>
  <c r="L6" i="16"/>
  <c r="L7" i="16"/>
  <c r="L8" i="16"/>
  <c r="L9" i="16"/>
  <c r="L10" i="16"/>
  <c r="L11" i="16"/>
  <c r="L12" i="16"/>
  <c r="L13" i="16"/>
  <c r="L14" i="16"/>
  <c r="L16" i="16"/>
  <c r="L17" i="16"/>
  <c r="L18" i="16"/>
  <c r="L19" i="16"/>
  <c r="L20" i="16"/>
  <c r="L21" i="16"/>
  <c r="L22" i="16"/>
  <c r="L23" i="16"/>
  <c r="L24" i="16"/>
  <c r="L25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9" i="16"/>
  <c r="L50" i="16"/>
  <c r="L51" i="16"/>
  <c r="L52" i="16"/>
  <c r="L53" i="16"/>
  <c r="L54" i="16"/>
  <c r="L56" i="16"/>
  <c r="L57" i="16"/>
  <c r="L58" i="16"/>
  <c r="L59" i="16"/>
  <c r="L60" i="16"/>
  <c r="L64" i="16"/>
  <c r="L66" i="16"/>
  <c r="L67" i="16"/>
  <c r="L68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4" i="16"/>
  <c r="L3" i="16"/>
  <c r="L2" i="16"/>
  <c r="J89" i="16" l="1"/>
  <c r="G89" i="16"/>
  <c r="G88" i="16"/>
  <c r="G87" i="16"/>
  <c r="G86" i="16"/>
  <c r="G85" i="16"/>
  <c r="G84" i="16"/>
  <c r="G83" i="16"/>
  <c r="K82" i="16"/>
  <c r="G82" i="16"/>
  <c r="K81" i="16"/>
  <c r="G81" i="16"/>
  <c r="G80" i="16"/>
  <c r="G79" i="16"/>
  <c r="G78" i="16"/>
  <c r="G77" i="16"/>
  <c r="G69" i="16"/>
  <c r="G65" i="16"/>
  <c r="K64" i="16"/>
  <c r="G64" i="16"/>
  <c r="G63" i="16"/>
  <c r="G62" i="16"/>
  <c r="G61" i="16"/>
  <c r="G60" i="16"/>
  <c r="G59" i="16"/>
  <c r="G58" i="16"/>
  <c r="G57" i="16"/>
  <c r="K56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K44" i="16"/>
  <c r="G44" i="16"/>
  <c r="G43" i="16"/>
  <c r="G42" i="16"/>
  <c r="G41" i="16"/>
  <c r="G40" i="16"/>
  <c r="G39" i="16"/>
  <c r="G38" i="16"/>
  <c r="G37" i="16"/>
  <c r="K36" i="16"/>
  <c r="G36" i="16"/>
  <c r="K35" i="16"/>
  <c r="G35" i="16"/>
  <c r="K34" i="16"/>
  <c r="G34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K13" i="16"/>
  <c r="G13" i="16"/>
  <c r="K12" i="16"/>
  <c r="G12" i="16"/>
  <c r="G10" i="16"/>
  <c r="AB19" i="15"/>
  <c r="AB20" i="15"/>
  <c r="Y37" i="15"/>
  <c r="Q37" i="15"/>
  <c r="P37" i="15"/>
  <c r="AG36" i="15"/>
  <c r="O35" i="15"/>
  <c r="J35" i="15"/>
  <c r="G35" i="15"/>
  <c r="AD34" i="15"/>
  <c r="O34" i="15"/>
  <c r="AA34" i="15" s="1"/>
  <c r="AB34" i="15" s="1"/>
  <c r="L34" i="15"/>
  <c r="G34" i="15"/>
  <c r="AD33" i="15"/>
  <c r="AA33" i="15"/>
  <c r="AB33" i="15" s="1"/>
  <c r="U33" i="15"/>
  <c r="T33" i="15"/>
  <c r="O33" i="15"/>
  <c r="AE33" i="15" s="1"/>
  <c r="L33" i="15"/>
  <c r="AA32" i="15"/>
  <c r="Z32" i="15"/>
  <c r="AB32" i="15" s="1"/>
  <c r="W32" i="15"/>
  <c r="V32" i="15"/>
  <c r="U32" i="15"/>
  <c r="T32" i="15"/>
  <c r="S32" i="15"/>
  <c r="R32" i="15"/>
  <c r="O32" i="15"/>
  <c r="AG32" i="15" s="1"/>
  <c r="L32" i="15"/>
  <c r="AB31" i="15"/>
  <c r="O31" i="15"/>
  <c r="AG31" i="15" s="1"/>
  <c r="U30" i="15"/>
  <c r="O30" i="15"/>
  <c r="Z30" i="15" s="1"/>
  <c r="J30" i="15"/>
  <c r="AG30" i="15" s="1"/>
  <c r="G30" i="15"/>
  <c r="AD29" i="15"/>
  <c r="AA29" i="15"/>
  <c r="U29" i="15"/>
  <c r="T29" i="15"/>
  <c r="O29" i="15"/>
  <c r="L29" i="15"/>
  <c r="AD28" i="15"/>
  <c r="V28" i="15"/>
  <c r="S28" i="15"/>
  <c r="O28" i="15"/>
  <c r="L28" i="15"/>
  <c r="O27" i="15"/>
  <c r="K27" i="15"/>
  <c r="G27" i="15"/>
  <c r="O26" i="15"/>
  <c r="J26" i="15"/>
  <c r="G26" i="15"/>
  <c r="O25" i="15"/>
  <c r="J25" i="15"/>
  <c r="G25" i="15"/>
  <c r="AD24" i="15"/>
  <c r="R24" i="15"/>
  <c r="O24" i="15"/>
  <c r="G24" i="15"/>
  <c r="AF23" i="15"/>
  <c r="O23" i="15"/>
  <c r="J23" i="15"/>
  <c r="G23" i="15"/>
  <c r="AD22" i="15"/>
  <c r="AA22" i="15"/>
  <c r="U22" i="15"/>
  <c r="O22" i="15"/>
  <c r="L22" i="15"/>
  <c r="G22" i="15"/>
  <c r="AD21" i="15"/>
  <c r="U21" i="15"/>
  <c r="R21" i="15"/>
  <c r="O21" i="15"/>
  <c r="L21" i="15"/>
  <c r="G21" i="15"/>
  <c r="W20" i="15"/>
  <c r="O20" i="15"/>
  <c r="L20" i="15"/>
  <c r="J20" i="15"/>
  <c r="G20" i="15"/>
  <c r="AD19" i="15"/>
  <c r="W19" i="15"/>
  <c r="V19" i="15"/>
  <c r="U19" i="15"/>
  <c r="O19" i="15"/>
  <c r="L19" i="15"/>
  <c r="G19" i="15"/>
  <c r="AD18" i="15"/>
  <c r="AA18" i="15"/>
  <c r="AB18" i="15" s="1"/>
  <c r="W18" i="15"/>
  <c r="V18" i="15"/>
  <c r="O18" i="15"/>
  <c r="L18" i="15"/>
  <c r="G18" i="15"/>
  <c r="S17" i="15"/>
  <c r="O17" i="15"/>
  <c r="K17" i="15"/>
  <c r="G17" i="15"/>
  <c r="AD16" i="15"/>
  <c r="AB16" i="15"/>
  <c r="U16" i="15"/>
  <c r="S16" i="15"/>
  <c r="O16" i="15"/>
  <c r="L16" i="15"/>
  <c r="G16" i="15"/>
  <c r="AD15" i="15"/>
  <c r="AA15" i="15"/>
  <c r="X15" i="15"/>
  <c r="X37" i="15" s="1"/>
  <c r="W15" i="15"/>
  <c r="V15" i="15"/>
  <c r="U15" i="15"/>
  <c r="T15" i="15"/>
  <c r="S15" i="15"/>
  <c r="O15" i="15"/>
  <c r="L15" i="15"/>
  <c r="G15" i="15"/>
  <c r="AD14" i="15"/>
  <c r="AA14" i="15"/>
  <c r="U14" i="15"/>
  <c r="O14" i="15"/>
  <c r="L14" i="15"/>
  <c r="G14" i="15"/>
  <c r="AD13" i="15"/>
  <c r="W13" i="15"/>
  <c r="S13" i="15"/>
  <c r="R13" i="15"/>
  <c r="O13" i="15"/>
  <c r="L13" i="15"/>
  <c r="G13" i="15"/>
  <c r="O12" i="15"/>
  <c r="J12" i="15"/>
  <c r="G12" i="15"/>
  <c r="AD11" i="15"/>
  <c r="S11" i="15"/>
  <c r="O11" i="15"/>
  <c r="L11" i="15"/>
  <c r="G11" i="15"/>
  <c r="AD10" i="15"/>
  <c r="AB10" i="15"/>
  <c r="O10" i="15"/>
  <c r="AE10" i="15" s="1"/>
  <c r="G10" i="15"/>
  <c r="S9" i="15"/>
  <c r="O9" i="15"/>
  <c r="J9" i="15"/>
  <c r="G9" i="15"/>
  <c r="O8" i="15"/>
  <c r="K8" i="15"/>
  <c r="G8" i="15"/>
  <c r="AF7" i="15"/>
  <c r="AD7" i="15"/>
  <c r="T7" i="15"/>
  <c r="S7" i="15"/>
  <c r="R7" i="15"/>
  <c r="O7" i="15"/>
  <c r="L7" i="15"/>
  <c r="G7" i="15"/>
  <c r="AD6" i="15"/>
  <c r="AA6" i="15"/>
  <c r="W6" i="15"/>
  <c r="U6" i="15"/>
  <c r="M6" i="15"/>
  <c r="O6" i="15" s="1"/>
  <c r="L6" i="15"/>
  <c r="N37" i="15"/>
  <c r="AD5" i="15"/>
  <c r="V5" i="15"/>
  <c r="U5" i="15"/>
  <c r="T5" i="15"/>
  <c r="O5" i="15"/>
  <c r="L5" i="15"/>
  <c r="O4" i="15"/>
  <c r="AA4" i="15" s="1"/>
  <c r="L4" i="15"/>
  <c r="AH3" i="15"/>
  <c r="Z91" i="1"/>
  <c r="J91" i="1"/>
  <c r="AA52" i="1"/>
  <c r="AA48" i="1"/>
  <c r="M76" i="1"/>
  <c r="M75" i="1"/>
  <c r="M74" i="1"/>
  <c r="AA44" i="1"/>
  <c r="Z44" i="1"/>
  <c r="AA84" i="1"/>
  <c r="Z84" i="1"/>
  <c r="O84" i="1"/>
  <c r="K84" i="1"/>
  <c r="G84" i="1"/>
  <c r="L73" i="1"/>
  <c r="G65" i="1"/>
  <c r="Z63" i="1"/>
  <c r="AA63" i="1"/>
  <c r="Z71" i="1"/>
  <c r="Z88" i="1"/>
  <c r="AB86" i="1"/>
  <c r="AA80" i="1"/>
  <c r="AA78" i="1"/>
  <c r="Z70" i="1"/>
  <c r="AA70" i="1"/>
  <c r="AA69" i="1"/>
  <c r="Z66" i="1"/>
  <c r="AA65" i="1"/>
  <c r="AA61" i="1"/>
  <c r="Z56" i="1"/>
  <c r="AA57" i="1"/>
  <c r="Z50" i="1"/>
  <c r="Z49" i="1"/>
  <c r="Z46" i="1"/>
  <c r="Z39" i="1"/>
  <c r="AA33" i="1"/>
  <c r="AA24" i="1"/>
  <c r="AA15" i="1"/>
  <c r="AA12" i="1"/>
  <c r="Z11" i="1"/>
  <c r="AA11" i="1"/>
  <c r="N9" i="1"/>
  <c r="M9" i="1"/>
  <c r="N8" i="1"/>
  <c r="M8" i="1"/>
  <c r="AA7" i="1"/>
  <c r="AA6" i="1"/>
  <c r="M11" i="1"/>
  <c r="X44" i="1"/>
  <c r="W44" i="1"/>
  <c r="V44" i="1"/>
  <c r="U44" i="1"/>
  <c r="T44" i="1"/>
  <c r="G14" i="1"/>
  <c r="B25" i="14"/>
  <c r="B20" i="14"/>
  <c r="B54" i="14" s="1"/>
  <c r="J19" i="13"/>
  <c r="G19" i="13"/>
  <c r="Q48" i="12"/>
  <c r="O48" i="12"/>
  <c r="N48" i="12"/>
  <c r="Y47" i="12"/>
  <c r="V46" i="12"/>
  <c r="S46" i="12"/>
  <c r="R46" i="12"/>
  <c r="T46" i="12" s="1"/>
  <c r="P46" i="12"/>
  <c r="Y46" i="12" s="1"/>
  <c r="M46" i="12"/>
  <c r="H46" i="12"/>
  <c r="V45" i="12"/>
  <c r="S45" i="12"/>
  <c r="R45" i="12"/>
  <c r="T45" i="12" s="1"/>
  <c r="P45" i="12"/>
  <c r="Y45" i="12" s="1"/>
  <c r="M45" i="12"/>
  <c r="H45" i="12"/>
  <c r="P44" i="12"/>
  <c r="L44" i="12"/>
  <c r="H44" i="12"/>
  <c r="V43" i="12"/>
  <c r="S43" i="12"/>
  <c r="R43" i="12"/>
  <c r="T43" i="12" s="1"/>
  <c r="P43" i="12"/>
  <c r="Y43" i="12" s="1"/>
  <c r="M43" i="12"/>
  <c r="H43" i="12"/>
  <c r="P42" i="12"/>
  <c r="M42" i="12"/>
  <c r="P41" i="12"/>
  <c r="M41" i="12"/>
  <c r="P40" i="12"/>
  <c r="M40" i="12"/>
  <c r="V39" i="12"/>
  <c r="P39" i="12"/>
  <c r="K39" i="12"/>
  <c r="H39" i="12"/>
  <c r="V38" i="12"/>
  <c r="P38" i="12"/>
  <c r="M38" i="12"/>
  <c r="V37" i="12"/>
  <c r="S37" i="12"/>
  <c r="P37" i="12"/>
  <c r="M37" i="12"/>
  <c r="V36" i="12"/>
  <c r="S36" i="12"/>
  <c r="P36" i="12"/>
  <c r="M36" i="12"/>
  <c r="P35" i="12"/>
  <c r="L35" i="12"/>
  <c r="H35" i="12"/>
  <c r="V34" i="12"/>
  <c r="S34" i="12"/>
  <c r="R34" i="12"/>
  <c r="T34" i="12" s="1"/>
  <c r="P34" i="12"/>
  <c r="H34" i="12"/>
  <c r="V33" i="12"/>
  <c r="P33" i="12"/>
  <c r="M33" i="12"/>
  <c r="H33" i="12"/>
  <c r="V32" i="12"/>
  <c r="P32" i="12"/>
  <c r="M32" i="12"/>
  <c r="H32" i="12"/>
  <c r="P31" i="12"/>
  <c r="L31" i="12"/>
  <c r="H31" i="12"/>
  <c r="X30" i="12"/>
  <c r="P30" i="12"/>
  <c r="K30" i="12"/>
  <c r="H30" i="12"/>
  <c r="V29" i="12"/>
  <c r="S29" i="12"/>
  <c r="R29" i="12"/>
  <c r="T29" i="12" s="1"/>
  <c r="P29" i="12"/>
  <c r="Y29" i="12" s="1"/>
  <c r="M29" i="12"/>
  <c r="H29" i="12"/>
  <c r="P28" i="12"/>
  <c r="L28" i="12"/>
  <c r="H28" i="12"/>
  <c r="V27" i="12"/>
  <c r="S27" i="12"/>
  <c r="R27" i="12"/>
  <c r="T27" i="12" s="1"/>
  <c r="P27" i="12"/>
  <c r="Y27" i="12" s="1"/>
  <c r="M27" i="12"/>
  <c r="H27" i="12"/>
  <c r="V26" i="12"/>
  <c r="S26" i="12"/>
  <c r="P26" i="12"/>
  <c r="M26" i="12"/>
  <c r="H26" i="12"/>
  <c r="V25" i="12"/>
  <c r="S25" i="12"/>
  <c r="T25" i="12" s="1"/>
  <c r="P25" i="12"/>
  <c r="W25" i="12" s="1"/>
  <c r="M25" i="12"/>
  <c r="H25" i="12"/>
  <c r="P24" i="12"/>
  <c r="M24" i="12"/>
  <c r="K24" i="12"/>
  <c r="H24" i="12"/>
  <c r="V23" i="12"/>
  <c r="T23" i="12"/>
  <c r="P23" i="12"/>
  <c r="Y23" i="12" s="1"/>
  <c r="M23" i="12"/>
  <c r="H23" i="12"/>
  <c r="P22" i="12"/>
  <c r="L22" i="12"/>
  <c r="H22" i="12"/>
  <c r="V21" i="12"/>
  <c r="S21" i="12"/>
  <c r="P21" i="12"/>
  <c r="M21" i="12"/>
  <c r="H21" i="12"/>
  <c r="P20" i="12"/>
  <c r="L20" i="12"/>
  <c r="H20" i="12"/>
  <c r="V19" i="12"/>
  <c r="P19" i="12"/>
  <c r="M19" i="12"/>
  <c r="H19" i="12"/>
  <c r="V18" i="12"/>
  <c r="S18" i="12"/>
  <c r="P18" i="12"/>
  <c r="M18" i="12"/>
  <c r="H18" i="12"/>
  <c r="V17" i="12"/>
  <c r="S17" i="12"/>
  <c r="P17" i="12"/>
  <c r="M17" i="12"/>
  <c r="H17" i="12"/>
  <c r="V16" i="12"/>
  <c r="P16" i="12"/>
  <c r="M16" i="12"/>
  <c r="H16" i="12"/>
  <c r="V15" i="12"/>
  <c r="P15" i="12"/>
  <c r="M15" i="12"/>
  <c r="H15" i="12"/>
  <c r="P14" i="12"/>
  <c r="L14" i="12"/>
  <c r="H14" i="12"/>
  <c r="P13" i="12"/>
  <c r="L13" i="12"/>
  <c r="H13" i="12"/>
  <c r="V12" i="12"/>
  <c r="S12" i="12"/>
  <c r="P12" i="12"/>
  <c r="M12" i="12"/>
  <c r="H12" i="12"/>
  <c r="V11" i="12"/>
  <c r="S11" i="12"/>
  <c r="T11" i="12" s="1"/>
  <c r="P11" i="12"/>
  <c r="Y11" i="12" s="1"/>
  <c r="M11" i="12"/>
  <c r="H11" i="12"/>
  <c r="V10" i="12"/>
  <c r="S10" i="12"/>
  <c r="R10" i="12"/>
  <c r="T10" i="12" s="1"/>
  <c r="P10" i="12"/>
  <c r="H10" i="12"/>
  <c r="P9" i="12"/>
  <c r="K9" i="12"/>
  <c r="H9" i="12"/>
  <c r="V8" i="12"/>
  <c r="S8" i="12"/>
  <c r="P8" i="12"/>
  <c r="R8" i="12" s="1"/>
  <c r="T8" i="12" s="1"/>
  <c r="H8" i="12"/>
  <c r="P7" i="12"/>
  <c r="M7" i="12"/>
  <c r="L7" i="12"/>
  <c r="H7" i="12"/>
  <c r="X6" i="12"/>
  <c r="X48" i="12" s="1"/>
  <c r="V6" i="12"/>
  <c r="S6" i="12"/>
  <c r="P6" i="12"/>
  <c r="M6" i="12"/>
  <c r="H6" i="12"/>
  <c r="V5" i="12"/>
  <c r="S5" i="12"/>
  <c r="P5" i="12"/>
  <c r="M5" i="12"/>
  <c r="S4" i="12"/>
  <c r="R4" i="12"/>
  <c r="P4" i="12"/>
  <c r="P48" i="12" s="1"/>
  <c r="M4" i="12"/>
  <c r="M35" i="11"/>
  <c r="J35" i="11"/>
  <c r="I35" i="11"/>
  <c r="H35" i="11"/>
  <c r="N34" i="11"/>
  <c r="K34" i="11"/>
  <c r="L34" i="11" s="1"/>
  <c r="K33" i="11"/>
  <c r="L33" i="11" s="1"/>
  <c r="N32" i="11"/>
  <c r="K32" i="11"/>
  <c r="L32" i="11" s="1"/>
  <c r="N31" i="11"/>
  <c r="K31" i="11"/>
  <c r="L31" i="11" s="1"/>
  <c r="N30" i="11"/>
  <c r="K30" i="11"/>
  <c r="L30" i="11" s="1"/>
  <c r="N29" i="11"/>
  <c r="N35" i="11" s="1"/>
  <c r="K29" i="11"/>
  <c r="J26" i="11"/>
  <c r="I26" i="11"/>
  <c r="H26" i="11"/>
  <c r="N25" i="11"/>
  <c r="K25" i="11"/>
  <c r="L25" i="11" s="1"/>
  <c r="N24" i="11"/>
  <c r="K24" i="11"/>
  <c r="N23" i="11"/>
  <c r="K23" i="11"/>
  <c r="N22" i="11"/>
  <c r="N21" i="11"/>
  <c r="N20" i="11"/>
  <c r="N19" i="11"/>
  <c r="K19" i="11"/>
  <c r="N18" i="11"/>
  <c r="K18" i="11"/>
  <c r="N17" i="11"/>
  <c r="K17" i="11"/>
  <c r="K16" i="11"/>
  <c r="K15" i="11"/>
  <c r="L15" i="11" s="1"/>
  <c r="N14" i="11"/>
  <c r="K14" i="11"/>
  <c r="N13" i="11"/>
  <c r="K13" i="11"/>
  <c r="M13" i="11" s="1"/>
  <c r="N12" i="11"/>
  <c r="K12" i="11"/>
  <c r="M12" i="11" s="1"/>
  <c r="K11" i="11"/>
  <c r="M11" i="11" s="1"/>
  <c r="M26" i="11" s="1"/>
  <c r="N10" i="11"/>
  <c r="K10" i="11"/>
  <c r="N9" i="11"/>
  <c r="K9" i="11"/>
  <c r="L9" i="11" s="1"/>
  <c r="N8" i="11"/>
  <c r="K8" i="11"/>
  <c r="L8" i="11" s="1"/>
  <c r="K7" i="11"/>
  <c r="L7" i="11" s="1"/>
  <c r="N6" i="11"/>
  <c r="N26" i="11" s="1"/>
  <c r="K6" i="11"/>
  <c r="M7" i="10"/>
  <c r="J7" i="10"/>
  <c r="I7" i="10"/>
  <c r="H7" i="10"/>
  <c r="N6" i="10"/>
  <c r="N7" i="10" s="1"/>
  <c r="K6" i="10"/>
  <c r="AB45" i="9"/>
  <c r="AA45" i="9"/>
  <c r="Z45" i="9"/>
  <c r="AE45" i="9" s="1"/>
  <c r="Y45" i="9"/>
  <c r="X45" i="9"/>
  <c r="W45" i="9"/>
  <c r="V45" i="9"/>
  <c r="U45" i="9"/>
  <c r="AC45" i="9" s="1"/>
  <c r="P45" i="9"/>
  <c r="K45" i="9"/>
  <c r="AH45" i="9" s="1"/>
  <c r="H45" i="9"/>
  <c r="T44" i="9"/>
  <c r="P44" i="9"/>
  <c r="L44" i="9"/>
  <c r="H44" i="9"/>
  <c r="AC34" i="9"/>
  <c r="AG28" i="9"/>
  <c r="AG32" i="9" s="1"/>
  <c r="AG33" i="9" s="1"/>
  <c r="R26" i="9"/>
  <c r="Q26" i="9"/>
  <c r="O26" i="9"/>
  <c r="AE25" i="9"/>
  <c r="AB25" i="9"/>
  <c r="AA25" i="9"/>
  <c r="Z25" i="9"/>
  <c r="Y25" i="9"/>
  <c r="X25" i="9"/>
  <c r="W25" i="9"/>
  <c r="V25" i="9"/>
  <c r="U25" i="9"/>
  <c r="AC25" i="9" s="1"/>
  <c r="P25" i="9"/>
  <c r="M25" i="9"/>
  <c r="H25" i="9"/>
  <c r="P24" i="9"/>
  <c r="L24" i="9"/>
  <c r="H24" i="9"/>
  <c r="U23" i="9"/>
  <c r="AC23" i="9" s="1"/>
  <c r="P23" i="9"/>
  <c r="AH23" i="9" s="1"/>
  <c r="M23" i="9"/>
  <c r="U22" i="9"/>
  <c r="AC22" i="9" s="1"/>
  <c r="P22" i="9"/>
  <c r="AH22" i="9" s="1"/>
  <c r="M22" i="9"/>
  <c r="N21" i="9"/>
  <c r="P21" i="9" s="1"/>
  <c r="AH21" i="9" s="1"/>
  <c r="M21" i="9"/>
  <c r="AE20" i="9"/>
  <c r="AB20" i="9"/>
  <c r="AA20" i="9"/>
  <c r="Z20" i="9"/>
  <c r="Y20" i="9"/>
  <c r="X20" i="9"/>
  <c r="W20" i="9"/>
  <c r="V20" i="9"/>
  <c r="U20" i="9"/>
  <c r="AC20" i="9" s="1"/>
  <c r="P20" i="9"/>
  <c r="AH20" i="9" s="1"/>
  <c r="M20" i="9"/>
  <c r="H20" i="9"/>
  <c r="P19" i="9"/>
  <c r="L19" i="9"/>
  <c r="H19" i="9"/>
  <c r="AE18" i="9"/>
  <c r="AB18" i="9"/>
  <c r="AA18" i="9"/>
  <c r="Z18" i="9"/>
  <c r="Y18" i="9"/>
  <c r="X18" i="9"/>
  <c r="W18" i="9"/>
  <c r="V18" i="9"/>
  <c r="U18" i="9"/>
  <c r="AC18" i="9" s="1"/>
  <c r="S18" i="9"/>
  <c r="P18" i="9"/>
  <c r="M18" i="9"/>
  <c r="H18" i="9"/>
  <c r="AE17" i="9"/>
  <c r="AB17" i="9"/>
  <c r="AA17" i="9"/>
  <c r="Z17" i="9"/>
  <c r="Y17" i="9"/>
  <c r="X17" i="9"/>
  <c r="W17" i="9"/>
  <c r="V17" i="9"/>
  <c r="U17" i="9"/>
  <c r="AC17" i="9" s="1"/>
  <c r="N17" i="9"/>
  <c r="P17" i="9" s="1"/>
  <c r="AF17" i="9" s="1"/>
  <c r="M17" i="9"/>
  <c r="H17" i="9"/>
  <c r="AE16" i="9"/>
  <c r="AB16" i="9"/>
  <c r="AA16" i="9"/>
  <c r="Z16" i="9"/>
  <c r="Y16" i="9"/>
  <c r="X16" i="9"/>
  <c r="W16" i="9"/>
  <c r="V16" i="9"/>
  <c r="U16" i="9"/>
  <c r="AC16" i="9" s="1"/>
  <c r="P16" i="9"/>
  <c r="M16" i="9"/>
  <c r="H16" i="9"/>
  <c r="AE15" i="9"/>
  <c r="AB15" i="9"/>
  <c r="AA15" i="9"/>
  <c r="Z15" i="9"/>
  <c r="Y15" i="9"/>
  <c r="X15" i="9"/>
  <c r="W15" i="9"/>
  <c r="V15" i="9"/>
  <c r="U15" i="9"/>
  <c r="T15" i="9"/>
  <c r="AC15" i="9" s="1"/>
  <c r="P15" i="9"/>
  <c r="M15" i="9"/>
  <c r="H15" i="9"/>
  <c r="AE14" i="9"/>
  <c r="AB14" i="9"/>
  <c r="AA14" i="9"/>
  <c r="Z14" i="9"/>
  <c r="Y14" i="9"/>
  <c r="X14" i="9"/>
  <c r="W14" i="9"/>
  <c r="V14" i="9"/>
  <c r="U14" i="9"/>
  <c r="T14" i="9"/>
  <c r="AC14" i="9" s="1"/>
  <c r="P14" i="9"/>
  <c r="AG14" i="9" s="1"/>
  <c r="M14" i="9"/>
  <c r="H14" i="9"/>
  <c r="AE13" i="9"/>
  <c r="AB13" i="9"/>
  <c r="AA13" i="9"/>
  <c r="Z13" i="9"/>
  <c r="Y13" i="9"/>
  <c r="X13" i="9"/>
  <c r="W13" i="9"/>
  <c r="V13" i="9"/>
  <c r="U13" i="9"/>
  <c r="T13" i="9"/>
  <c r="AC13" i="9" s="1"/>
  <c r="N13" i="9"/>
  <c r="M13" i="9"/>
  <c r="H13" i="9"/>
  <c r="AE12" i="9"/>
  <c r="AB12" i="9"/>
  <c r="AA12" i="9"/>
  <c r="Z12" i="9"/>
  <c r="Y12" i="9"/>
  <c r="X12" i="9"/>
  <c r="W12" i="9"/>
  <c r="V12" i="9"/>
  <c r="U12" i="9"/>
  <c r="T12" i="9"/>
  <c r="AC12" i="9" s="1"/>
  <c r="P12" i="9"/>
  <c r="M12" i="9"/>
  <c r="H12" i="9"/>
  <c r="AE11" i="9"/>
  <c r="AB11" i="9"/>
  <c r="AA11" i="9"/>
  <c r="Z11" i="9"/>
  <c r="Y11" i="9"/>
  <c r="X11" i="9"/>
  <c r="W11" i="9"/>
  <c r="V11" i="9"/>
  <c r="U11" i="9"/>
  <c r="AC11" i="9" s="1"/>
  <c r="P11" i="9"/>
  <c r="M11" i="9"/>
  <c r="H11" i="9"/>
  <c r="P10" i="9"/>
  <c r="L10" i="9"/>
  <c r="H10" i="9"/>
  <c r="U9" i="9"/>
  <c r="AC9" i="9" s="1"/>
  <c r="P9" i="9"/>
  <c r="L9" i="9"/>
  <c r="H9" i="9"/>
  <c r="P8" i="9"/>
  <c r="L8" i="9"/>
  <c r="H8" i="9"/>
  <c r="AE7" i="9"/>
  <c r="AB7" i="9"/>
  <c r="AA7" i="9"/>
  <c r="Z7" i="9"/>
  <c r="Y7" i="9"/>
  <c r="X7" i="9"/>
  <c r="W7" i="9"/>
  <c r="V7" i="9"/>
  <c r="U7" i="9"/>
  <c r="T7" i="9"/>
  <c r="AC7" i="9" s="1"/>
  <c r="P7" i="9"/>
  <c r="M7" i="9"/>
  <c r="H7" i="9"/>
  <c r="T6" i="9"/>
  <c r="P6" i="9"/>
  <c r="K6" i="9"/>
  <c r="H6" i="9"/>
  <c r="AE5" i="9"/>
  <c r="AB5" i="9"/>
  <c r="AA5" i="9"/>
  <c r="Z5" i="9"/>
  <c r="AG5" i="9" s="1"/>
  <c r="Y5" i="9"/>
  <c r="X5" i="9"/>
  <c r="W5" i="9"/>
  <c r="V5" i="9"/>
  <c r="U5" i="9"/>
  <c r="T5" i="9"/>
  <c r="S5" i="9"/>
  <c r="P5" i="9"/>
  <c r="M5" i="9"/>
  <c r="H5" i="9"/>
  <c r="AE4" i="9"/>
  <c r="AB4" i="9"/>
  <c r="AA4" i="9"/>
  <c r="Z4" i="9"/>
  <c r="Y4" i="9"/>
  <c r="X4" i="9"/>
  <c r="W4" i="9"/>
  <c r="V4" i="9"/>
  <c r="U4" i="9"/>
  <c r="P4" i="9"/>
  <c r="M4" i="9"/>
  <c r="G55" i="7"/>
  <c r="G58" i="7" s="1"/>
  <c r="G36" i="7"/>
  <c r="G16" i="7"/>
  <c r="G7" i="7"/>
  <c r="Z93" i="6"/>
  <c r="V93" i="6"/>
  <c r="N93" i="6"/>
  <c r="P93" i="6" s="1"/>
  <c r="M93" i="6"/>
  <c r="Z92" i="6"/>
  <c r="N92" i="6"/>
  <c r="P92" i="6" s="1"/>
  <c r="V92" i="6" s="1"/>
  <c r="M92" i="6"/>
  <c r="Y91" i="6"/>
  <c r="X91" i="6"/>
  <c r="Z91" i="6" s="1"/>
  <c r="V91" i="6"/>
  <c r="U91" i="6"/>
  <c r="P91" i="6"/>
  <c r="S91" i="6" s="1"/>
  <c r="M91" i="6"/>
  <c r="Y90" i="6"/>
  <c r="X90" i="6"/>
  <c r="W90" i="6"/>
  <c r="Z90" i="6" s="1"/>
  <c r="T90" i="6"/>
  <c r="P90" i="6"/>
  <c r="S90" i="6" s="1"/>
  <c r="M90" i="6"/>
  <c r="Y89" i="6"/>
  <c r="X89" i="6"/>
  <c r="Z89" i="6" s="1"/>
  <c r="V89" i="6"/>
  <c r="T89" i="6"/>
  <c r="P89" i="6"/>
  <c r="M89" i="6"/>
  <c r="P88" i="6"/>
  <c r="L88" i="6"/>
  <c r="Y88" i="6" s="1"/>
  <c r="Z88" i="6" s="1"/>
  <c r="H88" i="6"/>
  <c r="Y87" i="6"/>
  <c r="X87" i="6"/>
  <c r="Z87" i="6" s="1"/>
  <c r="V87" i="6"/>
  <c r="T87" i="6"/>
  <c r="P87" i="6"/>
  <c r="M87" i="6"/>
  <c r="H87" i="6"/>
  <c r="Y86" i="6"/>
  <c r="X86" i="6"/>
  <c r="Z86" i="6" s="1"/>
  <c r="P86" i="6"/>
  <c r="M86" i="6"/>
  <c r="H86" i="6"/>
  <c r="P85" i="6"/>
  <c r="L85" i="6"/>
  <c r="H85" i="6"/>
  <c r="Y84" i="6"/>
  <c r="Z84" i="6" s="1"/>
  <c r="V84" i="6"/>
  <c r="P84" i="6"/>
  <c r="M84" i="6"/>
  <c r="H84" i="6"/>
  <c r="P83" i="6"/>
  <c r="V83" i="6" s="1"/>
  <c r="L83" i="6"/>
  <c r="H83" i="6"/>
  <c r="Y82" i="6"/>
  <c r="Z82" i="6" s="1"/>
  <c r="V82" i="6"/>
  <c r="S82" i="6"/>
  <c r="P82" i="6"/>
  <c r="M82" i="6"/>
  <c r="H82" i="6"/>
  <c r="Y81" i="6"/>
  <c r="X81" i="6"/>
  <c r="Z81" i="6" s="1"/>
  <c r="N81" i="6"/>
  <c r="P81" i="6" s="1"/>
  <c r="M81" i="6"/>
  <c r="H81" i="6"/>
  <c r="P80" i="6"/>
  <c r="M80" i="6"/>
  <c r="K80" i="6"/>
  <c r="H80" i="6"/>
  <c r="X79" i="6"/>
  <c r="W79" i="6"/>
  <c r="V79" i="6"/>
  <c r="N79" i="6"/>
  <c r="P79" i="6" s="1"/>
  <c r="M79" i="6"/>
  <c r="H79" i="6"/>
  <c r="Y78" i="6"/>
  <c r="X78" i="6"/>
  <c r="V78" i="6"/>
  <c r="T78" i="6"/>
  <c r="P78" i="6"/>
  <c r="M78" i="6"/>
  <c r="H78" i="6"/>
  <c r="R73" i="6"/>
  <c r="R94" i="6" s="1"/>
  <c r="Q73" i="6"/>
  <c r="Q94" i="6" s="1"/>
  <c r="O73" i="6"/>
  <c r="O94" i="6" s="1"/>
  <c r="N73" i="6"/>
  <c r="N94" i="6" s="1"/>
  <c r="Y72" i="6"/>
  <c r="X72" i="6"/>
  <c r="Z72" i="6" s="1"/>
  <c r="V72" i="6"/>
  <c r="P72" i="6"/>
  <c r="M72" i="6"/>
  <c r="H72" i="6"/>
  <c r="T71" i="6"/>
  <c r="P71" i="6"/>
  <c r="L71" i="6"/>
  <c r="H71" i="6"/>
  <c r="Y70" i="6"/>
  <c r="X70" i="6"/>
  <c r="Z70" i="6" s="1"/>
  <c r="V70" i="6"/>
  <c r="T70" i="6"/>
  <c r="P70" i="6"/>
  <c r="M70" i="6"/>
  <c r="H70" i="6"/>
  <c r="Y69" i="6"/>
  <c r="Z69" i="6" s="1"/>
  <c r="V69" i="6"/>
  <c r="T69" i="6"/>
  <c r="P69" i="6"/>
  <c r="U69" i="6" s="1"/>
  <c r="M69" i="6"/>
  <c r="H69" i="6"/>
  <c r="Y68" i="6"/>
  <c r="X68" i="6"/>
  <c r="Z68" i="6" s="1"/>
  <c r="T68" i="6"/>
  <c r="P68" i="6"/>
  <c r="S68" i="6" s="1"/>
  <c r="M68" i="6"/>
  <c r="H68" i="6"/>
  <c r="Y67" i="6"/>
  <c r="Z67" i="6" s="1"/>
  <c r="V67" i="6"/>
  <c r="P67" i="6"/>
  <c r="M67" i="6"/>
  <c r="H67" i="6"/>
  <c r="P66" i="6"/>
  <c r="L66" i="6"/>
  <c r="H66" i="6"/>
  <c r="P65" i="6"/>
  <c r="L65" i="6"/>
  <c r="H65" i="6"/>
  <c r="Y64" i="6"/>
  <c r="X64" i="6"/>
  <c r="Z64" i="6" s="1"/>
  <c r="P64" i="6"/>
  <c r="M64" i="6"/>
  <c r="H64" i="6"/>
  <c r="W63" i="6"/>
  <c r="Z63" i="6" s="1"/>
  <c r="V63" i="6"/>
  <c r="T63" i="6"/>
  <c r="P63" i="6"/>
  <c r="U63" i="6" s="1"/>
  <c r="H63" i="6"/>
  <c r="P62" i="6"/>
  <c r="K62" i="6"/>
  <c r="H62" i="6"/>
  <c r="Y61" i="6"/>
  <c r="X61" i="6"/>
  <c r="W61" i="6"/>
  <c r="V61" i="6"/>
  <c r="U61" i="6"/>
  <c r="P61" i="6"/>
  <c r="P73" i="6" s="1"/>
  <c r="M61" i="6"/>
  <c r="Z43" i="6"/>
  <c r="Z56" i="6" s="1"/>
  <c r="R37" i="6"/>
  <c r="Q37" i="6"/>
  <c r="O37" i="6"/>
  <c r="Z35" i="6"/>
  <c r="V35" i="6"/>
  <c r="N35" i="6"/>
  <c r="P35" i="6" s="1"/>
  <c r="M35" i="6"/>
  <c r="Z34" i="6"/>
  <c r="N34" i="6"/>
  <c r="P34" i="6" s="1"/>
  <c r="V34" i="6" s="1"/>
  <c r="M34" i="6"/>
  <c r="Y33" i="6"/>
  <c r="X33" i="6"/>
  <c r="Z33" i="6" s="1"/>
  <c r="V33" i="6"/>
  <c r="U33" i="6"/>
  <c r="P33" i="6"/>
  <c r="S33" i="6" s="1"/>
  <c r="M33" i="6"/>
  <c r="Y32" i="6"/>
  <c r="X32" i="6"/>
  <c r="W32" i="6"/>
  <c r="Z32" i="6" s="1"/>
  <c r="T32" i="6"/>
  <c r="P32" i="6"/>
  <c r="S32" i="6" s="1"/>
  <c r="M32" i="6"/>
  <c r="Y31" i="6"/>
  <c r="X31" i="6"/>
  <c r="Z31" i="6" s="1"/>
  <c r="V31" i="6"/>
  <c r="T31" i="6"/>
  <c r="P31" i="6"/>
  <c r="M31" i="6"/>
  <c r="P30" i="6"/>
  <c r="L30" i="6"/>
  <c r="Y30" i="6" s="1"/>
  <c r="Z30" i="6" s="1"/>
  <c r="H30" i="6"/>
  <c r="P29" i="6"/>
  <c r="K29" i="6"/>
  <c r="Y28" i="6"/>
  <c r="X28" i="6"/>
  <c r="Z28" i="6" s="1"/>
  <c r="V28" i="6"/>
  <c r="T28" i="6"/>
  <c r="P28" i="6"/>
  <c r="M28" i="6"/>
  <c r="H28" i="6"/>
  <c r="Y27" i="6"/>
  <c r="X27" i="6"/>
  <c r="Z27" i="6" s="1"/>
  <c r="P27" i="6"/>
  <c r="M27" i="6"/>
  <c r="H27" i="6"/>
  <c r="P26" i="6"/>
  <c r="L26" i="6"/>
  <c r="H26" i="6"/>
  <c r="Y25" i="6"/>
  <c r="Z25" i="6" s="1"/>
  <c r="V25" i="6"/>
  <c r="P25" i="6"/>
  <c r="M25" i="6"/>
  <c r="H25" i="6"/>
  <c r="P24" i="6"/>
  <c r="V24" i="6" s="1"/>
  <c r="L24" i="6"/>
  <c r="H24" i="6"/>
  <c r="Y23" i="6"/>
  <c r="Z23" i="6" s="1"/>
  <c r="S23" i="6"/>
  <c r="P23" i="6"/>
  <c r="M23" i="6"/>
  <c r="H23" i="6"/>
  <c r="Y22" i="6"/>
  <c r="Z22" i="6" s="1"/>
  <c r="S22" i="6"/>
  <c r="P22" i="6"/>
  <c r="M22" i="6"/>
  <c r="H22" i="6"/>
  <c r="Y21" i="6"/>
  <c r="Z21" i="6" s="1"/>
  <c r="V21" i="6"/>
  <c r="S21" i="6"/>
  <c r="P21" i="6"/>
  <c r="M21" i="6"/>
  <c r="H21" i="6"/>
  <c r="Y20" i="6"/>
  <c r="X20" i="6"/>
  <c r="Z20" i="6" s="1"/>
  <c r="N20" i="6"/>
  <c r="P20" i="6" s="1"/>
  <c r="M20" i="6"/>
  <c r="H20" i="6"/>
  <c r="P19" i="6"/>
  <c r="M19" i="6"/>
  <c r="K19" i="6"/>
  <c r="H19" i="6"/>
  <c r="X18" i="6"/>
  <c r="W18" i="6"/>
  <c r="Z18" i="6" s="1"/>
  <c r="V18" i="6"/>
  <c r="N18" i="6"/>
  <c r="M18" i="6"/>
  <c r="H18" i="6"/>
  <c r="Y17" i="6"/>
  <c r="X17" i="6"/>
  <c r="Z17" i="6" s="1"/>
  <c r="V17" i="6"/>
  <c r="P17" i="6"/>
  <c r="M17" i="6"/>
  <c r="H17" i="6"/>
  <c r="T16" i="6"/>
  <c r="P16" i="6"/>
  <c r="L16" i="6"/>
  <c r="H16" i="6"/>
  <c r="Y15" i="6"/>
  <c r="X15" i="6"/>
  <c r="Z15" i="6" s="1"/>
  <c r="V15" i="6"/>
  <c r="T15" i="6"/>
  <c r="P15" i="6"/>
  <c r="M15" i="6"/>
  <c r="H15" i="6"/>
  <c r="Y14" i="6"/>
  <c r="X14" i="6"/>
  <c r="Z14" i="6" s="1"/>
  <c r="V14" i="6"/>
  <c r="T14" i="6"/>
  <c r="P14" i="6"/>
  <c r="M14" i="6"/>
  <c r="H14" i="6"/>
  <c r="Y13" i="6"/>
  <c r="Z13" i="6" s="1"/>
  <c r="V13" i="6"/>
  <c r="T13" i="6"/>
  <c r="P13" i="6"/>
  <c r="U13" i="6" s="1"/>
  <c r="M13" i="6"/>
  <c r="H13" i="6"/>
  <c r="Z12" i="6"/>
  <c r="Y11" i="6"/>
  <c r="X11" i="6"/>
  <c r="Z11" i="6" s="1"/>
  <c r="T11" i="6"/>
  <c r="P11" i="6"/>
  <c r="S11" i="6" s="1"/>
  <c r="M11" i="6"/>
  <c r="H11" i="6"/>
  <c r="Y10" i="6"/>
  <c r="Z10" i="6" s="1"/>
  <c r="V10" i="6"/>
  <c r="P10" i="6"/>
  <c r="M10" i="6"/>
  <c r="H10" i="6"/>
  <c r="P9" i="6"/>
  <c r="L9" i="6"/>
  <c r="H9" i="6"/>
  <c r="P8" i="6"/>
  <c r="L8" i="6"/>
  <c r="H8" i="6"/>
  <c r="Y7" i="6"/>
  <c r="X7" i="6"/>
  <c r="Z7" i="6" s="1"/>
  <c r="P7" i="6"/>
  <c r="M7" i="6"/>
  <c r="H7" i="6"/>
  <c r="W6" i="6"/>
  <c r="Z6" i="6" s="1"/>
  <c r="V6" i="6"/>
  <c r="T6" i="6"/>
  <c r="P6" i="6"/>
  <c r="U6" i="6" s="1"/>
  <c r="H6" i="6"/>
  <c r="P5" i="6"/>
  <c r="K5" i="6"/>
  <c r="H5" i="6"/>
  <c r="Y4" i="6"/>
  <c r="X4" i="6"/>
  <c r="W4" i="6"/>
  <c r="V4" i="6"/>
  <c r="U4" i="6"/>
  <c r="P4" i="6"/>
  <c r="M4" i="6"/>
  <c r="F83" i="5"/>
  <c r="F62" i="5"/>
  <c r="F40" i="5"/>
  <c r="AC17" i="4"/>
  <c r="AC21" i="4" s="1"/>
  <c r="AC22" i="4" s="1"/>
  <c r="N15" i="4"/>
  <c r="M15" i="4"/>
  <c r="K15" i="4"/>
  <c r="J15" i="4"/>
  <c r="G15" i="4"/>
  <c r="AA14" i="4"/>
  <c r="X14" i="4"/>
  <c r="W14" i="4"/>
  <c r="Y14" i="4" s="1"/>
  <c r="Q14" i="4"/>
  <c r="L14" i="4"/>
  <c r="I14" i="4"/>
  <c r="AA13" i="4"/>
  <c r="X13" i="4"/>
  <c r="W13" i="4"/>
  <c r="Y13" i="4" s="1"/>
  <c r="L13" i="4"/>
  <c r="AD13" i="4" s="1"/>
  <c r="I13" i="4"/>
  <c r="L12" i="4"/>
  <c r="H12" i="4"/>
  <c r="AA11" i="4"/>
  <c r="X11" i="4"/>
  <c r="W11" i="4"/>
  <c r="T11" i="4"/>
  <c r="Y11" i="4" s="1"/>
  <c r="S11" i="4"/>
  <c r="R11" i="4"/>
  <c r="L11" i="4"/>
  <c r="AD11" i="4" s="1"/>
  <c r="I11" i="4"/>
  <c r="AA10" i="4"/>
  <c r="X10" i="4"/>
  <c r="W10" i="4"/>
  <c r="Y10" i="4" s="1"/>
  <c r="R10" i="4"/>
  <c r="P10" i="4"/>
  <c r="L10" i="4"/>
  <c r="I10" i="4"/>
  <c r="AA9" i="4"/>
  <c r="X9" i="4"/>
  <c r="W9" i="4"/>
  <c r="V9" i="4"/>
  <c r="T9" i="4"/>
  <c r="Y9" i="4" s="1"/>
  <c r="S9" i="4"/>
  <c r="S15" i="4" s="1"/>
  <c r="P9" i="4"/>
  <c r="L9" i="4"/>
  <c r="AA8" i="4"/>
  <c r="X8" i="4"/>
  <c r="W8" i="4"/>
  <c r="V8" i="4"/>
  <c r="Y8" i="4" s="1"/>
  <c r="R8" i="4"/>
  <c r="P8" i="4"/>
  <c r="L8" i="4"/>
  <c r="I8" i="4"/>
  <c r="L7" i="4"/>
  <c r="H7" i="4"/>
  <c r="Q6" i="4"/>
  <c r="L6" i="4"/>
  <c r="H6" i="4"/>
  <c r="AA5" i="4"/>
  <c r="X5" i="4"/>
  <c r="W5" i="4"/>
  <c r="T5" i="4"/>
  <c r="L5" i="4"/>
  <c r="AC5" i="4" s="1"/>
  <c r="I5" i="4"/>
  <c r="AA4" i="4"/>
  <c r="X4" i="4"/>
  <c r="W4" i="4"/>
  <c r="Q4" i="4"/>
  <c r="P4" i="4"/>
  <c r="O4" i="4"/>
  <c r="L4" i="4"/>
  <c r="I4" i="4"/>
  <c r="I15" i="4" s="1"/>
  <c r="I17" i="4" s="1"/>
  <c r="J71" i="3"/>
  <c r="I70" i="3"/>
  <c r="H70" i="3"/>
  <c r="G70" i="3"/>
  <c r="J69" i="3"/>
  <c r="P68" i="3"/>
  <c r="J62" i="3"/>
  <c r="J61" i="3"/>
  <c r="J60" i="3"/>
  <c r="J59" i="3"/>
  <c r="J58" i="3"/>
  <c r="J57" i="3"/>
  <c r="J56" i="3"/>
  <c r="J55" i="3"/>
  <c r="J54" i="3"/>
  <c r="J63" i="3" s="1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50" i="3" s="1"/>
  <c r="J30" i="3"/>
  <c r="I29" i="3"/>
  <c r="H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AG33" i="2"/>
  <c r="AG37" i="2" s="1"/>
  <c r="AG38" i="2" s="1"/>
  <c r="AB31" i="2"/>
  <c r="AA31" i="2"/>
  <c r="Z31" i="2"/>
  <c r="Y31" i="2"/>
  <c r="R31" i="2"/>
  <c r="Q31" i="2"/>
  <c r="AH30" i="2"/>
  <c r="AE29" i="2"/>
  <c r="P29" i="2"/>
  <c r="M29" i="2"/>
  <c r="H29" i="2"/>
  <c r="AE28" i="2"/>
  <c r="U28" i="2"/>
  <c r="P28" i="2"/>
  <c r="M28" i="2"/>
  <c r="H28" i="2"/>
  <c r="AE27" i="2"/>
  <c r="P27" i="2"/>
  <c r="M27" i="2"/>
  <c r="H27" i="2"/>
  <c r="P26" i="2"/>
  <c r="L26" i="2"/>
  <c r="H26" i="2"/>
  <c r="AE25" i="2"/>
  <c r="P25" i="2"/>
  <c r="M25" i="2"/>
  <c r="H25" i="2"/>
  <c r="N24" i="2"/>
  <c r="P24" i="2" s="1"/>
  <c r="M24" i="2"/>
  <c r="V23" i="2"/>
  <c r="N23" i="2"/>
  <c r="P23" i="2" s="1"/>
  <c r="M23" i="2"/>
  <c r="AE22" i="2"/>
  <c r="V22" i="2"/>
  <c r="T22" i="2"/>
  <c r="P22" i="2"/>
  <c r="M22" i="2"/>
  <c r="P21" i="2"/>
  <c r="M21" i="2"/>
  <c r="K21" i="2"/>
  <c r="K31" i="2" s="1"/>
  <c r="H21" i="2"/>
  <c r="N20" i="2"/>
  <c r="P20" i="2" s="1"/>
  <c r="L20" i="2"/>
  <c r="H20" i="2"/>
  <c r="AE19" i="2"/>
  <c r="X19" i="2"/>
  <c r="W19" i="2"/>
  <c r="W31" i="2" s="1"/>
  <c r="T19" i="2"/>
  <c r="P19" i="2"/>
  <c r="H19" i="2"/>
  <c r="AE18" i="2"/>
  <c r="S18" i="2"/>
  <c r="P18" i="2"/>
  <c r="M18" i="2"/>
  <c r="H18" i="2"/>
  <c r="AE17" i="2"/>
  <c r="V17" i="2"/>
  <c r="T17" i="2"/>
  <c r="P17" i="2"/>
  <c r="M17" i="2"/>
  <c r="H17" i="2"/>
  <c r="P16" i="2"/>
  <c r="L16" i="2"/>
  <c r="H16" i="2"/>
  <c r="U15" i="2"/>
  <c r="P15" i="2"/>
  <c r="L15" i="2"/>
  <c r="H15" i="2"/>
  <c r="AE14" i="2"/>
  <c r="P14" i="2"/>
  <c r="AC14" i="2" s="1"/>
  <c r="M14" i="2"/>
  <c r="H14" i="2"/>
  <c r="AE13" i="2"/>
  <c r="X13" i="2"/>
  <c r="P13" i="2"/>
  <c r="M13" i="2"/>
  <c r="H13" i="2"/>
  <c r="AE12" i="2"/>
  <c r="P12" i="2"/>
  <c r="H12" i="2"/>
  <c r="AE11" i="2"/>
  <c r="P11" i="2"/>
  <c r="AC11" i="2" s="1"/>
  <c r="H11" i="2"/>
  <c r="P10" i="2"/>
  <c r="M10" i="2"/>
  <c r="H10" i="2"/>
  <c r="P9" i="2"/>
  <c r="AC9" i="2" s="1"/>
  <c r="M9" i="2"/>
  <c r="H9" i="2"/>
  <c r="AE8" i="2"/>
  <c r="AC8" i="2"/>
  <c r="P8" i="2"/>
  <c r="AF8" i="2" s="1"/>
  <c r="H8" i="2"/>
  <c r="AE7" i="2"/>
  <c r="X7" i="2"/>
  <c r="V7" i="2"/>
  <c r="N7" i="2"/>
  <c r="P7" i="2" s="1"/>
  <c r="M7" i="2"/>
  <c r="P6" i="2"/>
  <c r="M6" i="2"/>
  <c r="O31" i="2"/>
  <c r="P5" i="2"/>
  <c r="AC5" i="2" s="1"/>
  <c r="P4" i="2"/>
  <c r="M4" i="2"/>
  <c r="M31" i="2" s="1"/>
  <c r="X93" i="1"/>
  <c r="Q93" i="1"/>
  <c r="P93" i="1"/>
  <c r="AG92" i="1"/>
  <c r="AD91" i="1"/>
  <c r="AA91" i="1"/>
  <c r="O91" i="1"/>
  <c r="L91" i="1"/>
  <c r="G91" i="1"/>
  <c r="AD90" i="1"/>
  <c r="AB90" i="1"/>
  <c r="O90" i="1"/>
  <c r="AE90" i="1" s="1"/>
  <c r="L90" i="1"/>
  <c r="G90" i="1"/>
  <c r="AD89" i="1"/>
  <c r="T89" i="1"/>
  <c r="O89" i="1"/>
  <c r="L89" i="1"/>
  <c r="G89" i="1"/>
  <c r="AD88" i="1"/>
  <c r="AA88" i="1"/>
  <c r="V88" i="1"/>
  <c r="U88" i="1"/>
  <c r="T88" i="1"/>
  <c r="S88" i="1"/>
  <c r="O88" i="1"/>
  <c r="L88" i="1"/>
  <c r="G88" i="1"/>
  <c r="AD87" i="1"/>
  <c r="AB87" i="1"/>
  <c r="T87" i="1"/>
  <c r="O87" i="1"/>
  <c r="L87" i="1"/>
  <c r="G87" i="1"/>
  <c r="AD86" i="1"/>
  <c r="O86" i="1"/>
  <c r="AG86" i="1" s="1"/>
  <c r="L86" i="1"/>
  <c r="G86" i="1"/>
  <c r="AB85" i="1"/>
  <c r="O85" i="1"/>
  <c r="G85" i="1"/>
  <c r="AB83" i="1"/>
  <c r="O83" i="1"/>
  <c r="K83" i="1"/>
  <c r="G83" i="1"/>
  <c r="AB82" i="1"/>
  <c r="O82" i="1"/>
  <c r="AG82" i="1" s="1"/>
  <c r="G82" i="1"/>
  <c r="AD81" i="1"/>
  <c r="W81" i="1"/>
  <c r="V81" i="1"/>
  <c r="U81" i="1"/>
  <c r="O81" i="1"/>
  <c r="L81" i="1"/>
  <c r="G81" i="1"/>
  <c r="AD80" i="1"/>
  <c r="O80" i="1"/>
  <c r="AB80" i="1" s="1"/>
  <c r="L80" i="1"/>
  <c r="G80" i="1"/>
  <c r="AD79" i="1"/>
  <c r="AB79" i="1"/>
  <c r="O79" i="1"/>
  <c r="AG79" i="1" s="1"/>
  <c r="L79" i="1"/>
  <c r="G79" i="1"/>
  <c r="AD78" i="1"/>
  <c r="U78" i="1"/>
  <c r="T78" i="1"/>
  <c r="O78" i="1"/>
  <c r="L78" i="1"/>
  <c r="AA77" i="1"/>
  <c r="Z77" i="1"/>
  <c r="AB77" i="1"/>
  <c r="W77" i="1"/>
  <c r="V77" i="1"/>
  <c r="U77" i="1"/>
  <c r="T77" i="1"/>
  <c r="S77" i="1"/>
  <c r="R77" i="1"/>
  <c r="O77" i="1"/>
  <c r="AG77" i="1" s="1"/>
  <c r="L77" i="1"/>
  <c r="AB76" i="1"/>
  <c r="O76" i="1"/>
  <c r="AG76" i="1" s="1"/>
  <c r="L76" i="1"/>
  <c r="AB75" i="1"/>
  <c r="U75" i="1"/>
  <c r="O75" i="1"/>
  <c r="AG75" i="1" s="1"/>
  <c r="L75" i="1"/>
  <c r="O74" i="1"/>
  <c r="L74" i="1"/>
  <c r="AB73" i="1"/>
  <c r="O73" i="1"/>
  <c r="AG73" i="1" s="1"/>
  <c r="AB72" i="1"/>
  <c r="O72" i="1"/>
  <c r="AG72" i="1" s="1"/>
  <c r="U71" i="1"/>
  <c r="O71" i="1"/>
  <c r="J71" i="1"/>
  <c r="AG71" i="1" s="1"/>
  <c r="G71" i="1"/>
  <c r="AD70" i="1"/>
  <c r="U70" i="1"/>
  <c r="T70" i="1"/>
  <c r="O70" i="1"/>
  <c r="L70" i="1"/>
  <c r="AD69" i="1"/>
  <c r="V69" i="1"/>
  <c r="S69" i="1"/>
  <c r="O69" i="1"/>
  <c r="L69" i="1"/>
  <c r="AD68" i="1"/>
  <c r="AB68" i="1"/>
  <c r="U68" i="1"/>
  <c r="S68" i="1"/>
  <c r="O68" i="1"/>
  <c r="L68" i="1"/>
  <c r="AB67" i="1"/>
  <c r="O67" i="1"/>
  <c r="L67" i="1"/>
  <c r="J67" i="1"/>
  <c r="G67" i="1"/>
  <c r="O66" i="1"/>
  <c r="K66" i="1"/>
  <c r="G66" i="1"/>
  <c r="O65" i="1"/>
  <c r="J65" i="1"/>
  <c r="O64" i="1"/>
  <c r="J64" i="1"/>
  <c r="G64" i="1"/>
  <c r="O63" i="1"/>
  <c r="J63" i="1"/>
  <c r="G63" i="1"/>
  <c r="AG62" i="1"/>
  <c r="AB62" i="1"/>
  <c r="G62" i="1"/>
  <c r="AD61" i="1"/>
  <c r="R61" i="1"/>
  <c r="O61" i="1"/>
  <c r="G61" i="1"/>
  <c r="AD60" i="1"/>
  <c r="AB60" i="1"/>
  <c r="U60" i="1"/>
  <c r="S60" i="1"/>
  <c r="O60" i="1"/>
  <c r="L60" i="1"/>
  <c r="G60" i="1"/>
  <c r="AD59" i="1"/>
  <c r="O59" i="1"/>
  <c r="L59" i="1"/>
  <c r="G59" i="1"/>
  <c r="AB58" i="1"/>
  <c r="M58" i="1"/>
  <c r="O58" i="1" s="1"/>
  <c r="K58" i="1"/>
  <c r="G58" i="1"/>
  <c r="O57" i="1"/>
  <c r="J57" i="1"/>
  <c r="G57" i="1"/>
  <c r="AD56" i="1"/>
  <c r="AA56" i="1"/>
  <c r="U56" i="1"/>
  <c r="O56" i="1"/>
  <c r="L56" i="1"/>
  <c r="G56" i="1"/>
  <c r="AD55" i="1"/>
  <c r="AB55" i="1"/>
  <c r="W55" i="1"/>
  <c r="V55" i="1"/>
  <c r="S55" i="1"/>
  <c r="O55" i="1"/>
  <c r="G55" i="1"/>
  <c r="AD54" i="1"/>
  <c r="AB54" i="1"/>
  <c r="R54" i="1"/>
  <c r="O54" i="1"/>
  <c r="L54" i="1"/>
  <c r="G54" i="1"/>
  <c r="AD53" i="1"/>
  <c r="AB53" i="1"/>
  <c r="R53" i="1"/>
  <c r="O53" i="1"/>
  <c r="AG53" i="1" s="1"/>
  <c r="L53" i="1"/>
  <c r="G53" i="1"/>
  <c r="AD52" i="1"/>
  <c r="AB52" i="1"/>
  <c r="U52" i="1"/>
  <c r="R52" i="1"/>
  <c r="O52" i="1"/>
  <c r="L52" i="1"/>
  <c r="G52" i="1"/>
  <c r="AD51" i="1"/>
  <c r="AB51" i="1"/>
  <c r="O51" i="1"/>
  <c r="AE51" i="1" s="1"/>
  <c r="L51" i="1"/>
  <c r="G51" i="1"/>
  <c r="AB50" i="1"/>
  <c r="AF50" i="1" s="1"/>
  <c r="AF95" i="1" s="1"/>
  <c r="AF99" i="1" s="1"/>
  <c r="AF100" i="1" s="1"/>
  <c r="W50" i="1"/>
  <c r="O50" i="1"/>
  <c r="L50" i="1"/>
  <c r="J50" i="1"/>
  <c r="G50" i="1"/>
  <c r="AD49" i="1"/>
  <c r="W49" i="1"/>
  <c r="V49" i="1"/>
  <c r="U49" i="1"/>
  <c r="O49" i="1"/>
  <c r="L49" i="1"/>
  <c r="G49" i="1"/>
  <c r="AB48" i="1"/>
  <c r="O48" i="1"/>
  <c r="G48" i="1"/>
  <c r="AD47" i="1"/>
  <c r="U47" i="1"/>
  <c r="O47" i="1"/>
  <c r="L47" i="1"/>
  <c r="G47" i="1"/>
  <c r="S46" i="1"/>
  <c r="O46" i="1"/>
  <c r="K46" i="1"/>
  <c r="G46" i="1"/>
  <c r="AD45" i="1"/>
  <c r="U45" i="1"/>
  <c r="S45" i="1"/>
  <c r="O45" i="1"/>
  <c r="L45" i="1"/>
  <c r="G45" i="1"/>
  <c r="AD44" i="1"/>
  <c r="S44" i="1"/>
  <c r="O44" i="1"/>
  <c r="L44" i="1"/>
  <c r="G44" i="1"/>
  <c r="AD43" i="1"/>
  <c r="AB43" i="1"/>
  <c r="U43" i="1"/>
  <c r="S43" i="1"/>
  <c r="O43" i="1"/>
  <c r="L43" i="1"/>
  <c r="G43" i="1"/>
  <c r="O42" i="1"/>
  <c r="AB42" i="1" s="1"/>
  <c r="L42" i="1"/>
  <c r="G42" i="1"/>
  <c r="AD41" i="1"/>
  <c r="AB41" i="1"/>
  <c r="S41" i="1"/>
  <c r="O41" i="1"/>
  <c r="L41" i="1"/>
  <c r="G41" i="1"/>
  <c r="O40" i="1"/>
  <c r="AB40" i="1" s="1"/>
  <c r="L40" i="1"/>
  <c r="G40" i="1"/>
  <c r="AD39" i="1"/>
  <c r="AA39" i="1"/>
  <c r="U39" i="1"/>
  <c r="O39" i="1"/>
  <c r="L39" i="1"/>
  <c r="G39" i="1"/>
  <c r="AB38" i="1"/>
  <c r="O38" i="1"/>
  <c r="K38" i="1"/>
  <c r="G38" i="1"/>
  <c r="AB37" i="1"/>
  <c r="T37" i="1"/>
  <c r="O37" i="1"/>
  <c r="K37" i="1"/>
  <c r="G37" i="1"/>
  <c r="O36" i="1"/>
  <c r="K36" i="1"/>
  <c r="G36" i="1"/>
  <c r="AB35" i="1"/>
  <c r="AB34" i="1"/>
  <c r="O34" i="1"/>
  <c r="G34" i="1"/>
  <c r="AD33" i="1"/>
  <c r="W33" i="1"/>
  <c r="S33" i="1"/>
  <c r="R33" i="1"/>
  <c r="O33" i="1"/>
  <c r="L33" i="1"/>
  <c r="G33" i="1"/>
  <c r="AD32" i="1"/>
  <c r="AB32" i="1"/>
  <c r="O32" i="1"/>
  <c r="L32" i="1"/>
  <c r="G32" i="1"/>
  <c r="AD31" i="1"/>
  <c r="S31" i="1"/>
  <c r="O31" i="1"/>
  <c r="AB31" i="1" s="1"/>
  <c r="G31" i="1"/>
  <c r="AD30" i="1"/>
  <c r="O30" i="1"/>
  <c r="L30" i="1"/>
  <c r="G30" i="1"/>
  <c r="AD29" i="1"/>
  <c r="V29" i="1"/>
  <c r="U29" i="1"/>
  <c r="S29" i="1"/>
  <c r="O29" i="1"/>
  <c r="G29" i="1"/>
  <c r="O28" i="1"/>
  <c r="J28" i="1"/>
  <c r="G28" i="1"/>
  <c r="AD27" i="1"/>
  <c r="AB27" i="1"/>
  <c r="W27" i="1"/>
  <c r="O27" i="1"/>
  <c r="AF27" i="1" s="1"/>
  <c r="L27" i="1"/>
  <c r="G27" i="1"/>
  <c r="AD26" i="1"/>
  <c r="AB26" i="1"/>
  <c r="O26" i="1"/>
  <c r="AE26" i="1" s="1"/>
  <c r="G26" i="1"/>
  <c r="AF25" i="1"/>
  <c r="AD25" i="1"/>
  <c r="AB25" i="1"/>
  <c r="R25" i="1"/>
  <c r="O25" i="1"/>
  <c r="AG25" i="1" s="1"/>
  <c r="L25" i="1"/>
  <c r="G25" i="1"/>
  <c r="AD24" i="1"/>
  <c r="S24" i="1"/>
  <c r="O24" i="1"/>
  <c r="L24" i="1"/>
  <c r="G24" i="1"/>
  <c r="AD23" i="1"/>
  <c r="AB23" i="1"/>
  <c r="O23" i="1"/>
  <c r="G23" i="1"/>
  <c r="AB22" i="1"/>
  <c r="O22" i="1"/>
  <c r="L22" i="1"/>
  <c r="G22" i="1"/>
  <c r="AD21" i="1"/>
  <c r="O21" i="1"/>
  <c r="AB21" i="1" s="1"/>
  <c r="L21" i="1"/>
  <c r="G21" i="1"/>
  <c r="AB20" i="1"/>
  <c r="N20" i="1"/>
  <c r="O20" i="1" s="1"/>
  <c r="G20" i="1"/>
  <c r="AB19" i="1"/>
  <c r="O19" i="1"/>
  <c r="L19" i="1"/>
  <c r="G19" i="1"/>
  <c r="AD18" i="1"/>
  <c r="AB18" i="1"/>
  <c r="O18" i="1"/>
  <c r="AE18" i="1" s="1"/>
  <c r="G18" i="1"/>
  <c r="S17" i="1"/>
  <c r="O17" i="1"/>
  <c r="J17" i="1"/>
  <c r="G17" i="1"/>
  <c r="AD16" i="1"/>
  <c r="AB16" i="1"/>
  <c r="O16" i="1"/>
  <c r="AG16" i="1" s="1"/>
  <c r="G16" i="1"/>
  <c r="AB15" i="1"/>
  <c r="O15" i="1"/>
  <c r="K15" i="1"/>
  <c r="AG15" i="1" s="1"/>
  <c r="G15" i="1"/>
  <c r="AB14" i="1"/>
  <c r="O14" i="1"/>
  <c r="L14" i="1"/>
  <c r="K14" i="1"/>
  <c r="AG13" i="1"/>
  <c r="AB13" i="1"/>
  <c r="AD12" i="1"/>
  <c r="T12" i="1"/>
  <c r="S12" i="1"/>
  <c r="R12" i="1"/>
  <c r="O12" i="1"/>
  <c r="L12" i="1"/>
  <c r="G12" i="1"/>
  <c r="AD11" i="1"/>
  <c r="AB11" i="1"/>
  <c r="W11" i="1"/>
  <c r="U11" i="1"/>
  <c r="O11" i="1"/>
  <c r="L11" i="1"/>
  <c r="AB10" i="1"/>
  <c r="O10" i="1"/>
  <c r="AE10" i="1" s="1"/>
  <c r="L10" i="1"/>
  <c r="AD9" i="1"/>
  <c r="U9" i="1"/>
  <c r="O9" i="1"/>
  <c r="L9" i="1"/>
  <c r="N93" i="1"/>
  <c r="L8" i="1"/>
  <c r="AD7" i="1"/>
  <c r="V7" i="1"/>
  <c r="U7" i="1"/>
  <c r="T7" i="1"/>
  <c r="O7" i="1"/>
  <c r="L7" i="1"/>
  <c r="O6" i="1"/>
  <c r="L6" i="1"/>
  <c r="AB5" i="1"/>
  <c r="O5" i="1"/>
  <c r="AD4" i="1"/>
  <c r="AB4" i="1"/>
  <c r="O4" i="1"/>
  <c r="L4" i="1"/>
  <c r="K91" i="16" l="1"/>
  <c r="AB4" i="15"/>
  <c r="AG5" i="15"/>
  <c r="AE5" i="15"/>
  <c r="AA5" i="15"/>
  <c r="M37" i="15"/>
  <c r="O37" i="15"/>
  <c r="AG6" i="15"/>
  <c r="AE6" i="15"/>
  <c r="Z6" i="15"/>
  <c r="AG7" i="15"/>
  <c r="AE7" i="15"/>
  <c r="AA7" i="15"/>
  <c r="AB7" i="15" s="1"/>
  <c r="K37" i="15"/>
  <c r="AG8" i="15"/>
  <c r="AA8" i="15"/>
  <c r="AB8" i="15" s="1"/>
  <c r="J37" i="15"/>
  <c r="AG9" i="15"/>
  <c r="AD9" i="15"/>
  <c r="AA9" i="15"/>
  <c r="Z9" i="15"/>
  <c r="AB9" i="15" s="1"/>
  <c r="AE11" i="15"/>
  <c r="AA11" i="15"/>
  <c r="AB11" i="15" s="1"/>
  <c r="R11" i="15"/>
  <c r="AG12" i="15"/>
  <c r="AA12" i="15"/>
  <c r="AB12" i="15" s="1"/>
  <c r="V12" i="15"/>
  <c r="U12" i="15"/>
  <c r="T12" i="15"/>
  <c r="AG13" i="15"/>
  <c r="AE13" i="15"/>
  <c r="AA13" i="15"/>
  <c r="AB13" i="15" s="1"/>
  <c r="AG14" i="15"/>
  <c r="AE14" i="15"/>
  <c r="Z14" i="15"/>
  <c r="AB14" i="15" s="1"/>
  <c r="AF15" i="15"/>
  <c r="Z15" i="15"/>
  <c r="AB15" i="15" s="1"/>
  <c r="AG16" i="15"/>
  <c r="AF16" i="15"/>
  <c r="AG17" i="15"/>
  <c r="AD17" i="15"/>
  <c r="AA17" i="15"/>
  <c r="Z17" i="15"/>
  <c r="AB17" i="15" s="1"/>
  <c r="U17" i="15"/>
  <c r="R17" i="15"/>
  <c r="L17" i="15"/>
  <c r="AF17" i="15"/>
  <c r="AG18" i="15"/>
  <c r="AE18" i="15"/>
  <c r="AG19" i="15"/>
  <c r="Z19" i="15"/>
  <c r="AG20" i="15"/>
  <c r="AD20" i="15"/>
  <c r="Z20" i="15"/>
  <c r="U20" i="15"/>
  <c r="AG21" i="15"/>
  <c r="AE21" i="15"/>
  <c r="AA21" i="15"/>
  <c r="AB21" i="15" s="1"/>
  <c r="AG22" i="15"/>
  <c r="Z22" i="15"/>
  <c r="AB22" i="15" s="1"/>
  <c r="AD23" i="15"/>
  <c r="AA23" i="15"/>
  <c r="AB23" i="15" s="1"/>
  <c r="AG24" i="15"/>
  <c r="AE24" i="15"/>
  <c r="AA24" i="15"/>
  <c r="AB24" i="15" s="1"/>
  <c r="AG25" i="15"/>
  <c r="AA25" i="15"/>
  <c r="Z25" i="15"/>
  <c r="AB25" i="15" s="1"/>
  <c r="AA26" i="15"/>
  <c r="AB26" i="15" s="1"/>
  <c r="T26" i="15"/>
  <c r="S26" i="15"/>
  <c r="R26" i="15"/>
  <c r="AG27" i="15"/>
  <c r="AD27" i="15"/>
  <c r="AA27" i="15"/>
  <c r="Z27" i="15"/>
  <c r="AB27" i="15" s="1"/>
  <c r="AE27" i="15"/>
  <c r="AE28" i="15"/>
  <c r="AA28" i="15"/>
  <c r="AB28" i="15" s="1"/>
  <c r="R28" i="15"/>
  <c r="AG29" i="15"/>
  <c r="AE29" i="15"/>
  <c r="Z29" i="15"/>
  <c r="AB29" i="15" s="1"/>
  <c r="R29" i="15"/>
  <c r="AD30" i="15"/>
  <c r="AB30" i="15"/>
  <c r="AH4" i="15" s="1"/>
  <c r="AG35" i="15"/>
  <c r="AD35" i="15"/>
  <c r="AA35" i="15"/>
  <c r="Z35" i="15"/>
  <c r="AB35" i="15" s="1"/>
  <c r="L35" i="15"/>
  <c r="AF57" i="1"/>
  <c r="AG4" i="1"/>
  <c r="AE4" i="1"/>
  <c r="AB6" i="1"/>
  <c r="AG7" i="1"/>
  <c r="AE7" i="1"/>
  <c r="M93" i="1"/>
  <c r="O8" i="1"/>
  <c r="AG9" i="1"/>
  <c r="AF9" i="1"/>
  <c r="AE9" i="1"/>
  <c r="AG11" i="1"/>
  <c r="AE11" i="1"/>
  <c r="AG12" i="1"/>
  <c r="AE12" i="1"/>
  <c r="K93" i="1"/>
  <c r="AG14" i="1"/>
  <c r="AD14" i="1"/>
  <c r="R14" i="1"/>
  <c r="AE14" i="1"/>
  <c r="J93" i="1"/>
  <c r="AG17" i="1"/>
  <c r="AD17" i="1"/>
  <c r="AA17" i="1"/>
  <c r="Z17" i="1"/>
  <c r="AB17" i="1" s="1"/>
  <c r="AE24" i="1"/>
  <c r="AB24" i="1"/>
  <c r="R24" i="1"/>
  <c r="AG28" i="1"/>
  <c r="AA28" i="1"/>
  <c r="AB28" i="1" s="1"/>
  <c r="V28" i="1"/>
  <c r="U28" i="1"/>
  <c r="T28" i="1"/>
  <c r="AG29" i="1"/>
  <c r="AE29" i="1"/>
  <c r="AB29" i="1"/>
  <c r="T29" i="1"/>
  <c r="AG30" i="1"/>
  <c r="AB30" i="1"/>
  <c r="AG33" i="1"/>
  <c r="AE33" i="1"/>
  <c r="AB33" i="1"/>
  <c r="AG36" i="1"/>
  <c r="AD36" i="1"/>
  <c r="AB36" i="1"/>
  <c r="V36" i="1"/>
  <c r="T36" i="1"/>
  <c r="L36" i="1"/>
  <c r="AE36" i="1"/>
  <c r="AG37" i="1"/>
  <c r="AD37" i="1"/>
  <c r="W37" i="1"/>
  <c r="AE37" i="1"/>
  <c r="AG38" i="1"/>
  <c r="AD38" i="1"/>
  <c r="U38" i="1"/>
  <c r="T38" i="1"/>
  <c r="S38" i="1"/>
  <c r="AE38" i="1"/>
  <c r="AG39" i="1"/>
  <c r="AE39" i="1"/>
  <c r="AB39" i="1"/>
  <c r="AG41" i="1"/>
  <c r="AE41" i="1"/>
  <c r="R41" i="1"/>
  <c r="AG43" i="1"/>
  <c r="T43" i="1"/>
  <c r="AF44" i="1"/>
  <c r="AB44" i="1"/>
  <c r="AG45" i="1"/>
  <c r="AF45" i="1"/>
  <c r="AB45" i="1"/>
  <c r="AG46" i="1"/>
  <c r="AD46" i="1"/>
  <c r="AA46" i="1"/>
  <c r="AB46" i="1"/>
  <c r="U46" i="1"/>
  <c r="R46" i="1"/>
  <c r="L46" i="1"/>
  <c r="AF46" i="1"/>
  <c r="AG47" i="1"/>
  <c r="AE47" i="1"/>
  <c r="AB47" i="1"/>
  <c r="AG48" i="1"/>
  <c r="AD48" i="1"/>
  <c r="W48" i="1"/>
  <c r="V48" i="1"/>
  <c r="L48" i="1"/>
  <c r="AE48" i="1"/>
  <c r="AG49" i="1"/>
  <c r="AB49" i="1"/>
  <c r="AH5" i="1" s="1"/>
  <c r="AG50" i="1"/>
  <c r="AD50" i="1"/>
  <c r="U50" i="1"/>
  <c r="AG52" i="1"/>
  <c r="AE52" i="1"/>
  <c r="AG55" i="1"/>
  <c r="U55" i="1"/>
  <c r="R55" i="1"/>
  <c r="AG56" i="1"/>
  <c r="AB56" i="1"/>
  <c r="AD57" i="1"/>
  <c r="AB57" i="1"/>
  <c r="AG58" i="1"/>
  <c r="AD58" i="1"/>
  <c r="U58" i="1"/>
  <c r="AE58" i="1"/>
  <c r="AG59" i="1"/>
  <c r="AE59" i="1"/>
  <c r="AB59" i="1"/>
  <c r="U59" i="1"/>
  <c r="R59" i="1"/>
  <c r="AG60" i="1"/>
  <c r="AE60" i="1"/>
  <c r="AG61" i="1"/>
  <c r="AE61" i="1"/>
  <c r="AB61" i="1"/>
  <c r="AG63" i="1"/>
  <c r="AB63" i="1"/>
  <c r="AB64" i="1"/>
  <c r="AB65" i="1"/>
  <c r="T65" i="1"/>
  <c r="S65" i="1"/>
  <c r="R65" i="1"/>
  <c r="AG66" i="1"/>
  <c r="AD66" i="1"/>
  <c r="AA66" i="1"/>
  <c r="AB66" i="1"/>
  <c r="AE66" i="1"/>
  <c r="AG68" i="1"/>
  <c r="AE68" i="1"/>
  <c r="AE69" i="1"/>
  <c r="AB69" i="1"/>
  <c r="R69" i="1"/>
  <c r="AG70" i="1"/>
  <c r="AE70" i="1"/>
  <c r="AB70" i="1"/>
  <c r="R70" i="1"/>
  <c r="AD71" i="1"/>
  <c r="AB71" i="1"/>
  <c r="AH6" i="1" s="1"/>
  <c r="AG74" i="1"/>
  <c r="U74" i="1"/>
  <c r="AE78" i="1"/>
  <c r="AB78" i="1"/>
  <c r="AG81" i="1"/>
  <c r="AB81" i="1"/>
  <c r="AG83" i="1"/>
  <c r="AD83" i="1"/>
  <c r="W83" i="1"/>
  <c r="U83" i="1"/>
  <c r="T83" i="1"/>
  <c r="AG87" i="1"/>
  <c r="AE87" i="1"/>
  <c r="AE88" i="1"/>
  <c r="AB88" i="1"/>
  <c r="R88" i="1"/>
  <c r="AE89" i="1"/>
  <c r="AB89" i="1"/>
  <c r="AG91" i="1"/>
  <c r="AB91" i="1"/>
  <c r="AC4" i="2"/>
  <c r="N31" i="2"/>
  <c r="AF6" i="2"/>
  <c r="AH7" i="2"/>
  <c r="AF7" i="2"/>
  <c r="AC7" i="2"/>
  <c r="AF12" i="2"/>
  <c r="AG13" i="2"/>
  <c r="AG31" i="2" s="1"/>
  <c r="AC13" i="2"/>
  <c r="L31" i="2"/>
  <c r="AH15" i="2"/>
  <c r="AE15" i="2"/>
  <c r="X15" i="2"/>
  <c r="AF15" i="2"/>
  <c r="AC15" i="2"/>
  <c r="AH16" i="2"/>
  <c r="AE16" i="2"/>
  <c r="V16" i="2"/>
  <c r="U16" i="2"/>
  <c r="T16" i="2"/>
  <c r="T31" i="2" s="1"/>
  <c r="AF16" i="2"/>
  <c r="AC16" i="2"/>
  <c r="AH17" i="2"/>
  <c r="AC17" i="2"/>
  <c r="U17" i="2"/>
  <c r="AH18" i="2"/>
  <c r="AC18" i="2"/>
  <c r="AH19" i="2"/>
  <c r="AC19" i="2"/>
  <c r="V19" i="2"/>
  <c r="S19" i="2"/>
  <c r="S31" i="2" s="1"/>
  <c r="AH20" i="2"/>
  <c r="AE20" i="2"/>
  <c r="V20" i="2"/>
  <c r="AF20" i="2"/>
  <c r="AC20" i="2"/>
  <c r="AH22" i="2"/>
  <c r="AF22" i="2"/>
  <c r="AC22" i="2"/>
  <c r="AH23" i="2"/>
  <c r="AH24" i="2"/>
  <c r="AH25" i="2"/>
  <c r="AH26" i="2"/>
  <c r="AE26" i="2"/>
  <c r="X26" i="2"/>
  <c r="V26" i="2"/>
  <c r="U26" i="2"/>
  <c r="AC26" i="2"/>
  <c r="AH27" i="2"/>
  <c r="AC27" i="2"/>
  <c r="AH28" i="2"/>
  <c r="AF28" i="2"/>
  <c r="AC28" i="2"/>
  <c r="AF29" i="2"/>
  <c r="AC29" i="2"/>
  <c r="H31" i="3"/>
  <c r="H50" i="3" s="1"/>
  <c r="I31" i="3"/>
  <c r="I50" i="3" s="1"/>
  <c r="L15" i="4"/>
  <c r="AD4" i="4"/>
  <c r="AB4" i="4"/>
  <c r="AC4" i="4"/>
  <c r="AC15" i="4" s="1"/>
  <c r="Y4" i="4"/>
  <c r="Y5" i="4"/>
  <c r="H15" i="4"/>
  <c r="AD6" i="4"/>
  <c r="AA6" i="4"/>
  <c r="X6" i="4"/>
  <c r="W6" i="4"/>
  <c r="V6" i="4"/>
  <c r="T6" i="4"/>
  <c r="AB6" i="4"/>
  <c r="AD7" i="4"/>
  <c r="AA7" i="4"/>
  <c r="X7" i="4"/>
  <c r="W7" i="4"/>
  <c r="Y7" i="4" s="1"/>
  <c r="R7" i="4"/>
  <c r="Q7" i="4"/>
  <c r="P7" i="4"/>
  <c r="P15" i="4" s="1"/>
  <c r="AB7" i="4"/>
  <c r="AD8" i="4"/>
  <c r="Q8" i="4"/>
  <c r="AD9" i="4"/>
  <c r="R9" i="4"/>
  <c r="O9" i="4"/>
  <c r="O15" i="4" s="1"/>
  <c r="AD10" i="4"/>
  <c r="AB10" i="4"/>
  <c r="AD12" i="4"/>
  <c r="AA12" i="4"/>
  <c r="X12" i="4"/>
  <c r="W12" i="4"/>
  <c r="V12" i="4"/>
  <c r="U12" i="4"/>
  <c r="U15" i="4" s="1"/>
  <c r="T12" i="4"/>
  <c r="Y12" i="4" s="1"/>
  <c r="R12" i="4"/>
  <c r="Q12" i="4"/>
  <c r="AD14" i="4"/>
  <c r="AB14" i="4"/>
  <c r="Z4" i="6"/>
  <c r="K37" i="6"/>
  <c r="X5" i="6"/>
  <c r="W5" i="6"/>
  <c r="V5" i="6"/>
  <c r="U5" i="6"/>
  <c r="L37" i="6"/>
  <c r="Y8" i="6"/>
  <c r="X8" i="6"/>
  <c r="W8" i="6"/>
  <c r="Z8" i="6" s="1"/>
  <c r="U8" i="6"/>
  <c r="M8" i="6"/>
  <c r="Y9" i="6"/>
  <c r="Z9" i="6" s="1"/>
  <c r="V9" i="6"/>
  <c r="U9" i="6"/>
  <c r="T9" i="6"/>
  <c r="Y16" i="6"/>
  <c r="X16" i="6"/>
  <c r="Z16" i="6" s="1"/>
  <c r="V16" i="6"/>
  <c r="S16" i="6"/>
  <c r="M16" i="6"/>
  <c r="N37" i="6"/>
  <c r="P18" i="6"/>
  <c r="P37" i="6" s="1"/>
  <c r="X19" i="6"/>
  <c r="Z19" i="6" s="1"/>
  <c r="V19" i="6"/>
  <c r="Y24" i="6"/>
  <c r="X24" i="6"/>
  <c r="W24" i="6"/>
  <c r="Z24" i="6" s="1"/>
  <c r="T24" i="6"/>
  <c r="S24" i="6"/>
  <c r="Y26" i="6"/>
  <c r="X26" i="6"/>
  <c r="Z26" i="6" s="1"/>
  <c r="V26" i="6"/>
  <c r="V27" i="6"/>
  <c r="S27" i="6"/>
  <c r="Y29" i="6"/>
  <c r="Z29" i="6" s="1"/>
  <c r="U29" i="6"/>
  <c r="T29" i="6"/>
  <c r="S29" i="6"/>
  <c r="Z61" i="6"/>
  <c r="K73" i="6"/>
  <c r="K94" i="6" s="1"/>
  <c r="X62" i="6"/>
  <c r="W62" i="6"/>
  <c r="V62" i="6"/>
  <c r="U62" i="6"/>
  <c r="L73" i="6"/>
  <c r="L94" i="6" s="1"/>
  <c r="Y65" i="6"/>
  <c r="X65" i="6"/>
  <c r="W65" i="6"/>
  <c r="Z65" i="6" s="1"/>
  <c r="U65" i="6"/>
  <c r="M65" i="6"/>
  <c r="P94" i="6"/>
  <c r="Y66" i="6"/>
  <c r="Z66" i="6" s="1"/>
  <c r="V66" i="6"/>
  <c r="U66" i="6"/>
  <c r="T66" i="6"/>
  <c r="Y71" i="6"/>
  <c r="X71" i="6"/>
  <c r="Z71" i="6" s="1"/>
  <c r="V71" i="6"/>
  <c r="S71" i="6"/>
  <c r="M71" i="6"/>
  <c r="Z78" i="6"/>
  <c r="Z79" i="6"/>
  <c r="X80" i="6"/>
  <c r="V80" i="6"/>
  <c r="Y83" i="6"/>
  <c r="X83" i="6"/>
  <c r="W83" i="6"/>
  <c r="T83" i="6"/>
  <c r="S83" i="6"/>
  <c r="Y85" i="6"/>
  <c r="X85" i="6"/>
  <c r="Z85" i="6" s="1"/>
  <c r="V85" i="6"/>
  <c r="V86" i="6"/>
  <c r="S86" i="6"/>
  <c r="AH4" i="9"/>
  <c r="AF4" i="9"/>
  <c r="AC4" i="9"/>
  <c r="AH5" i="9"/>
  <c r="AF5" i="9"/>
  <c r="AC5" i="9"/>
  <c r="K26" i="9"/>
  <c r="AH6" i="9"/>
  <c r="AE6" i="9"/>
  <c r="AB6" i="9"/>
  <c r="AA6" i="9"/>
  <c r="Z6" i="9"/>
  <c r="Y6" i="9"/>
  <c r="X6" i="9"/>
  <c r="W6" i="9"/>
  <c r="V6" i="9"/>
  <c r="U6" i="9"/>
  <c r="AC6" i="9"/>
  <c r="AF7" i="9"/>
  <c r="S7" i="9"/>
  <c r="L26" i="9"/>
  <c r="AH8" i="9"/>
  <c r="AE8" i="9"/>
  <c r="AB8" i="9"/>
  <c r="AA8" i="9"/>
  <c r="Z8" i="9"/>
  <c r="Y8" i="9"/>
  <c r="X8" i="9"/>
  <c r="W8" i="9"/>
  <c r="V8" i="9"/>
  <c r="U8" i="9"/>
  <c r="AC8" i="9" s="1"/>
  <c r="M8" i="9"/>
  <c r="M26" i="9" s="1"/>
  <c r="AF8" i="9"/>
  <c r="AH9" i="9"/>
  <c r="AE9" i="9"/>
  <c r="AB9" i="9"/>
  <c r="AA9" i="9"/>
  <c r="Z9" i="9"/>
  <c r="Y9" i="9"/>
  <c r="X9" i="9"/>
  <c r="W9" i="9"/>
  <c r="V9" i="9"/>
  <c r="AF9" i="9"/>
  <c r="AH10" i="9"/>
  <c r="AE10" i="9"/>
  <c r="AB10" i="9"/>
  <c r="AA10" i="9"/>
  <c r="Z10" i="9"/>
  <c r="Y10" i="9"/>
  <c r="X10" i="9"/>
  <c r="W10" i="9"/>
  <c r="V10" i="9"/>
  <c r="U10" i="9"/>
  <c r="T10" i="9"/>
  <c r="AF10" i="9"/>
  <c r="AH11" i="9"/>
  <c r="AF11" i="9"/>
  <c r="AH12" i="9"/>
  <c r="AF12" i="9"/>
  <c r="S12" i="9"/>
  <c r="N26" i="9"/>
  <c r="P13" i="9"/>
  <c r="AH15" i="9"/>
  <c r="AG15" i="9"/>
  <c r="AG26" i="9" s="1"/>
  <c r="AH16" i="9"/>
  <c r="AF16" i="9"/>
  <c r="AH18" i="9"/>
  <c r="AF18" i="9"/>
  <c r="AH19" i="9"/>
  <c r="AE19" i="9"/>
  <c r="AB19" i="9"/>
  <c r="AA19" i="9"/>
  <c r="Z19" i="9"/>
  <c r="Y19" i="9"/>
  <c r="X19" i="9"/>
  <c r="W19" i="9"/>
  <c r="V19" i="9"/>
  <c r="U19" i="9"/>
  <c r="T19" i="9"/>
  <c r="AC19" i="9" s="1"/>
  <c r="S19" i="9"/>
  <c r="AH24" i="9"/>
  <c r="AE24" i="9"/>
  <c r="AB24" i="9"/>
  <c r="AA24" i="9"/>
  <c r="Z24" i="9"/>
  <c r="Y24" i="9"/>
  <c r="X24" i="9"/>
  <c r="W24" i="9"/>
  <c r="V24" i="9"/>
  <c r="U24" i="9"/>
  <c r="AC24" i="9" s="1"/>
  <c r="AH25" i="9"/>
  <c r="AF25" i="9"/>
  <c r="AH44" i="9"/>
  <c r="AE44" i="9"/>
  <c r="AB44" i="9"/>
  <c r="AA44" i="9"/>
  <c r="Z44" i="9"/>
  <c r="Y44" i="9"/>
  <c r="X44" i="9"/>
  <c r="W44" i="9"/>
  <c r="V44" i="9"/>
  <c r="U44" i="9"/>
  <c r="S44" i="9"/>
  <c r="M44" i="9"/>
  <c r="AG44" i="9"/>
  <c r="AC44" i="9"/>
  <c r="AC46" i="9" s="1"/>
  <c r="K7" i="10"/>
  <c r="L6" i="10"/>
  <c r="L7" i="10" s="1"/>
  <c r="K26" i="11"/>
  <c r="L6" i="11"/>
  <c r="L26" i="11" s="1"/>
  <c r="K35" i="11"/>
  <c r="L29" i="11"/>
  <c r="L35" i="11" s="1"/>
  <c r="T4" i="12"/>
  <c r="Y5" i="12"/>
  <c r="W5" i="12"/>
  <c r="R5" i="12"/>
  <c r="Y6" i="12"/>
  <c r="W6" i="12"/>
  <c r="R6" i="12"/>
  <c r="T6" i="12" s="1"/>
  <c r="L48" i="12"/>
  <c r="Y7" i="12"/>
  <c r="V7" i="12"/>
  <c r="S7" i="12"/>
  <c r="R7" i="12"/>
  <c r="T7" i="12" s="1"/>
  <c r="W7" i="12"/>
  <c r="K48" i="12"/>
  <c r="Y9" i="12"/>
  <c r="S9" i="12"/>
  <c r="T9" i="12" s="1"/>
  <c r="Y10" i="12"/>
  <c r="W10" i="12"/>
  <c r="Y12" i="12"/>
  <c r="W12" i="12"/>
  <c r="R12" i="12"/>
  <c r="T12" i="12" s="1"/>
  <c r="Y13" i="12"/>
  <c r="V13" i="12"/>
  <c r="S13" i="12"/>
  <c r="R13" i="12"/>
  <c r="T13" i="12" s="1"/>
  <c r="W13" i="12"/>
  <c r="Y14" i="12"/>
  <c r="V14" i="12"/>
  <c r="S14" i="12"/>
  <c r="R14" i="12"/>
  <c r="T14" i="12" s="1"/>
  <c r="W14" i="12"/>
  <c r="Y15" i="12"/>
  <c r="W15" i="12"/>
  <c r="R15" i="12"/>
  <c r="T15" i="12" s="1"/>
  <c r="Y16" i="12"/>
  <c r="W16" i="12"/>
  <c r="R16" i="12"/>
  <c r="T16" i="12" s="1"/>
  <c r="Y17" i="12"/>
  <c r="R17" i="12"/>
  <c r="T17" i="12" s="1"/>
  <c r="X18" i="12"/>
  <c r="R18" i="12"/>
  <c r="T18" i="12" s="1"/>
  <c r="Y19" i="12"/>
  <c r="X19" i="12"/>
  <c r="R19" i="12"/>
  <c r="T19" i="12" s="1"/>
  <c r="Y20" i="12"/>
  <c r="V20" i="12"/>
  <c r="S20" i="12"/>
  <c r="R20" i="12"/>
  <c r="T20" i="12" s="1"/>
  <c r="M20" i="12"/>
  <c r="X20" i="12"/>
  <c r="Y21" i="12"/>
  <c r="W21" i="12"/>
  <c r="R21" i="12"/>
  <c r="T21" i="12" s="1"/>
  <c r="Y22" i="12"/>
  <c r="V22" i="12"/>
  <c r="S22" i="12"/>
  <c r="R22" i="12"/>
  <c r="T22" i="12" s="1"/>
  <c r="M22" i="12"/>
  <c r="W22" i="12"/>
  <c r="Y24" i="12"/>
  <c r="V24" i="12"/>
  <c r="S24" i="12"/>
  <c r="T24" i="12" s="1"/>
  <c r="X24" i="12" s="1"/>
  <c r="X50" i="12" s="1"/>
  <c r="X54" i="12" s="1"/>
  <c r="X55" i="12" s="1"/>
  <c r="Y26" i="12"/>
  <c r="W26" i="12"/>
  <c r="R26" i="12"/>
  <c r="T26" i="12" s="1"/>
  <c r="Y28" i="12"/>
  <c r="V28" i="12"/>
  <c r="S28" i="12"/>
  <c r="T28" i="12" s="1"/>
  <c r="V30" i="12"/>
  <c r="S30" i="12"/>
  <c r="R30" i="12"/>
  <c r="T30" i="12" s="1"/>
  <c r="Y31" i="12"/>
  <c r="V31" i="12"/>
  <c r="S31" i="12"/>
  <c r="R31" i="12"/>
  <c r="T31" i="12" s="1"/>
  <c r="W31" i="12"/>
  <c r="Y32" i="12"/>
  <c r="W32" i="12"/>
  <c r="S32" i="12"/>
  <c r="T32" i="12" s="1"/>
  <c r="Y33" i="12"/>
  <c r="W33" i="12"/>
  <c r="S33" i="12"/>
  <c r="T33" i="12" s="1"/>
  <c r="Y34" i="12"/>
  <c r="W34" i="12"/>
  <c r="Y35" i="12"/>
  <c r="V35" i="12"/>
  <c r="S35" i="12"/>
  <c r="R35" i="12"/>
  <c r="T35" i="12" s="1"/>
  <c r="W35" i="12"/>
  <c r="Y36" i="12"/>
  <c r="W36" i="12"/>
  <c r="R36" i="12"/>
  <c r="T36" i="12" s="1"/>
  <c r="W37" i="12"/>
  <c r="R37" i="12"/>
  <c r="T37" i="12" s="1"/>
  <c r="Y38" i="12"/>
  <c r="W38" i="12"/>
  <c r="S38" i="12"/>
  <c r="T38" i="12" s="1"/>
  <c r="Y39" i="12"/>
  <c r="S39" i="12"/>
  <c r="R39" i="12"/>
  <c r="T39" i="12" s="1"/>
  <c r="Y40" i="12"/>
  <c r="R40" i="12"/>
  <c r="T40" i="12" s="1"/>
  <c r="Y41" i="12"/>
  <c r="R41" i="12"/>
  <c r="T41" i="12" s="1"/>
  <c r="Y42" i="12"/>
  <c r="R42" i="12"/>
  <c r="T42" i="12" s="1"/>
  <c r="Y44" i="12"/>
  <c r="V44" i="12"/>
  <c r="S44" i="12"/>
  <c r="R44" i="12"/>
  <c r="T44" i="12" s="1"/>
  <c r="AH1" i="15" l="1"/>
  <c r="AF20" i="15"/>
  <c r="AF39" i="15" s="1"/>
  <c r="AF43" i="15" s="1"/>
  <c r="AF44" i="15" s="1"/>
  <c r="S37" i="15"/>
  <c r="W37" i="15"/>
  <c r="L37" i="15"/>
  <c r="T37" i="15"/>
  <c r="U37" i="15"/>
  <c r="V37" i="15"/>
  <c r="R37" i="15"/>
  <c r="AD37" i="15"/>
  <c r="Z37" i="15"/>
  <c r="AB6" i="15"/>
  <c r="AH2" i="15" s="1"/>
  <c r="AF37" i="15"/>
  <c r="AB5" i="15"/>
  <c r="AB2" i="15" s="1"/>
  <c r="AH5" i="15" s="1"/>
  <c r="AA37" i="15"/>
  <c r="AB1" i="15"/>
  <c r="AB37" i="15"/>
  <c r="AE37" i="15"/>
  <c r="AG37" i="15"/>
  <c r="O93" i="1"/>
  <c r="AB8" i="1"/>
  <c r="M48" i="12"/>
  <c r="S48" i="12"/>
  <c r="V48" i="12"/>
  <c r="T5" i="12"/>
  <c r="R48" i="12"/>
  <c r="W48" i="12"/>
  <c r="Y48" i="12"/>
  <c r="T48" i="12"/>
  <c r="AD49" i="9"/>
  <c r="AD63" i="9" s="1"/>
  <c r="AJ17" i="9"/>
  <c r="AJ21" i="9" s="1"/>
  <c r="AJ23" i="9" s="1"/>
  <c r="AH13" i="9"/>
  <c r="P26" i="9"/>
  <c r="AC10" i="9"/>
  <c r="T26" i="9"/>
  <c r="S26" i="9"/>
  <c r="U26" i="9"/>
  <c r="V26" i="9"/>
  <c r="W26" i="9"/>
  <c r="X26" i="9"/>
  <c r="Y26" i="9"/>
  <c r="Z26" i="9"/>
  <c r="AA26" i="9"/>
  <c r="AB26" i="9"/>
  <c r="AE26" i="9"/>
  <c r="AC26" i="9"/>
  <c r="AC49" i="9" s="1"/>
  <c r="AJ14" i="9"/>
  <c r="AJ15" i="9" s="1"/>
  <c r="AJ13" i="9"/>
  <c r="AJ19" i="9" s="1"/>
  <c r="AF26" i="9"/>
  <c r="AH26" i="9"/>
  <c r="Z83" i="6"/>
  <c r="W94" i="6"/>
  <c r="Y94" i="6"/>
  <c r="Z80" i="6"/>
  <c r="X94" i="6"/>
  <c r="Z94" i="6"/>
  <c r="S73" i="6"/>
  <c r="S94" i="6" s="1"/>
  <c r="T73" i="6"/>
  <c r="T94" i="6" s="1"/>
  <c r="M73" i="6"/>
  <c r="M94" i="6" s="1"/>
  <c r="Y73" i="6"/>
  <c r="U73" i="6"/>
  <c r="U94" i="6" s="1"/>
  <c r="V73" i="6"/>
  <c r="V94" i="6" s="1"/>
  <c r="Z62" i="6"/>
  <c r="W73" i="6"/>
  <c r="X73" i="6"/>
  <c r="Z73" i="6"/>
  <c r="Z97" i="6" s="1"/>
  <c r="S37" i="6"/>
  <c r="T37" i="6"/>
  <c r="M37" i="6"/>
  <c r="Y37" i="6"/>
  <c r="U37" i="6"/>
  <c r="V37" i="6"/>
  <c r="Z5" i="6"/>
  <c r="W37" i="6"/>
  <c r="X37" i="6"/>
  <c r="Z37" i="6"/>
  <c r="Z58" i="6" s="1"/>
  <c r="Q15" i="4"/>
  <c r="R15" i="4"/>
  <c r="Y6" i="4"/>
  <c r="T15" i="4"/>
  <c r="V15" i="4"/>
  <c r="W15" i="4"/>
  <c r="X15" i="4"/>
  <c r="AA15" i="4"/>
  <c r="Y15" i="4"/>
  <c r="AB15" i="4"/>
  <c r="AD15" i="4"/>
  <c r="I63" i="3"/>
  <c r="I72" i="3" s="1"/>
  <c r="H63" i="3"/>
  <c r="H72" i="3" s="1"/>
  <c r="U31" i="2"/>
  <c r="V31" i="2"/>
  <c r="X31" i="2"/>
  <c r="AE31" i="2"/>
  <c r="AH31" i="2"/>
  <c r="AF31" i="2"/>
  <c r="P31" i="2"/>
  <c r="AC31" i="2"/>
  <c r="G29" i="3"/>
  <c r="AB74" i="1"/>
  <c r="AH3" i="1" s="1"/>
  <c r="AH1" i="1"/>
  <c r="S93" i="1"/>
  <c r="W93" i="1"/>
  <c r="L93" i="1"/>
  <c r="T93" i="1"/>
  <c r="U93" i="1"/>
  <c r="V93" i="1"/>
  <c r="R93" i="1"/>
  <c r="AD93" i="1"/>
  <c r="Y93" i="1"/>
  <c r="AF12" i="1"/>
  <c r="AF93" i="1" s="1"/>
  <c r="AB12" i="1"/>
  <c r="AH2" i="1" s="1"/>
  <c r="AB9" i="1"/>
  <c r="AA93" i="1"/>
  <c r="AB7" i="1"/>
  <c r="AB2" i="1" s="1"/>
  <c r="AE93" i="1"/>
  <c r="AG93" i="1"/>
  <c r="Z93" i="1" l="1"/>
  <c r="AH4" i="1"/>
  <c r="AH7" i="1" s="1"/>
  <c r="AB1" i="1"/>
  <c r="AB93" i="1"/>
  <c r="G31" i="3"/>
  <c r="G50" i="3" s="1"/>
  <c r="J29" i="3"/>
  <c r="J70" i="3" l="1"/>
  <c r="J72" i="3" s="1"/>
  <c r="J76" i="3" s="1"/>
  <c r="J31" i="3"/>
  <c r="G63" i="3"/>
  <c r="G72" i="3" s="1"/>
  <c r="L91" i="16"/>
  <c r="J91" i="16"/>
  <c r="J15" i="16"/>
  <c r="L15" i="16"/>
  <c r="L26" i="16"/>
  <c r="J26" i="16"/>
  <c r="J65" i="16"/>
  <c r="L65" i="16"/>
  <c r="L62" i="16"/>
  <c r="J62" i="16"/>
  <c r="J63" i="16"/>
  <c r="L63" i="16"/>
  <c r="L55" i="16"/>
  <c r="J55" i="16"/>
  <c r="L69" i="16"/>
  <c r="J69" i="16"/>
  <c r="J61" i="16"/>
  <c r="L61" i="16"/>
  <c r="L48" i="16"/>
  <c r="J4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4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34" authorId="0" shapeId="0" xr:uid="{00000000-0006-0000-0500-000001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  <comment ref="M92" authorId="0" shapeId="0" xr:uid="{00000000-0006-0000-0500-000002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1" authorId="0" shapeId="0" xr:uid="{00000000-0006-0000-0800-000001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0" authorId="0" shapeId="0" xr:uid="{00000000-0006-0000-0B00-000001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2" authorId="0" shapeId="0" xr:uid="{869E33B6-5385-4B4A-BF93-754BA1A71DFF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sharedStrings.xml><?xml version="1.0" encoding="utf-8"?>
<sst xmlns="http://schemas.openxmlformats.org/spreadsheetml/2006/main" count="3536" uniqueCount="570">
  <si>
    <t>Acompanhamento de Contratos*</t>
  </si>
  <si>
    <t>continuados</t>
  </si>
  <si>
    <t>spi</t>
  </si>
  <si>
    <t>ver observação</t>
  </si>
  <si>
    <t>Data de Atualização: 10/11/2025</t>
  </si>
  <si>
    <t>por demanda</t>
  </si>
  <si>
    <t>NÃO ANULAR</t>
  </si>
  <si>
    <t>Descrição das despesas</t>
  </si>
  <si>
    <t>UGR</t>
  </si>
  <si>
    <t>PI 2025</t>
  </si>
  <si>
    <t>CNPJ</t>
  </si>
  <si>
    <t>Processo</t>
  </si>
  <si>
    <t>Vigência</t>
  </si>
  <si>
    <t>Status do Contrato</t>
  </si>
  <si>
    <t>Situação da prorrogação</t>
  </si>
  <si>
    <t>nº  Contrato</t>
  </si>
  <si>
    <t>Valor Contrato Média mensal</t>
  </si>
  <si>
    <t xml:space="preserve">Valor Cont Continuado Mensal </t>
  </si>
  <si>
    <t>Total estimado Anual</t>
  </si>
  <si>
    <t>Saldo Empenhos 2025</t>
  </si>
  <si>
    <t>Saldo
de Empenhos RAP</t>
  </si>
  <si>
    <t>Total RAP + Empenho</t>
  </si>
  <si>
    <t>Total necessário</t>
  </si>
  <si>
    <t>Causas Judiciais</t>
  </si>
  <si>
    <t>OUT-NOV (2024)</t>
  </si>
  <si>
    <t xml:space="preserve">Saldo passivel de Anulação </t>
  </si>
  <si>
    <t>Necessidade de Empenho até Novembro</t>
  </si>
  <si>
    <t>Necessidade Janeiro</t>
  </si>
  <si>
    <t>- Estagiários UnB (novo PI - estagiários)</t>
  </si>
  <si>
    <t>DGP/ folha</t>
  </si>
  <si>
    <t>VGM01N01N2N</t>
  </si>
  <si>
    <t>Energia e água</t>
  </si>
  <si>
    <t>Estagiários - auxílio transporte</t>
  </si>
  <si>
    <t>VGM01N01N7N</t>
  </si>
  <si>
    <t>Contratos MPE e Poli</t>
  </si>
  <si>
    <t>Pasep - HUB</t>
  </si>
  <si>
    <t>HUB</t>
  </si>
  <si>
    <t>VGM01N01N1N</t>
  </si>
  <si>
    <t>RU</t>
  </si>
  <si>
    <t>Pasep - UnB</t>
  </si>
  <si>
    <r>
      <rPr>
        <sz val="11"/>
        <color rgb="FF000000"/>
        <rFont val="Arial"/>
        <family val="2"/>
        <charset val="1"/>
      </rPr>
      <t xml:space="preserve">'- Serviços de Energia Elétrica (PRC) </t>
    </r>
    <r>
      <rPr>
        <sz val="11"/>
        <color rgb="FFC9211E"/>
        <rFont val="Arial"/>
        <family val="2"/>
        <charset val="1"/>
      </rPr>
      <t>– já com CI</t>
    </r>
  </si>
  <si>
    <t>VGM01N01I2N</t>
  </si>
  <si>
    <t>075522669/000192</t>
  </si>
  <si>
    <t xml:space="preserve">- Serviços de Água e Esgoto (PRC) </t>
  </si>
  <si>
    <t>INFRA</t>
  </si>
  <si>
    <t>VGM01N01I3N</t>
  </si>
  <si>
    <t xml:space="preserve"> SANEAGO - Água e esgoto UnB Cerrado (corrigir a média)</t>
  </si>
  <si>
    <t>UnB Cerrado</t>
  </si>
  <si>
    <t>01616929000102</t>
  </si>
  <si>
    <t>Energia Elétrica UnB Cerrado - CONTRATO CCER - ENEL N. 36/2020 e CELG DISTRIBUIÇÃO S.A - CELG D,  Equatorial Goiás Distribuidora de Energia S/A</t>
  </si>
  <si>
    <t>23106.044802/2020-09 23106.083937/2023-24</t>
  </si>
  <si>
    <t>36/2020</t>
  </si>
  <si>
    <t>OI SA recuperação judicial</t>
  </si>
  <si>
    <t>STI</t>
  </si>
  <si>
    <t>VGM01N01I4N</t>
  </si>
  <si>
    <t>76535764000143</t>
  </si>
  <si>
    <t>23106.012727/2018-94</t>
  </si>
  <si>
    <t>515/2021</t>
  </si>
  <si>
    <r>
      <rPr>
        <sz val="11"/>
        <color rgb="FF000000"/>
        <rFont val="Arial"/>
        <family val="2"/>
        <charset val="1"/>
      </rPr>
      <t xml:space="preserve">Novo contrato (serviço de manutenção preventiva programada e corretiva da </t>
    </r>
    <r>
      <rPr>
        <sz val="11"/>
        <color rgb="FFFF0000"/>
        <rFont val="Arial"/>
        <family val="2"/>
        <charset val="1"/>
      </rPr>
      <t>sala cofre</t>
    </r>
    <r>
      <rPr>
        <sz val="11"/>
        <color rgb="FF000000"/>
        <rFont val="Arial"/>
        <family val="2"/>
        <charset val="1"/>
      </rPr>
      <t xml:space="preserve"> instalada na STI/UnB)</t>
    </r>
  </si>
  <si>
    <t>VGM01N01A2N</t>
  </si>
  <si>
    <t>23106.020472/2024-81</t>
  </si>
  <si>
    <t>Ultimo despacho DPO informa certificação orçamentária apenas, a licitação está correndo em outro SEI.</t>
  </si>
  <si>
    <t>- Central IT  - Suporte TI (Serviços de Manutenção dos Computadores da UnB)</t>
  </si>
  <si>
    <t>VGM01N01A3N</t>
  </si>
  <si>
    <t>07171299000196</t>
  </si>
  <si>
    <t>23106.007549/2018-80</t>
  </si>
  <si>
    <t>507/2019</t>
  </si>
  <si>
    <t>QUALIFICAR - Suporte TI (Serviços de Manutenção dos Computadores da UnB)</t>
  </si>
  <si>
    <t>04.752.792/0001-01</t>
  </si>
  <si>
    <t>23106.016945/2023-65</t>
  </si>
  <si>
    <t>512/2025</t>
  </si>
  <si>
    <t xml:space="preserve">- Rede Gigacandanga - Convênio FUB/ RNT </t>
  </si>
  <si>
    <t>VGM01N01K8N</t>
  </si>
  <si>
    <t>23106.032698/2019-68
23106.108762/2019-99
23106.027099/2024-90</t>
  </si>
  <si>
    <t>-SIG SOFTWARE &amp; CONSULTORIA EM TECNOLOGIA DA I (Serviço de apoio especializado nas atividades necessárias ao suporte negocial, customização e sustentação do Sistemas Institucionais Integrados de Gestão (SIG))</t>
  </si>
  <si>
    <t>VGM01N01Q4N</t>
  </si>
  <si>
    <t xml:space="preserve">13.406.686/0001-67 </t>
  </si>
  <si>
    <t>23106.125254/2022-71</t>
  </si>
  <si>
    <t>505/2024</t>
  </si>
  <si>
    <t>ainda sem histórico de liquidação</t>
  </si>
  <si>
    <t>Inframérica - Agenciamento de Carga Internacional (conforme demanda)</t>
  </si>
  <si>
    <t>Contratos DCO</t>
  </si>
  <si>
    <t>VGM01N01L3N</t>
  </si>
  <si>
    <t>15559082000186</t>
  </si>
  <si>
    <t>23106.011.137/2014-11
23106.086385/2019-20</t>
  </si>
  <si>
    <t>026/2020</t>
  </si>
  <si>
    <t>Inframérica - prestação de serviços de armazenagem e capatazia de cargas importadas (conforme demanda)</t>
  </si>
  <si>
    <t xml:space="preserve"> 15.559.082/0001-86</t>
  </si>
  <si>
    <t>23106.010064/2025-01</t>
  </si>
  <si>
    <t>1203/2025</t>
  </si>
  <si>
    <r>
      <rPr>
        <sz val="11"/>
        <color rgb="FF000000"/>
        <rFont val="Arial"/>
        <family val="2"/>
        <charset val="1"/>
      </rPr>
      <t xml:space="preserve">Agenciamento de Transportes de Cargas Internacionais WeghLogística (Aéreos e Marítimos)   (conforme demanda) </t>
    </r>
    <r>
      <rPr>
        <b/>
        <sz val="11"/>
        <color rgb="FFFF0000"/>
        <rFont val="Arial"/>
        <family val="2"/>
        <charset val="1"/>
      </rPr>
      <t>não será prorrogado, licitação em andamento</t>
    </r>
  </si>
  <si>
    <t>Contratos DCO/ DIMEX</t>
  </si>
  <si>
    <t>65494742000166</t>
  </si>
  <si>
    <t>23106.099324/2016-80</t>
  </si>
  <si>
    <t>081/2017</t>
  </si>
  <si>
    <t>WEGH Assessoria e Logística Internacional Ltda, Agenciamento de Transportes de Cargas Internacionais WeghLogística</t>
  </si>
  <si>
    <t>23106.019323/2023-99
23106.087339/2024-13 (importação/ressarcimento)</t>
  </si>
  <si>
    <t>142/2023</t>
  </si>
  <si>
    <t>NK LOGISTICA E TRANSPORTES LTDA (serviços de transporte de cargas por via aérea)</t>
  </si>
  <si>
    <t>VGM01N01P2N</t>
  </si>
  <si>
    <t>32270711000172</t>
  </si>
  <si>
    <t>23106.068904/2022-73</t>
  </si>
  <si>
    <t>em renovação</t>
  </si>
  <si>
    <t>130/2022</t>
  </si>
  <si>
    <t>- Seguro de aluno/ estagiário (MBM Seguradora S.A)</t>
  </si>
  <si>
    <t>87883807000106</t>
  </si>
  <si>
    <t>23106.085902/2019-43</t>
  </si>
  <si>
    <t>024/2020</t>
  </si>
  <si>
    <t>BELFORT GERENCIAMENTO DE RESIDUOS LTDA - empresa especializada nos serviços continuados de coleta, transporte, tratamento e disposição final de resíduos de serviços de saúde (RSS)</t>
  </si>
  <si>
    <t>Contratos DCA</t>
  </si>
  <si>
    <t>VGM01N01E4N</t>
  </si>
  <si>
    <t>10865146000153</t>
  </si>
  <si>
    <t>23106.065223/2022-53</t>
  </si>
  <si>
    <t>1204/2023</t>
  </si>
  <si>
    <t>- NORESA NOVO RIO ENERGIA E SERVICOS AMBIENTAIS (empresa especializada na prestação de serviços de coleta, transporte, triagem e destinação final de
resíduos sólidos orgânicos)</t>
  </si>
  <si>
    <t>PRC</t>
  </si>
  <si>
    <t>23106.076421/2022-42</t>
  </si>
  <si>
    <t>DCA 12646146 Não será prorrogado, veirificar se há novo processo</t>
  </si>
  <si>
    <t>1213/2023</t>
  </si>
  <si>
    <t>PRIME EXTINTORES EIRELI – ME – recarga de extintores</t>
  </si>
  <si>
    <t>VGM01N01I6N</t>
  </si>
  <si>
    <t>09.098.197/0001-18</t>
  </si>
  <si>
    <t>23106.101317/2023-84</t>
  </si>
  <si>
    <t>618/2024</t>
  </si>
  <si>
    <t>- Fornecimento de combustível
(Novo fornecer para 2019 - Ticket soluções HDFGT S/A) (NÃO DEVE SER ANULADO)</t>
  </si>
  <si>
    <t>VGM01N01I5N</t>
  </si>
  <si>
    <t>23106.116807/2021-13</t>
  </si>
  <si>
    <t>1222/2022</t>
  </si>
  <si>
    <t xml:space="preserve">CRUZEIRO CONTROLE DE PRAGAS E DESENTUPIMENTO </t>
  </si>
  <si>
    <t>VGM01N01D3N</t>
  </si>
  <si>
    <t xml:space="preserve"> 22.575.793/0001-00</t>
  </si>
  <si>
    <t>23106.058637/2021-45</t>
  </si>
  <si>
    <t>Em fase de prorrogação</t>
  </si>
  <si>
    <t>1222/2024</t>
  </si>
  <si>
    <t>VILELA SERVIÇO DE PAISAGISMO, PARQUES E JARDINS LTDA (jardinagem)</t>
  </si>
  <si>
    <t>VGM01N01A5N</t>
  </si>
  <si>
    <t>32.751.565/0001-05</t>
  </si>
  <si>
    <t>23106.028705/2019-27</t>
  </si>
  <si>
    <t>1217/2023</t>
  </si>
  <si>
    <t>- TRANSMONICI TRANSPORTE E TURISMO  (ônibus rodoviário executivo)</t>
  </si>
  <si>
    <t>VGM01N01K1N</t>
  </si>
  <si>
    <t>09169349000126</t>
  </si>
  <si>
    <t>23106.000890/2021-18</t>
  </si>
  <si>
    <t>604/2022</t>
  </si>
  <si>
    <t>Tafa Engenharia (serviços continuados de manutenção preventiva e corretiva de equipamentos e sistemas de ar condicionado, com fornecimento de peças e materiais)</t>
  </si>
  <si>
    <t>VGM01N01F1N</t>
  </si>
  <si>
    <t>23106.056117/2023-60</t>
  </si>
  <si>
    <t>616/2024</t>
  </si>
  <si>
    <t>- Taxigov (demanda) - VIP service</t>
  </si>
  <si>
    <t>VGM01N01A4N</t>
  </si>
  <si>
    <t>02605452000122</t>
  </si>
  <si>
    <t>23106.010532/2020-24</t>
  </si>
  <si>
    <t>036/2020</t>
  </si>
  <si>
    <t xml:space="preserve">3P HGM solução visual (serviços de comunicação visual) </t>
  </si>
  <si>
    <t>VGM01N01O7N</t>
  </si>
  <si>
    <t>34.998.513/0001-55</t>
  </si>
  <si>
    <t>23106.089249/2019-91</t>
  </si>
  <si>
    <t>1217/2022</t>
  </si>
  <si>
    <t>NP TECNOLOGIA E GESTAO DE DADOS LTDA - ferramenta de pesquisa e comparação de preços praticados pela Administração Pública</t>
  </si>
  <si>
    <t>VGM01N01P6N</t>
  </si>
  <si>
    <t xml:space="preserve">07.797.967/0001-95 </t>
  </si>
  <si>
    <t>23106.108257/2021-69</t>
  </si>
  <si>
    <t>contrato anual</t>
  </si>
  <si>
    <t>605/2022</t>
  </si>
  <si>
    <t>contratação de empresa especializada na prestação de serviços continuados, sem dedicação exclusiva de mão de obra, para realização de serviços de acondicionamento, coleta, transporte, tratamento e disposição final de resíduos químicos perigosos</t>
  </si>
  <si>
    <t>VGM01N01B8</t>
  </si>
  <si>
    <t>23106.043884/2024-90</t>
  </si>
  <si>
    <r>
      <rPr>
        <sz val="11"/>
        <color rgb="FF000000"/>
        <rFont val="Arial"/>
        <family val="2"/>
        <charset val="1"/>
      </rPr>
      <t>ARTES GRÁFICA COMÉRCIO E REPRESENTAÇÕES EIRELI (serviços continuados de Designer Gráfico)</t>
    </r>
    <r>
      <rPr>
        <sz val="11"/>
        <color rgb="FFFF0000"/>
        <rFont val="Arial"/>
        <family val="2"/>
        <charset val="1"/>
      </rPr>
      <t xml:space="preserve"> - foi solicitada prorrogação por 20 meses</t>
    </r>
  </si>
  <si>
    <t>VGM01N01P4N</t>
  </si>
  <si>
    <t>05606994000108</t>
  </si>
  <si>
    <t>23106.148085/2022-47</t>
  </si>
  <si>
    <t>147/2022</t>
  </si>
  <si>
    <r>
      <rPr>
        <sz val="11"/>
        <color rgb="FF000000"/>
        <rFont val="Arial"/>
        <family val="2"/>
        <charset val="1"/>
      </rPr>
      <t xml:space="preserve">ELYON BRASIL - </t>
    </r>
    <r>
      <rPr>
        <b/>
        <sz val="11"/>
        <color rgb="FF000000"/>
        <rFont val="Arial"/>
        <family val="2"/>
        <charset val="1"/>
      </rPr>
      <t>ESPLANADA</t>
    </r>
    <r>
      <rPr>
        <sz val="11"/>
        <color rgb="FF000000"/>
        <rFont val="Arial"/>
        <family val="2"/>
        <charset val="1"/>
      </rPr>
      <t xml:space="preserve"> SERVICOS TERCEIRIZADOS EIRELI - serviços continuados de pessoal - coletores de resíduos de serviços de saúde</t>
    </r>
  </si>
  <si>
    <t>01099686000182</t>
  </si>
  <si>
    <t xml:space="preserve">23106.031888/2020-00 </t>
  </si>
  <si>
    <t>111/2020</t>
  </si>
  <si>
    <t xml:space="preserve">- ALFA E OMEGA Apoio Técnico EDU </t>
  </si>
  <si>
    <t>VGM01N01D5N</t>
  </si>
  <si>
    <t>16650774000106</t>
  </si>
  <si>
    <t>23106.011967/2019-52</t>
  </si>
  <si>
    <t>022/2021</t>
  </si>
  <si>
    <t xml:space="preserve">RCS Tecnologia LTDA - copeiragem </t>
  </si>
  <si>
    <t>VGM01N01O2N</t>
  </si>
  <si>
    <t>23106.125355/2019-46
23106.035022/2021-41</t>
  </si>
  <si>
    <t>Não será renovado</t>
  </si>
  <si>
    <t>07/2021</t>
  </si>
  <si>
    <t>OBJETIVA SERVIÇOS TERCEIRIZADOS LTDA - copeiragem</t>
  </si>
  <si>
    <t>10.874.523/0001-10</t>
  </si>
  <si>
    <t>23106.030343/2024-00 23106.093628/2025-24</t>
  </si>
  <si>
    <t>24/2025</t>
  </si>
  <si>
    <t>T&amp;S Engenharia Telemática e Sistemas LTDA - contínuo</t>
  </si>
  <si>
    <t>VGM01N01B7N</t>
  </si>
  <si>
    <t>00712411000100</t>
  </si>
  <si>
    <t xml:space="preserve">23106.034924/2021-60 </t>
  </si>
  <si>
    <t>006/2021</t>
  </si>
  <si>
    <t>OBJETIVA SERVIÇOS TERCEIRIZADOS LTDA - contínuo</t>
  </si>
  <si>
    <t>23106.030343/2024-00 23106.093627/2025-80</t>
  </si>
  <si>
    <t>23/2025</t>
  </si>
  <si>
    <t>Phoenix Comércio e Serviços de Limpeza LTDA - Almoxarifado e de transporte interno de móveis e materiais</t>
  </si>
  <si>
    <t>VGM01N01F7N</t>
  </si>
  <si>
    <t xml:space="preserve">12978051000171
</t>
  </si>
  <si>
    <t>23106.001099/2022-06</t>
  </si>
  <si>
    <t>111/2022</t>
  </si>
  <si>
    <t xml:space="preserve">- RCA (Limpeza e Conservação) </t>
  </si>
  <si>
    <t>VGM01N01A7N</t>
  </si>
  <si>
    <t xml:space="preserve"> 69.207.850/0001-61</t>
  </si>
  <si>
    <t>23106.057738/2021-07</t>
  </si>
  <si>
    <t>02/2022</t>
  </si>
  <si>
    <t xml:space="preserve">Life Defense (Segurança) </t>
  </si>
  <si>
    <t>VGM01N01A8N</t>
  </si>
  <si>
    <t>02674687000176</t>
  </si>
  <si>
    <r>
      <rPr>
        <sz val="11"/>
        <color rgb="FF000000"/>
        <rFont val="Arial"/>
        <family val="2"/>
        <charset val="1"/>
      </rPr>
      <t xml:space="preserve">23106.016977/2013-99
</t>
    </r>
    <r>
      <rPr>
        <sz val="11"/>
        <color rgb="FF00A933"/>
        <rFont val="Arial"/>
        <family val="2"/>
        <charset val="1"/>
      </rPr>
      <t xml:space="preserve">23106.083943/2018-14
</t>
    </r>
    <r>
      <rPr>
        <sz val="11"/>
        <color rgb="FF000000"/>
        <rFont val="Arial"/>
        <family val="2"/>
        <charset val="1"/>
      </rPr>
      <t>23106.047642/2024-75</t>
    </r>
  </si>
  <si>
    <t>011/2020</t>
  </si>
  <si>
    <t xml:space="preserve">G&amp;E SERVICOS TERCEIRIZADOS LTDA (PORTARIA) </t>
  </si>
  <si>
    <t>VGM01N01A9N</t>
  </si>
  <si>
    <t>08744139000151</t>
  </si>
  <si>
    <t>23106.085840/2022-75
23106.005560/2022-91
23106.046596/2024-97</t>
  </si>
  <si>
    <t>081/2022</t>
  </si>
  <si>
    <r>
      <rPr>
        <sz val="11"/>
        <color rgb="FF000000"/>
        <rFont val="Arial"/>
        <family val="2"/>
        <charset val="1"/>
      </rPr>
      <t>G&amp;E SERVICOS TERCEIRIZADOS LTDA - serviços continuados de</t>
    </r>
    <r>
      <rPr>
        <b/>
        <sz val="11"/>
        <color rgb="FF000000"/>
        <rFont val="Arial"/>
        <family val="2"/>
        <charset val="1"/>
      </rPr>
      <t xml:space="preserve"> motorista</t>
    </r>
  </si>
  <si>
    <t>VGM01N01P5N</t>
  </si>
  <si>
    <t>23106.038810/2022-70</t>
  </si>
  <si>
    <t>001/2023</t>
  </si>
  <si>
    <t xml:space="preserve">GRIFFO (recepcionista) </t>
  </si>
  <si>
    <t>VGM01N01B3N</t>
  </si>
  <si>
    <t>26426650000197</t>
  </si>
  <si>
    <t>23106.127519/2018-99; 23106.069857/2019-80 23106.070409/2023-13</t>
  </si>
  <si>
    <t>071/2024</t>
  </si>
  <si>
    <r>
      <rPr>
        <sz val="11"/>
        <color rgb="FF000000"/>
        <rFont val="Arial"/>
        <charset val="1"/>
      </rPr>
      <t xml:space="preserve">MPE ENGENHARIA E SERVICOS S/A (serviços comuns de engenharia, incluindo manutenção, conservação, adaptação, reparação e instalação de infraestruturas prediais e imobiliárias) - </t>
    </r>
    <r>
      <rPr>
        <sz val="11"/>
        <color rgb="FFC9211E"/>
        <rFont val="Arial"/>
        <charset val="1"/>
      </rPr>
      <t>(exceto DAC)</t>
    </r>
  </si>
  <si>
    <t>VGM01N01H3N</t>
  </si>
  <si>
    <t>04743858000105</t>
  </si>
  <si>
    <t>23106.149436/2022-37</t>
  </si>
  <si>
    <t>1201/2023</t>
  </si>
  <si>
    <t xml:space="preserve">MPE - Adequação e impermeabilização </t>
  </si>
  <si>
    <t>VGA02N43E3N</t>
  </si>
  <si>
    <t>23106.149228/2022-38</t>
  </si>
  <si>
    <t>em fase de renovação</t>
  </si>
  <si>
    <t>1110/2024</t>
  </si>
  <si>
    <t>POLI ENGENHARIA LTDA (serviços comuns de engenharia, incluindo manutenção, conservação, adaptação, reparação e instalação de infraestruturas prediais e imobiliárias)</t>
  </si>
  <si>
    <t>00700518000138</t>
  </si>
  <si>
    <t>23106.117479/2022-53</t>
  </si>
  <si>
    <t>1226/2022</t>
  </si>
  <si>
    <t xml:space="preserve">Ágil (Serviços Agropecuários) </t>
  </si>
  <si>
    <t>VGM01N01C5N</t>
  </si>
  <si>
    <t>72620735000129</t>
  </si>
  <si>
    <t>23106.076196/2018-68
23106.030688/2022-93</t>
  </si>
  <si>
    <t>25/2020</t>
  </si>
  <si>
    <t>RB GRÁFICA DIGITAL LTDA</t>
  </si>
  <si>
    <t>VGM01N01Q1N</t>
  </si>
  <si>
    <t>16.951.665/0001-10</t>
  </si>
  <si>
    <t>23106.041918/2022-40</t>
  </si>
  <si>
    <t>104/2023</t>
  </si>
  <si>
    <t>ARTECOR GRÁFICO E EDITORA LTDA</t>
  </si>
  <si>
    <t>38.013.991/0001-10</t>
  </si>
  <si>
    <t>105/2023</t>
  </si>
  <si>
    <t>Contrato de Limpeza -  UnB Cerrado (AP PISCINAS EIRELI)</t>
  </si>
  <si>
    <t>VGM01N01A7N
(VGM01N1F2N-PI indevido)</t>
  </si>
  <si>
    <t>08475822000130</t>
  </si>
  <si>
    <t>23106.116355/2019-55</t>
  </si>
  <si>
    <t>112/2020</t>
  </si>
  <si>
    <t>- Segurança - ULTRASEG Segurança Patrimonial Ltda</t>
  </si>
  <si>
    <t>09151154000159</t>
  </si>
  <si>
    <t>23106.020717/2022-17</t>
  </si>
  <si>
    <t>1207/2022</t>
  </si>
  <si>
    <r>
      <rPr>
        <sz val="11"/>
        <color rgb="FF000000"/>
        <rFont val="Arial"/>
        <family val="2"/>
        <charset val="1"/>
      </rPr>
      <t>Jardinagem - UnB Cerrado</t>
    </r>
    <r>
      <rPr>
        <sz val="11"/>
        <rFont val="Arial"/>
        <family val="2"/>
        <charset val="1"/>
      </rPr>
      <t xml:space="preserve"> - AMBIENTAL DO BRASIL ESTUDOS E PROJETOS AMBIENTAIS LTDA</t>
    </r>
  </si>
  <si>
    <t>09150575000165</t>
  </si>
  <si>
    <t>23106.092536/2018-06</t>
  </si>
  <si>
    <t>659/2020</t>
  </si>
  <si>
    <t>Recepcionista – AMR LIMPEZA E LOCACAO DE AUTOMOVEIS LTDA</t>
  </si>
  <si>
    <t>10.258.826/0001-09</t>
  </si>
  <si>
    <t>23106.100112/2023-81</t>
  </si>
  <si>
    <t>Contrato Encerrado / ver saldo de empenho</t>
  </si>
  <si>
    <t>12/2024</t>
  </si>
  <si>
    <t>'- GESTOR SERVICOS EMPRESARIAIS (Portaria - SPI)</t>
  </si>
  <si>
    <t>Contratos SPI</t>
  </si>
  <si>
    <t>VGM01N01E8N</t>
  </si>
  <si>
    <t>02.685.728/0001-20</t>
  </si>
  <si>
    <t>23106.047067/2021-68</t>
  </si>
  <si>
    <t>001/2022</t>
  </si>
  <si>
    <t>- SEFIX (Limpeza e Conservação - SPI)</t>
  </si>
  <si>
    <t>VGM01N01E9N</t>
  </si>
  <si>
    <t>13258899000199</t>
  </si>
  <si>
    <t>23106.047036/2021-15</t>
  </si>
  <si>
    <t>033/2022</t>
  </si>
  <si>
    <t>Engemega - (Manutenção de Imóveis gerenciados pela Secretaria de Patrimônio Imobiliário (SPI)) – contrato 1 (contrato antigo)</t>
  </si>
  <si>
    <t>VGM01N01D4N</t>
  </si>
  <si>
    <t>33480104/0001-08</t>
  </si>
  <si>
    <t xml:space="preserve">23106.059077/2021-46 </t>
  </si>
  <si>
    <t>1223/2022</t>
  </si>
  <si>
    <t>Engemega - (Manutenção de Imóveis gerenciados pela Secretaria de Patrimônio Imobiliário (SPI)) – contrato 2 (novo contrato)</t>
  </si>
  <si>
    <t>23106.066341/2023-60</t>
  </si>
  <si>
    <t>1206/2024</t>
  </si>
  <si>
    <t>FORMIGA ENGENHARIA E ARQUITETURA LTDA, especializada na prestação de serviços continuados, sem dedicação exclusiva de mão de obra, para realização de vistorias de entrada e saída nos imóveis de propriedade da Universidade de Brasília</t>
  </si>
  <si>
    <t>VGM01N01D2N</t>
  </si>
  <si>
    <t>22.352.353/0001-93</t>
  </si>
  <si>
    <t>23106.013588/2024-64</t>
  </si>
  <si>
    <t>93/2024</t>
  </si>
  <si>
    <t>QUANTUM SOLUÇÕES E INOVAÇÕES LTDA - emissão de laudos técnicos de avaliação de valores imobiliários</t>
  </si>
  <si>
    <t>VGM01N01Q7N</t>
  </si>
  <si>
    <t>43.946.228/0001-81</t>
  </si>
  <si>
    <t>23106.019008/2024-42</t>
  </si>
  <si>
    <t>1221/2024</t>
  </si>
  <si>
    <t>SILVA EDIFICAÇÕES LTDA - emissão de laudos técnicos de avaliação de valores imobiliários</t>
  </si>
  <si>
    <t>44.532.592/0001-68</t>
  </si>
  <si>
    <t>23106.103034/2024-58</t>
  </si>
  <si>
    <t>1220/2024</t>
  </si>
  <si>
    <t>HONIX (elevadores) (01 de um mês a 30 do mesmo mês)</t>
  </si>
  <si>
    <t>VGM01N01I7N</t>
  </si>
  <si>
    <t>21051130000123</t>
  </si>
  <si>
    <t>23106.053280/2018-11</t>
  </si>
  <si>
    <t>090/2019</t>
  </si>
  <si>
    <t xml:space="preserve">ONE ELEVADORES DF LTDA </t>
  </si>
  <si>
    <t>02.633.335/0001-72</t>
  </si>
  <si>
    <t>23106.077388/2024-30</t>
  </si>
  <si>
    <t>94/2024</t>
  </si>
  <si>
    <t>- ENERGIA ELÉTRICA - SPI</t>
  </si>
  <si>
    <t>07522669000192</t>
  </si>
  <si>
    <t xml:space="preserve">- CAESB - SPI </t>
  </si>
  <si>
    <t>00082024000137</t>
  </si>
  <si>
    <t xml:space="preserve">- Despesas de Condomínio </t>
  </si>
  <si>
    <t>VGM01N01K6N</t>
  </si>
  <si>
    <t>23106.134844/2020-22</t>
  </si>
  <si>
    <t xml:space="preserve">Restaurante ISM EIRELI (diretoria RU) - Ação 20RK planilha DRU </t>
  </si>
  <si>
    <t>Contrato DAC/RU</t>
  </si>
  <si>
    <t>VGM01N01B5N</t>
  </si>
  <si>
    <t>04228626001263</t>
  </si>
  <si>
    <t>23106.013653/2020-28</t>
  </si>
  <si>
    <t>31/2021</t>
  </si>
  <si>
    <t>- Serviço manutenção piscinas Casa Niemeyer</t>
  </si>
  <si>
    <t>Contratos Diversos</t>
  </si>
  <si>
    <t>VGM01N01N5N</t>
  </si>
  <si>
    <t>Auxílio Moradia - Processos judiciais residentes médicos</t>
  </si>
  <si>
    <t>VEP01S19A1N</t>
  </si>
  <si>
    <t xml:space="preserve"> 00424.086713/2023-76 00424.187663/2022-62 00424.084224/2023-80 00424.158540/2022-14 00424.092166/2023-68
00424.081691/2024-39
00424.126909/2024-91 00424.190315/2023-53 00424.124332/2024-83</t>
  </si>
  <si>
    <r>
      <rPr>
        <sz val="11"/>
        <color rgb="FF000000"/>
        <rFont val="Arial"/>
      </rPr>
      <t xml:space="preserve">PGFN: 1° ATI, negociação conta n°: 7300348 ( Consulta Acordo n°1 - Conta da Negociação 7300348 (SEI nº 10575553)
</t>
    </r>
    <r>
      <rPr>
        <b/>
        <sz val="11"/>
        <color rgb="FF000000"/>
        <rFont val="Arial"/>
      </rPr>
      <t xml:space="preserve">SEI origem: 23106.094258/2021-19
SEI pagamento em 2023: 23106.005996/2023-61
Despacho que contém explicação: 10567234 do SEI 23106.132563/2023-88
</t>
    </r>
    <r>
      <rPr>
        <sz val="11"/>
        <color rgb="FF000000"/>
        <rFont val="Arial"/>
      </rPr>
      <t>Acordo de Transação Individual (ATI), referente à dívida ativa tributária junto à PGFN -débitos previdenciários
Empenho atual: 2024NE000285</t>
    </r>
  </si>
  <si>
    <t>VGH01N0112N</t>
  </si>
  <si>
    <t>23106.094258/2021-19
23106.001775/2022-33 23106.005996/2023-61
23106.044758/2024-52
23106.132563/2023-88</t>
  </si>
  <si>
    <t>60 parcelas
(já pagou 20/60)</t>
  </si>
  <si>
    <r>
      <rPr>
        <sz val="11"/>
        <color rgb="FF000000"/>
        <rFont val="Arial"/>
        <family val="2"/>
        <charset val="1"/>
      </rPr>
      <t xml:space="preserve">PGFN: 2° ATI, negociação conta n°: 8815031 (Consulta Acordo n°2 - Conta da Negociação 8815031 (SEI nº 10576277))
</t>
    </r>
    <r>
      <rPr>
        <b/>
        <sz val="11"/>
        <color rgb="FF000000"/>
        <rFont val="Arial"/>
        <family val="2"/>
        <charset val="1"/>
      </rPr>
      <t xml:space="preserve">SEI origem: 23106.059565/2023-15
SEI pagamento 2023:23106.123083/2023-26 que foi realizado o pagamento da entrada e no  23106.128684/2023-25 constará os demais pagamentos.
Despacho que contém explicação: 10567234 do SEI 23106.132563/2023-88
</t>
    </r>
    <r>
      <rPr>
        <sz val="11"/>
        <color rgb="FF000000"/>
        <rFont val="Arial"/>
        <family val="2"/>
        <charset val="1"/>
      </rPr>
      <t>Guias de Recolhimento de FGTS e Informações à Previdência Social (GFIP) das competências de janeiro/2011, fevereiro/2011, abril/2011, junho/2011 e novembro/2011
Empenho atual: 2023NE003705; 2024NE000487</t>
    </r>
  </si>
  <si>
    <r>
      <rPr>
        <b/>
        <sz val="11"/>
        <color rgb="FF000000"/>
        <rFont val="Arial"/>
        <family val="2"/>
        <charset val="1"/>
      </rPr>
      <t xml:space="preserve">23106.059565/2023-15
</t>
    </r>
    <r>
      <rPr>
        <sz val="11"/>
        <color rgb="FF000000"/>
        <rFont val="Arial"/>
        <family val="2"/>
        <charset val="1"/>
      </rPr>
      <t>23106.128684/2023-25 
23106.044758/2024-52
23106.132563/2023-88</t>
    </r>
  </si>
  <si>
    <t>60 parcelas
(já pagou 10/60)</t>
  </si>
  <si>
    <r>
      <rPr>
        <sz val="11"/>
        <color rgb="FF000000"/>
        <rFont val="Arial"/>
        <family val="2"/>
        <charset val="1"/>
      </rPr>
      <t xml:space="preserve">RFB: Conta da Negociação 0211000120 (Consulta Parcelamento n°1 - Conta da Negociação 0211000120 (SEI nº 10580261))
</t>
    </r>
    <r>
      <rPr>
        <b/>
        <sz val="11"/>
        <color rgb="FF000000"/>
        <rFont val="Arial"/>
        <family val="2"/>
        <charset val="1"/>
      </rPr>
      <t xml:space="preserve">SEI origem: 23106.059634/2023-91
SEI pagamento em 2023: 23106.087581/2023-06
Despacho que contém explicação: 10567234 do SEI 23106.132563/2023-88
</t>
    </r>
    <r>
      <rPr>
        <sz val="11"/>
        <color rgb="FF000000"/>
        <rFont val="Arial"/>
        <family val="2"/>
        <charset val="1"/>
      </rPr>
      <t>Atraso das Guias de Recolhimento de FGTS e Informações à Previdência Social (GFIP) das competências de julho/2010, outubro/2010, novembro/2010, dezembro/2011 e 13°/2011
Empenho atual: 2023NE003850 e 2024NE000284</t>
    </r>
  </si>
  <si>
    <r>
      <rPr>
        <b/>
        <sz val="11"/>
        <color rgb="FF000000"/>
        <rFont val="Arial"/>
        <family val="2"/>
        <charset val="1"/>
      </rPr>
      <t xml:space="preserve">23106.059634/2023-91
</t>
    </r>
    <r>
      <rPr>
        <sz val="11"/>
        <color rgb="FF000000"/>
        <rFont val="Arial"/>
        <family val="2"/>
        <charset val="1"/>
      </rPr>
      <t>23106.087581/2023-06
23106.044758/2024-52
23106.132563/2023-88</t>
    </r>
  </si>
  <si>
    <t>60 parcelas
(já pagou 13/60)</t>
  </si>
  <si>
    <r>
      <rPr>
        <sz val="11"/>
        <color rgb="FF000000"/>
        <rFont val="Arial"/>
        <family val="2"/>
        <charset val="1"/>
      </rPr>
      <t>- Ajuda de custo (Redistribuição de servidores)</t>
    </r>
    <r>
      <rPr>
        <sz val="11"/>
        <color rgb="FFFF0000"/>
        <rFont val="Arial"/>
        <family val="2"/>
        <charset val="1"/>
      </rPr>
      <t xml:space="preserve"> </t>
    </r>
  </si>
  <si>
    <t>VGH01N0111N</t>
  </si>
  <si>
    <t>Cespe (despesas diversas)</t>
  </si>
  <si>
    <t>CESPE</t>
  </si>
  <si>
    <t>VGR02N01A1N</t>
  </si>
  <si>
    <t>23106.019902/2017-93</t>
  </si>
  <si>
    <r>
      <rPr>
        <sz val="11"/>
        <color rgb="FF000000"/>
        <rFont val="Arial"/>
        <family val="2"/>
        <charset val="1"/>
      </rPr>
      <t>Contrato de serviços especializados com vistas à realização de estudos técnicos, de planejamentos, projetos básicos ou executivos, assessoria técnica e apoio técnico nas áreas de Tecnologia da Informação (TI) e Logística,</t>
    </r>
    <r>
      <rPr>
        <b/>
        <sz val="11"/>
        <color rgb="FF000000"/>
        <rFont val="Arial"/>
        <family val="2"/>
        <charset val="1"/>
      </rPr>
      <t xml:space="preserve"> entre a UnB e o CEBRASPE</t>
    </r>
  </si>
  <si>
    <t>DEG</t>
  </si>
  <si>
    <t>VGR02N01A2N</t>
  </si>
  <si>
    <t>23106.040707/2022-90
(60 parcelas)</t>
  </si>
  <si>
    <t>1205/2022</t>
  </si>
  <si>
    <t xml:space="preserve">CEBRASPE (Processos seletivos UnB) </t>
  </si>
  <si>
    <t>VGM01N01J5N</t>
  </si>
  <si>
    <t>23106.098851/2020-53
23106.018871/2022-11
23106.093468/2021-90 23106.065413/2023-51 23106.065557/2023-16 
23106.035963/2024-27</t>
  </si>
  <si>
    <t>diversos</t>
  </si>
  <si>
    <t>CONCEIÇÃO Aparecida Braga 67186920691 ME (análise e levantamento de conjuntos documentais do arquivo do Cespe/UnB)</t>
  </si>
  <si>
    <t>VGM01N01P1N</t>
  </si>
  <si>
    <t>41423145000182</t>
  </si>
  <si>
    <t xml:space="preserve">23106.059346/2020-93 </t>
  </si>
  <si>
    <t xml:space="preserve">1230/2022 </t>
  </si>
  <si>
    <r>
      <rPr>
        <sz val="11"/>
        <color rgb="FF000000"/>
        <rFont val="Arial"/>
        <family val="2"/>
        <charset val="1"/>
      </rPr>
      <t>- Prisma SYS/ DCF (Licença de Uso e suporte técnico Consiafi)</t>
    </r>
    <r>
      <rPr>
        <sz val="11"/>
        <color rgb="FFFF0000"/>
        <rFont val="Arial"/>
        <family val="2"/>
        <charset val="1"/>
      </rPr>
      <t xml:space="preserve"> - parcela única</t>
    </r>
  </si>
  <si>
    <t>VGM01N01L7N</t>
  </si>
  <si>
    <t>38068664000165</t>
  </si>
  <si>
    <t>23106.009.366/2016-37
23106.050235/2020-11</t>
  </si>
  <si>
    <t>Não Pode ser renovado 11559576</t>
  </si>
  <si>
    <t>504/2020</t>
  </si>
  <si>
    <t xml:space="preserve">Tratador de Piscinas CO e casa Oscar Niemayer - (AP Piscinas EIRELI) </t>
  </si>
  <si>
    <t>VGM01N01E2N</t>
  </si>
  <si>
    <t>23106.013349/2019-47</t>
  </si>
  <si>
    <t>não será renovado</t>
  </si>
  <si>
    <t>93/2020</t>
  </si>
  <si>
    <t>PLUS TERCEIRIZACAO LTDA (serviços continuados de tratador de piscina)</t>
  </si>
  <si>
    <t>23106.062907/2024-65</t>
  </si>
  <si>
    <t>25/2025</t>
  </si>
  <si>
    <t>- STI UFRN/ GRE (5 parcelas)</t>
  </si>
  <si>
    <t>VGM01N01M5N</t>
  </si>
  <si>
    <t>23106.073966/2017-30
23106.091209/2020-43</t>
  </si>
  <si>
    <t>TED nº 8444.12.0820/2021</t>
  </si>
  <si>
    <t>- Correios - ECT -reduziu porque não temos mais contrato de encomendas</t>
  </si>
  <si>
    <t>Comunicação</t>
  </si>
  <si>
    <t>VGM01N01J1N</t>
  </si>
  <si>
    <t>34028316000707</t>
  </si>
  <si>
    <t>23106.137850/2017-36; 23106.070712/2018-41
23106.015565/2023-11</t>
  </si>
  <si>
    <t>1207/2023</t>
  </si>
  <si>
    <t>- Empresa Brasil de Comunicação (EBC)</t>
  </si>
  <si>
    <t>VGM01N01I9N</t>
  </si>
  <si>
    <t>23106.048294/2020-20</t>
  </si>
  <si>
    <t>213/2020</t>
  </si>
  <si>
    <t>- Andromeda (serviços de becário e brigadista nas cerimônias de colação de grau)</t>
  </si>
  <si>
    <t>Cerimonial</t>
  </si>
  <si>
    <t>VGM01N01B9N</t>
  </si>
  <si>
    <t>20882119000142</t>
  </si>
  <si>
    <t>23106.072605/2019-38</t>
  </si>
  <si>
    <t>Não Pode ser renovado 10809034 Verificar saldo de Empenho</t>
  </si>
  <si>
    <t>135/2019</t>
  </si>
  <si>
    <t>Casablanca (Serviço de Mobiliário (Cadeiras) - manifestação de interesse de prorrogação ( Ofício 24-2024 (10948905)</t>
  </si>
  <si>
    <t>03370903000152</t>
  </si>
  <si>
    <t>23106.138096/2020-57
23106.042068/2025-40 
23106.105637/2024-94
(novo contrato)</t>
  </si>
  <si>
    <t>083/2024</t>
  </si>
  <si>
    <t>Lavanderia Cristal Serviços Expressos Ltda (higienização e passadoria de becas)</t>
  </si>
  <si>
    <t>01319181000186</t>
  </si>
  <si>
    <t>23106.001918/2023-98</t>
  </si>
  <si>
    <t>Dispensa. Nº 10002/2023</t>
  </si>
  <si>
    <t>- SIMPRESS - Outsourcing de serviços de impressão</t>
  </si>
  <si>
    <t>Contratos custeados pelas Unidades (STI)</t>
  </si>
  <si>
    <t>VGM01N01M8N</t>
  </si>
  <si>
    <t>07432517000107</t>
  </si>
  <si>
    <t>23106.000978/2016-64
23106.010988/2019-51</t>
  </si>
  <si>
    <t>512/2021</t>
  </si>
  <si>
    <t>Total da despesa</t>
  </si>
  <si>
    <t>Prioridade</t>
  </si>
  <si>
    <t>PI 2024</t>
  </si>
  <si>
    <t>Saldo Empenhos 2024</t>
  </si>
  <si>
    <t>Auxílio financeiro a estudantes - DEX</t>
  </si>
  <si>
    <t>VXX01N21C3N</t>
  </si>
  <si>
    <t>VGY01N0106N</t>
  </si>
  <si>
    <t>Auxílio financeiro a estudantes - DEG</t>
  </si>
  <si>
    <t>MEG01G55B8N</t>
  </si>
  <si>
    <t>Auxílio financeiro a estudantes - DPI</t>
  </si>
  <si>
    <t>MEG01G55B9N</t>
  </si>
  <si>
    <t>Auxílio financeiro a estudantes - DPG</t>
  </si>
  <si>
    <t>OEP01O55A4N</t>
  </si>
  <si>
    <t>AUXILIO SOCIOECONOMICO - DAC</t>
  </si>
  <si>
    <t>MGU01N23A1N</t>
  </si>
  <si>
    <t>BOLSA INCLUSAO DIGITAL - DAC</t>
  </si>
  <si>
    <t>MGU01N23B4N</t>
  </si>
  <si>
    <t>- Bolsas PIBIC (DPG) - faz parte do PROIC</t>
  </si>
  <si>
    <t>NEG01G19A5N
NEG03G19A5N</t>
  </si>
  <si>
    <t>- Bolsas PROIC (DPG)</t>
  </si>
  <si>
    <t>NQQ01G20A1N</t>
  </si>
  <si>
    <t>- Bolsa estudante de graduação CEAD</t>
  </si>
  <si>
    <t>MEG01G19B5N</t>
  </si>
  <si>
    <t>- Bolsa estudante de pós-graduação CEAD</t>
  </si>
  <si>
    <t>- Auxílio financeiro a professor CEAD</t>
  </si>
  <si>
    <t>Bolsas de Extensão (DEX)</t>
  </si>
  <si>
    <t>VGM01N01M3N</t>
  </si>
  <si>
    <t>- Bolsas concedidas pela CAPES</t>
  </si>
  <si>
    <t>OGP01O19A1N</t>
  </si>
  <si>
    <t>- Auxílio Financeiro a Pesquisador (DPI)</t>
  </si>
  <si>
    <t>NQQ01N55C5N</t>
  </si>
  <si>
    <t>Auxílio Financeiro a Pesquisador (DEG)</t>
  </si>
  <si>
    <t>NQQ01N55C5N
VGY01N0106N</t>
  </si>
  <si>
    <t>- Auxílio Financeiro a Pesquisador (DEX)</t>
  </si>
  <si>
    <r>
      <t xml:space="preserve">VXX01N21C2N
</t>
    </r>
    <r>
      <rPr>
        <sz val="11"/>
        <color rgb="FFFF0000"/>
        <rFont val="Arial"/>
        <family val="2"/>
        <charset val="1"/>
      </rPr>
      <t>VGY01N0106N</t>
    </r>
  </si>
  <si>
    <t>- Auxílio Financeiro a Pesquisador (DPG)</t>
  </si>
  <si>
    <t>Data de Atualização: 14/10/2025</t>
  </si>
  <si>
    <t>Credito em Excesso</t>
  </si>
  <si>
    <t>Tratador de Piscinas CO e casa Oscar Niemayer - (AP Piscinas EIRELI) - em fase de renovação</t>
  </si>
  <si>
    <t>Programação de Despesas</t>
  </si>
  <si>
    <t>Data de Atualização: 09/10/2025</t>
  </si>
  <si>
    <t>ARTES GRÁFICA COMÉRCIO E REPRESENTAÇÕES EIRELI (serviços continuados de Designer Gráfico)</t>
  </si>
  <si>
    <r>
      <rPr>
        <sz val="11"/>
        <color rgb="FF000000"/>
        <rFont val="Arial"/>
        <charset val="1"/>
      </rPr>
      <t xml:space="preserve">POLI ENGENHARIA LTDA (serviços comuns de engenharia, incluindo manutenção, conservação, adaptação, reparação e instalação de infraestruturas prediais e imobiliárias) </t>
    </r>
    <r>
      <rPr>
        <sz val="11"/>
        <color rgb="FFFF0000"/>
        <rFont val="Arial"/>
        <charset val="1"/>
      </rPr>
      <t>- contrato 20 meses</t>
    </r>
  </si>
  <si>
    <r>
      <rPr>
        <sz val="11"/>
        <color rgb="FF000000"/>
        <rFont val="Arial"/>
        <charset val="1"/>
      </rPr>
      <t xml:space="preserve">PGFN: 1° ATI, negociação conta n°: 7300348 ( Consulta Acordo n°1 - Conta da Negociação 7300348 (SEI nº 10575553)
</t>
    </r>
    <r>
      <rPr>
        <b/>
        <sz val="11"/>
        <color rgb="FF000000"/>
        <rFont val="Arial"/>
        <charset val="1"/>
      </rPr>
      <t xml:space="preserve">SEI origem: 23106.094258/2021-19
SEI pagamento em 2023: 23106.005996/2023-61
Despacho que contém explicação: 10567234 do SEI 23106.132563/2023-88
</t>
    </r>
    <r>
      <rPr>
        <sz val="11"/>
        <color rgb="FF000000"/>
        <rFont val="Arial"/>
        <charset val="1"/>
      </rPr>
      <t>Acordo de Transação Individual (ATI), referente à dívida ativa tributária junto à PGFN -débitos previdenciários
Empenho atual: 2024NE000285</t>
    </r>
  </si>
  <si>
    <r>
      <rPr>
        <sz val="11"/>
        <color rgb="FF000000"/>
        <rFont val="Arial"/>
        <charset val="1"/>
      </rPr>
      <t>G&amp;E SERVICOS TERCEIRIZADOS LTDA - serviços continuados de</t>
    </r>
    <r>
      <rPr>
        <b/>
        <sz val="11"/>
        <color rgb="FF000000"/>
        <rFont val="Arial"/>
        <charset val="1"/>
      </rPr>
      <t xml:space="preserve"> motorista</t>
    </r>
  </si>
  <si>
    <t xml:space="preserve">MPE ENGENHARIA E SERVICOS S/A (serviços comuns de engenharia, incluindo manutenção, conservação, adaptação, reparação e instalação de infraestruturas prediais e imobiliárias) </t>
  </si>
  <si>
    <t>PGFN: 1° ATI, negociação conta n°: 7300348 ( Consulta Acordo n°1 - Conta da Negociação 7300348 (SEI nº 10575553)</t>
  </si>
  <si>
    <t>Data de Atualização: 11/03/2025</t>
  </si>
  <si>
    <t>1543032/0001-04</t>
  </si>
  <si>
    <t>76535764/0001-43</t>
  </si>
  <si>
    <t xml:space="preserve">- Fornecimento de combustível
(Ticket soluções HDFGT S/A) </t>
  </si>
  <si>
    <t>3506307/0001-57</t>
  </si>
  <si>
    <t>01099686/0001-82</t>
  </si>
  <si>
    <t>8220952/0001-22</t>
  </si>
  <si>
    <t xml:space="preserve">MPE ENGENHARIA E SERVICOS S/A (serviços comuns de engenharia, incluindo manutenção, conservação, adaptação, reparação e instalação de infraestruturas prediais e imobiliárias) - </t>
  </si>
  <si>
    <t xml:space="preserve">POLI ENGENHARIA LTDA (serviços comuns de engenharia, incluindo manutenção, conservação, adaptação, reparação e instalação de infraestruturas prediais e imobiliárias) </t>
  </si>
  <si>
    <t xml:space="preserve">Engemega - (Manutenção de Imóveis gerenciados pela Secretaria de Patrimônio Imobiliário (SPI)) </t>
  </si>
  <si>
    <t>PGFN: 2° ATI, negociação conta n°: 8815031 (Consulta Acordo n°2 - Conta da Negociação 8815031 (SEI nº 10576277))</t>
  </si>
  <si>
    <t xml:space="preserve"> (STI)</t>
  </si>
  <si>
    <t>solicitou-se à empresa interesse em renovar</t>
  </si>
  <si>
    <t>08220952000122</t>
  </si>
  <si>
    <t>Foi para a PF solicitando prorrogação com vigência em 29/09/2025</t>
  </si>
  <si>
    <t>Foi para PF, prorrogação excepcional</t>
  </si>
  <si>
    <t>Novo contrato de serviços de apoio administrativo (contínuo) e de copeiragem</t>
  </si>
  <si>
    <t>23106.030343/2024-00</t>
  </si>
  <si>
    <t>Foi solicitado parecer à PF para prorrogação.</t>
  </si>
  <si>
    <r>
      <rPr>
        <sz val="11"/>
        <color rgb="FF000000"/>
        <rFont val="Arial"/>
        <family val="2"/>
        <charset val="1"/>
      </rPr>
      <t xml:space="preserve">MPE ENGENHARIA E SERVICOS S/A (serviços comuns de engenharia, incluindo manutenção, conservação, adaptação, reparação e instalação de infraestruturas prediais e imobiliárias) - </t>
    </r>
    <r>
      <rPr>
        <sz val="11"/>
        <color rgb="FFC9211E"/>
        <rFont val="Arial"/>
        <family val="2"/>
        <charset val="1"/>
      </rPr>
      <t>(exceto DAC)</t>
    </r>
  </si>
  <si>
    <r>
      <rPr>
        <sz val="11"/>
        <color rgb="FF000000"/>
        <rFont val="Arial"/>
        <family val="2"/>
        <charset val="1"/>
      </rPr>
      <t xml:space="preserve">POLI ENGENHARIA LTDA (serviços comuns de engenharia, incluindo manutenção, conservação, adaptação, reparação e instalação de infraestruturas prediais e imobiliárias) </t>
    </r>
    <r>
      <rPr>
        <sz val="11"/>
        <color rgb="FFFF0000"/>
        <rFont val="Arial"/>
        <family val="2"/>
        <charset val="1"/>
      </rPr>
      <t>- contrato 20 meses</t>
    </r>
  </si>
  <si>
    <t>Solicitado parecer à PF para prorrogação.</t>
  </si>
  <si>
    <r>
      <rPr>
        <sz val="11"/>
        <color rgb="FF000000"/>
        <rFont val="Arial"/>
        <family val="2"/>
        <charset val="1"/>
      </rPr>
      <t xml:space="preserve">PGFN: 1° ATI, negociação conta n°: 7300348 ( Consulta Acordo n°1 - Conta da Negociação 7300348 (SEI nº 10575553)
</t>
    </r>
    <r>
      <rPr>
        <b/>
        <sz val="11"/>
        <color rgb="FF000000"/>
        <rFont val="Arial"/>
        <family val="2"/>
        <charset val="1"/>
      </rPr>
      <t xml:space="preserve">SEI origem: 23106.094258/2021-19
SEI pagamento em 2023: 23106.005996/2023-61
Despacho que contém explicação: 10567234 do SEI 23106.132563/2023-88
</t>
    </r>
    <r>
      <rPr>
        <sz val="11"/>
        <color rgb="FF000000"/>
        <rFont val="Arial"/>
        <family val="2"/>
        <charset val="1"/>
      </rPr>
      <t>Acordo de Transação Individual (ATI), referente à dívida ativa tributária junto à PGFN -débitos previdenciários
Empenho atual: 2024NE000285</t>
    </r>
  </si>
  <si>
    <t>limite</t>
  </si>
  <si>
    <t>CI</t>
  </si>
  <si>
    <t>compostagem</t>
  </si>
  <si>
    <t>detalhado</t>
  </si>
  <si>
    <t>demais Ações</t>
  </si>
  <si>
    <t>?</t>
  </si>
  <si>
    <t>MPE ENGENHARIA E SERVICOS S/A (serviços comuns de engenharia, incluindo manutenção, conservação, adaptação, reparação e instalação de infraestruturas prediais e imobiliárias)</t>
  </si>
  <si>
    <t xml:space="preserve">HONIX (elevadores) </t>
  </si>
  <si>
    <t xml:space="preserve">PGFN: 1° ATI, negociação conta n°: 7300348 ( Consulta Acordo n°1 - Conta da Negociação 7300348 </t>
  </si>
  <si>
    <t>PGFN: 2° ATI, negociação conta n°: 8815031 (Consulta Acordo n°2 - Conta da Negociação 8815031</t>
  </si>
  <si>
    <t>Valor a Empenhar</t>
  </si>
  <si>
    <r>
      <rPr>
        <sz val="11"/>
        <color rgb="FF000000"/>
        <rFont val="Arial"/>
        <family val="2"/>
        <charset val="1"/>
      </rPr>
      <t xml:space="preserve">ELYON BRASIL - </t>
    </r>
    <r>
      <rPr>
        <b/>
        <sz val="11"/>
        <color rgb="FF000000"/>
        <rFont val="Arial"/>
        <family val="2"/>
        <charset val="1"/>
      </rPr>
      <t>ESPLANADA</t>
    </r>
    <r>
      <rPr>
        <sz val="11"/>
        <color rgb="FF000000"/>
        <rFont val="Arial"/>
        <family val="2"/>
        <charset val="1"/>
      </rPr>
      <t xml:space="preserve"> SERVICOS TERCEIRIZADOS EIRELI </t>
    </r>
  </si>
  <si>
    <t>02685728000120</t>
  </si>
  <si>
    <r>
      <rPr>
        <sz val="11"/>
        <color rgb="FF000000"/>
        <rFont val="Arial"/>
        <family val="2"/>
        <charset val="1"/>
      </rPr>
      <t xml:space="preserve">RFB: Conta da Negociação 0211000120 (Consulta Parcelamento n°1 - Conta da Negociação 0211000120 (SEI nº 10580261))
</t>
    </r>
  </si>
  <si>
    <t>Fonte</t>
  </si>
  <si>
    <t>RFB: Conta da Negociação 0211000120 (Consulta Parcelamento n°1 - Conta da Negociação 0211000120 (SEI nº 10580261))</t>
  </si>
  <si>
    <t>Engemega - (Manutenção de Imóveis gerenciados pela Secretaria de Patrimônio Imobiliário (SPI)) – contrato 1</t>
  </si>
  <si>
    <t>Data de Atualização: 12/03/2025</t>
  </si>
  <si>
    <t>Fonte da Ação 20RK</t>
  </si>
  <si>
    <t>07044248000101</t>
  </si>
  <si>
    <r>
      <rPr>
        <sz val="11"/>
        <color rgb="FF000000"/>
        <rFont val="Arial"/>
        <charset val="1"/>
      </rPr>
      <t xml:space="preserve">RFB: Conta da Negociação 0211000120 (Consulta Parcelamento n°1 - Conta da Negociação 0211000120 (SEI nº 10580261))
</t>
    </r>
    <r>
      <rPr>
        <b/>
        <sz val="11"/>
        <color rgb="FF000000"/>
        <rFont val="Arial"/>
        <charset val="1"/>
      </rPr>
      <t xml:space="preserve">SEI origem: 23106.059634/2023-91
SEI pagamento em 2023: 23106.087581/2023-06
Despacho que contém explicação: 10567234 do SEI 23106.132563/2023-88
</t>
    </r>
    <r>
      <rPr>
        <sz val="11"/>
        <color rgb="FF000000"/>
        <rFont val="Arial"/>
        <charset val="1"/>
      </rPr>
      <t>Atraso das Guias de Recolhimento de FGTS e Informações à Previdência Social (GFIP) das competências de julho/2010, outubro/2010, novembro/2010, dezembro/2011 e 13°/2011
Empenho atual: 2023NE003850 e 2024NE000284</t>
    </r>
  </si>
  <si>
    <t>Correios - EC</t>
  </si>
  <si>
    <t>1204/2024</t>
  </si>
  <si>
    <t>Empresa Brasil de Comunicação (EBC)</t>
  </si>
  <si>
    <t>Data de Atualização: 05/02/2025</t>
  </si>
  <si>
    <t>- Pasep (há saldo no emepnho 2022NE000109 no PI VGH01N0101N)</t>
  </si>
  <si>
    <t>será prorrogado excepcionalmente</t>
  </si>
  <si>
    <t>Contratos PRC</t>
  </si>
  <si>
    <t>Em fase de prorrogação 12129647</t>
  </si>
  <si>
    <t>23106.127519/2018-99; 23106.069857/2019-80</t>
  </si>
  <si>
    <t>32/2019</t>
  </si>
  <si>
    <t>Termo Aditivo Assinado 11950796</t>
  </si>
  <si>
    <t>23106.137850/2017-36; 23106.070712/2018-41</t>
  </si>
  <si>
    <t>044/2018 e 025/2019</t>
  </si>
  <si>
    <t>Campi Darcy Ribeiro, FAL,
FCE, FGA E FUP</t>
  </si>
  <si>
    <t>Executado  2023</t>
  </si>
  <si>
    <t>Previsão  2024
Ajustada em 20/09/2024</t>
  </si>
  <si>
    <t>Previsão  2025
Ajustada em 20/09/2024</t>
  </si>
  <si>
    <t>MESES</t>
  </si>
  <si>
    <t>VALOR UTILIZADO</t>
  </si>
  <si>
    <t>PNAES</t>
  </si>
  <si>
    <t>RECURSOS PRÓPRIOS</t>
  </si>
  <si>
    <t>Jan</t>
  </si>
  <si>
    <t>FEV</t>
  </si>
  <si>
    <t>MAR</t>
  </si>
  <si>
    <t>ABR</t>
  </si>
  <si>
    <t>MAI</t>
  </si>
  <si>
    <t>JUN</t>
  </si>
  <si>
    <t>JUL</t>
  </si>
  <si>
    <t>AGOS</t>
  </si>
  <si>
    <t>SET</t>
  </si>
  <si>
    <t>OUT</t>
  </si>
  <si>
    <t>NOV</t>
  </si>
  <si>
    <t>DEZ</t>
  </si>
  <si>
    <t>TOTAL</t>
  </si>
  <si>
    <t>Ressarcimento ao DAC</t>
  </si>
  <si>
    <t>N° do processo</t>
  </si>
  <si>
    <t>Valor a ser ressarcido ao DAC</t>
  </si>
  <si>
    <t>23106.139541/2023-49</t>
  </si>
  <si>
    <t>23106.032530/2023-39</t>
  </si>
  <si>
    <t>23106.035517/2023-31</t>
  </si>
  <si>
    <t>23106.034998/2023-68</t>
  </si>
  <si>
    <t>23106.035525/2023-88</t>
  </si>
  <si>
    <t>23106.142681/2023-02</t>
  </si>
  <si>
    <t>23106.139136/2023-21</t>
  </si>
  <si>
    <t>23106.035396/2024-17</t>
  </si>
  <si>
    <t>23106.035907/2024-92</t>
  </si>
  <si>
    <t>23106.034997/2023-13</t>
  </si>
  <si>
    <t>23106.016343/2023-16</t>
  </si>
  <si>
    <t>23106.045918/2024-81</t>
  </si>
  <si>
    <t>23106.016197/2023-11</t>
  </si>
  <si>
    <t>23106.089366/2024-12</t>
  </si>
  <si>
    <t>23106.098545/2024-41</t>
  </si>
  <si>
    <t>23106.098557/2024-75</t>
  </si>
  <si>
    <t>Total</t>
  </si>
  <si>
    <t>23106.098561/2024-33</t>
  </si>
  <si>
    <t>23106.099121/2024-01</t>
  </si>
  <si>
    <t>23106.107639/2024-18</t>
  </si>
  <si>
    <t>23106.098552/2024-42</t>
  </si>
  <si>
    <t>23106.116295/2024-38</t>
  </si>
  <si>
    <t xml:space="preserve">GUSTAVO </t>
  </si>
  <si>
    <t>Ressarcimento ao DAC - 2025</t>
  </si>
  <si>
    <t>23106.005058/2023-61</t>
  </si>
  <si>
    <t>23106.122417/2024-25</t>
  </si>
  <si>
    <t>23106.122396/2024-48</t>
  </si>
  <si>
    <t>23106.096794/2025-82</t>
  </si>
  <si>
    <t>23106.104288/2025-74</t>
  </si>
  <si>
    <t>23106.101649/2025-21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</si>
</sst>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R$ &quot;* #,##0.00_-;&quot;-R$ &quot;* #,##0.00_-;_-&quot;R$ &quot;* \-??_-;_-@_-"/>
    <numFmt numFmtId="165" formatCode="_(&quot;R$&quot;* #,##0.00_);_(&quot;R$&quot;* \(#,##0.00\);_(&quot;R$&quot;* \-??_);_(@_)"/>
    <numFmt numFmtId="166" formatCode="_(* #,##0.00_);_(* \(#,##0.00\);_(* \-??_);_(@_)"/>
    <numFmt numFmtId="167" formatCode="_(* #,##0_);_(* \(#,##0\);_(* \-_);_(@_)"/>
    <numFmt numFmtId="168" formatCode="_(* #,##0_);_(* \(#,##0\);_(* \-??_);_(@_)"/>
    <numFmt numFmtId="169" formatCode="_-* #,##0_-;\-* #,##0_-;_-* \-??_-;_-@_-"/>
    <numFmt numFmtId="170" formatCode="[$-416]mmm\-yy;@"/>
    <numFmt numFmtId="171" formatCode="#,##0.00_);\(#,##0.00\)"/>
    <numFmt numFmtId="172" formatCode="#,##0_);\(#,##0\)"/>
    <numFmt numFmtId="173" formatCode="d/m/yyyy"/>
    <numFmt numFmtId="174" formatCode="#,##0.0"/>
    <numFmt numFmtId="175" formatCode=";;;"/>
    <numFmt numFmtId="176" formatCode="0.0"/>
    <numFmt numFmtId="177" formatCode="_-* #,##0.00_-;\-* #,##0.00_-;_-* \-??_-;_-@_-"/>
    <numFmt numFmtId="178" formatCode="&quot;R$ &quot;#,##0.00;[Red]&quot;-R$ &quot;#,##0.00"/>
  </numFmts>
  <fonts count="36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:ss01=0&amp;ss02=0&amp;ss03=0"/>
      <family val="2"/>
      <charset val="1"/>
    </font>
    <font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C9211E"/>
      <name val="Arial"/>
      <family val="2"/>
      <charset val="1"/>
    </font>
    <font>
      <sz val="11"/>
      <color rgb="FFFF0000"/>
      <name val="Arial"/>
      <family val="2"/>
      <charset val="1"/>
    </font>
    <font>
      <u/>
      <sz val="11"/>
      <color rgb="FF0000FF"/>
      <name val="Calibri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A933"/>
      <name val="Arial"/>
      <family val="2"/>
      <charset val="1"/>
    </font>
    <font>
      <sz val="11"/>
      <color rgb="FF000000"/>
      <name val="Arial"/>
      <charset val="1"/>
    </font>
    <font>
      <sz val="11"/>
      <color rgb="FFC9211E"/>
      <name val="Arial"/>
      <charset val="1"/>
    </font>
    <font>
      <sz val="11"/>
      <color rgb="FFFF0000"/>
      <name val="Arial"/>
      <charset val="1"/>
    </font>
    <font>
      <b/>
      <sz val="11"/>
      <color rgb="FF000000"/>
      <name val="Arial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2"/>
      <color rgb="FF000000"/>
      <name val="Calibri"/>
      <charset val="1"/>
    </font>
  </fonts>
  <fills count="42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00A933"/>
        <bgColor rgb="FF00B050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EDB506"/>
      </patternFill>
    </fill>
    <fill>
      <patternFill patternType="solid">
        <fgColor rgb="FF315F92"/>
        <bgColor rgb="FF2F5597"/>
      </patternFill>
    </fill>
    <fill>
      <patternFill patternType="solid">
        <fgColor rgb="FFC9211E"/>
        <bgColor rgb="FFCC0000"/>
      </patternFill>
    </fill>
    <fill>
      <patternFill patternType="solid">
        <fgColor rgb="FF505050"/>
        <bgColor rgb="FF2F5597"/>
      </patternFill>
    </fill>
    <fill>
      <patternFill patternType="solid">
        <fgColor rgb="FF8FAADC"/>
        <bgColor rgb="FF93CDDD"/>
      </patternFill>
    </fill>
    <fill>
      <patternFill patternType="solid">
        <fgColor rgb="FFFFFFFF"/>
        <bgColor rgb="FFF2F2F2"/>
      </patternFill>
    </fill>
    <fill>
      <patternFill patternType="solid">
        <fgColor rgb="FFC7C3AD"/>
        <bgColor rgb="FFC9C8C2"/>
      </patternFill>
    </fill>
    <fill>
      <patternFill patternType="solid">
        <fgColor rgb="FF93CDDD"/>
        <bgColor rgb="FFBDD7EE"/>
      </patternFill>
    </fill>
    <fill>
      <patternFill patternType="solid">
        <fgColor rgb="FFFF4000"/>
        <bgColor rgb="FFED4C05"/>
      </patternFill>
    </fill>
    <fill>
      <patternFill patternType="solid">
        <fgColor rgb="FF111C37"/>
        <bgColor rgb="FF003300"/>
      </patternFill>
    </fill>
    <fill>
      <patternFill patternType="solid">
        <fgColor rgb="FF91D04B"/>
        <bgColor rgb="FF9BBB59"/>
      </patternFill>
    </fill>
    <fill>
      <patternFill patternType="solid">
        <fgColor rgb="FFF2F2F2"/>
        <bgColor rgb="FFE7E6E6"/>
      </patternFill>
    </fill>
    <fill>
      <patternFill patternType="solid">
        <fgColor rgb="FFBDD7EE"/>
        <bgColor rgb="FFC9C8C2"/>
      </patternFill>
    </fill>
    <fill>
      <patternFill patternType="solid">
        <fgColor rgb="FF00B0F0"/>
        <bgColor rgb="FF008080"/>
      </patternFill>
    </fill>
    <fill>
      <patternFill patternType="solid">
        <fgColor rgb="FF00B050"/>
        <bgColor rgb="FF00A933"/>
      </patternFill>
    </fill>
    <fill>
      <patternFill patternType="solid">
        <fgColor rgb="FF7030A0"/>
        <bgColor rgb="FF800080"/>
      </patternFill>
    </fill>
    <fill>
      <patternFill patternType="solid">
        <fgColor rgb="FFFFFFA6"/>
        <bgColor rgb="FFF2F2F2"/>
      </patternFill>
    </fill>
    <fill>
      <patternFill patternType="solid">
        <fgColor rgb="FF558ED5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7E6E6"/>
        <bgColor rgb="FFF2F2F2"/>
      </patternFill>
    </fill>
    <fill>
      <patternFill patternType="solid">
        <fgColor rgb="FF2F5597"/>
        <bgColor rgb="FF315F92"/>
      </patternFill>
    </fill>
    <fill>
      <patternFill patternType="solid">
        <fgColor rgb="FFEDB506"/>
        <bgColor rgb="FFE9B913"/>
      </patternFill>
    </fill>
    <fill>
      <patternFill patternType="solid">
        <fgColor rgb="FF2E75B6"/>
        <bgColor rgb="FF4472C4"/>
      </patternFill>
    </fill>
    <fill>
      <patternFill patternType="solid">
        <fgColor rgb="FF9BBB59"/>
        <bgColor rgb="FF91D04B"/>
      </patternFill>
    </fill>
    <fill>
      <patternFill patternType="solid">
        <fgColor rgb="FFF79646"/>
        <bgColor rgb="FFF09E6F"/>
      </patternFill>
    </fill>
    <fill>
      <patternFill patternType="solid">
        <fgColor rgb="FFF9CFB5"/>
        <bgColor rgb="FFDDD9C3"/>
      </patternFill>
    </fill>
    <fill>
      <patternFill patternType="solid">
        <fgColor rgb="FFDDD9C3"/>
        <bgColor rgb="FFE7E6E6"/>
      </patternFill>
    </fill>
    <fill>
      <patternFill patternType="solid">
        <fgColor rgb="FFE8A202"/>
        <bgColor rgb="FFEDB506"/>
      </patternFill>
    </fill>
    <fill>
      <patternFill patternType="solid">
        <fgColor rgb="FFF09E6F"/>
        <bgColor rgb="FFF79646"/>
      </patternFill>
    </fill>
    <fill>
      <patternFill patternType="solid">
        <fgColor rgb="FFED4C05"/>
        <bgColor rgb="FFFF4000"/>
      </patternFill>
    </fill>
    <fill>
      <patternFill patternType="solid">
        <fgColor rgb="FFE9B913"/>
        <bgColor rgb="FFEDB506"/>
      </patternFill>
    </fill>
    <fill>
      <patternFill patternType="solid">
        <fgColor rgb="FFC254D2"/>
        <bgColor rgb="FFDC85E9"/>
      </patternFill>
    </fill>
    <fill>
      <patternFill patternType="solid">
        <fgColor rgb="FFDC85E9"/>
        <bgColor rgb="FFD99694"/>
      </patternFill>
    </fill>
    <fill>
      <patternFill patternType="solid">
        <fgColor rgb="FFC9C8C2"/>
        <bgColor rgb="FFC7C3A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6F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6">
    <xf numFmtId="0" fontId="0" fillId="0" borderId="0"/>
    <xf numFmtId="166" fontId="30" fillId="0" borderId="0" applyBorder="0" applyProtection="0"/>
    <xf numFmtId="0" fontId="14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1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5" fontId="30" fillId="0" borderId="0" applyBorder="0" applyProtection="0"/>
    <xf numFmtId="164" fontId="30" fillId="0" borderId="0" applyBorder="0" applyProtection="0"/>
    <xf numFmtId="0" fontId="1" fillId="0" borderId="0"/>
    <xf numFmtId="0" fontId="1" fillId="0" borderId="0"/>
    <xf numFmtId="0" fontId="2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1" fillId="0" borderId="0"/>
    <xf numFmtId="0" fontId="30" fillId="0" borderId="0"/>
    <xf numFmtId="0" fontId="1" fillId="0" borderId="0"/>
    <xf numFmtId="0" fontId="1" fillId="0" borderId="0"/>
    <xf numFmtId="9" fontId="30" fillId="0" borderId="0" applyBorder="0" applyProtection="0"/>
    <xf numFmtId="0" fontId="4" fillId="2" borderId="0" applyProtection="0"/>
    <xf numFmtId="0" fontId="5" fillId="3" borderId="0" applyBorder="0" applyProtection="0"/>
    <xf numFmtId="0" fontId="5" fillId="2" borderId="0" applyBorder="0" applyProtection="0"/>
    <xf numFmtId="0" fontId="30" fillId="4" borderId="0" applyBorder="0" applyProtection="0"/>
    <xf numFmtId="0" fontId="5" fillId="4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6" fontId="30" fillId="0" borderId="0" applyBorder="0" applyProtection="0"/>
    <xf numFmtId="167" fontId="30" fillId="0" borderId="0" applyBorder="0" applyProtection="0"/>
    <xf numFmtId="166" fontId="30" fillId="0" borderId="0" applyBorder="0" applyProtection="0"/>
  </cellStyleXfs>
  <cellXfs count="312">
    <xf numFmtId="0" fontId="0" fillId="0" borderId="0" xfId="0"/>
    <xf numFmtId="0" fontId="8" fillId="6" borderId="2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0" fillId="10" borderId="6" xfId="0" applyNumberFormat="1" applyFill="1" applyBorder="1" applyAlignment="1">
      <alignment horizontal="center" vertical="center" wrapText="1"/>
    </xf>
    <xf numFmtId="3" fontId="5" fillId="2" borderId="2" xfId="1" applyNumberFormat="1" applyFont="1" applyFill="1" applyBorder="1" applyAlignment="1" applyProtection="1">
      <alignment horizontal="center" vertical="center" wrapText="1"/>
    </xf>
    <xf numFmtId="3" fontId="5" fillId="0" borderId="2" xfId="1" applyNumberFormat="1" applyFont="1" applyBorder="1" applyAlignment="1" applyProtection="1">
      <alignment horizontal="center" vertical="center" wrapText="1"/>
    </xf>
    <xf numFmtId="3" fontId="5" fillId="11" borderId="2" xfId="1" applyNumberFormat="1" applyFont="1" applyFill="1" applyBorder="1" applyAlignment="1" applyProtection="1">
      <alignment horizontal="right" vertical="center" wrapText="1"/>
    </xf>
    <xf numFmtId="3" fontId="5" fillId="0" borderId="2" xfId="1" applyNumberFormat="1" applyFont="1" applyBorder="1" applyAlignment="1" applyProtection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8" fontId="5" fillId="0" borderId="0" xfId="1" applyNumberFormat="1" applyFont="1" applyBorder="1" applyAlignment="1" applyProtection="1">
      <alignment horizontal="right"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/>
    <xf numFmtId="4" fontId="0" fillId="0" borderId="0" xfId="0" applyNumberFormat="1" applyAlignment="1">
      <alignment vertical="center"/>
    </xf>
    <xf numFmtId="4" fontId="0" fillId="0" borderId="0" xfId="0" applyNumberFormat="1"/>
    <xf numFmtId="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6" fontId="30" fillId="0" borderId="0" xfId="1" applyBorder="1" applyProtection="1"/>
    <xf numFmtId="16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4" fontId="5" fillId="5" borderId="0" xfId="0" applyNumberFormat="1" applyFont="1" applyFill="1" applyAlignment="1">
      <alignment vertical="center"/>
    </xf>
    <xf numFmtId="168" fontId="5" fillId="0" borderId="0" xfId="0" applyNumberFormat="1" applyFont="1" applyAlignment="1">
      <alignment horizontal="right" vertical="center"/>
    </xf>
    <xf numFmtId="4" fontId="5" fillId="2" borderId="0" xfId="0" applyNumberFormat="1" applyFont="1" applyFill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168" fontId="8" fillId="6" borderId="2" xfId="1" applyNumberFormat="1" applyFont="1" applyFill="1" applyBorder="1" applyAlignment="1" applyProtection="1">
      <alignment horizontal="center" vertical="center" wrapText="1"/>
    </xf>
    <xf numFmtId="170" fontId="8" fillId="6" borderId="2" xfId="0" applyNumberFormat="1" applyFont="1" applyFill="1" applyBorder="1" applyAlignment="1">
      <alignment horizontal="center" vertical="center" wrapText="1"/>
    </xf>
    <xf numFmtId="170" fontId="8" fillId="8" borderId="2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horizontal="right" vertical="center"/>
    </xf>
    <xf numFmtId="4" fontId="9" fillId="9" borderId="0" xfId="0" applyNumberFormat="1" applyFont="1" applyFill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9" fontId="5" fillId="0" borderId="2" xfId="1" applyNumberFormat="1" applyFont="1" applyBorder="1" applyAlignment="1" applyProtection="1">
      <alignment vertical="center" wrapText="1" shrinkToFit="1"/>
    </xf>
    <xf numFmtId="169" fontId="5" fillId="0" borderId="2" xfId="1" applyNumberFormat="1" applyFont="1" applyBorder="1" applyAlignment="1" applyProtection="1">
      <alignment horizontal="center" vertical="center" wrapText="1" shrinkToFit="1"/>
    </xf>
    <xf numFmtId="166" fontId="5" fillId="0" borderId="2" xfId="1" applyFont="1" applyBorder="1" applyAlignment="1" applyProtection="1">
      <alignment horizontal="center" vertical="center" wrapText="1"/>
    </xf>
    <xf numFmtId="166" fontId="10" fillId="10" borderId="2" xfId="1" applyFont="1" applyFill="1" applyBorder="1" applyAlignment="1" applyProtection="1">
      <alignment horizontal="center" vertical="center" wrapText="1"/>
    </xf>
    <xf numFmtId="166" fontId="30" fillId="0" borderId="2" xfId="1" applyBorder="1" applyProtection="1"/>
    <xf numFmtId="4" fontId="5" fillId="10" borderId="2" xfId="1" applyNumberFormat="1" applyFont="1" applyFill="1" applyBorder="1" applyAlignment="1" applyProtection="1">
      <alignment horizontal="right" vertical="center" wrapText="1"/>
    </xf>
    <xf numFmtId="168" fontId="5" fillId="10" borderId="2" xfId="1" applyNumberFormat="1" applyFont="1" applyFill="1" applyBorder="1" applyAlignment="1" applyProtection="1">
      <alignment horizontal="right" vertical="center" wrapText="1"/>
    </xf>
    <xf numFmtId="3" fontId="5" fillId="10" borderId="2" xfId="1" applyNumberFormat="1" applyFont="1" applyFill="1" applyBorder="1" applyAlignment="1" applyProtection="1">
      <alignment horizontal="right" vertical="center" wrapText="1"/>
    </xf>
    <xf numFmtId="171" fontId="5" fillId="10" borderId="2" xfId="0" applyNumberFormat="1" applyFont="1" applyFill="1" applyBorder="1" applyAlignment="1">
      <alignment horizontal="right" vertical="center"/>
    </xf>
    <xf numFmtId="4" fontId="5" fillId="12" borderId="2" xfId="1" applyNumberFormat="1" applyFont="1" applyFill="1" applyBorder="1" applyAlignment="1" applyProtection="1">
      <alignment horizontal="right" vertical="center" wrapText="1"/>
    </xf>
    <xf numFmtId="4" fontId="5" fillId="0" borderId="2" xfId="0" applyNumberFormat="1" applyFont="1" applyBorder="1" applyAlignment="1">
      <alignment vertical="center"/>
    </xf>
    <xf numFmtId="4" fontId="0" fillId="10" borderId="0" xfId="0" applyNumberFormat="1" applyFill="1"/>
    <xf numFmtId="4" fontId="11" fillId="0" borderId="0" xfId="0" applyNumberFormat="1" applyFont="1" applyAlignment="1">
      <alignment vertical="center"/>
    </xf>
    <xf numFmtId="166" fontId="5" fillId="10" borderId="2" xfId="1" applyFont="1" applyFill="1" applyBorder="1" applyAlignment="1" applyProtection="1">
      <alignment horizontal="center" vertical="center" wrapText="1"/>
    </xf>
    <xf numFmtId="172" fontId="5" fillId="0" borderId="2" xfId="0" applyNumberFormat="1" applyFont="1" applyBorder="1" applyAlignment="1">
      <alignment horizontal="right" vertical="center" wrapText="1"/>
    </xf>
    <xf numFmtId="4" fontId="5" fillId="0" borderId="2" xfId="1" applyNumberFormat="1" applyFont="1" applyBorder="1" applyAlignment="1" applyProtection="1">
      <alignment horizontal="right" vertical="center" wrapText="1"/>
    </xf>
    <xf numFmtId="4" fontId="5" fillId="0" borderId="0" xfId="0" applyNumberFormat="1" applyFont="1" applyAlignment="1">
      <alignment horizontal="left" vertical="center" wrapText="1"/>
    </xf>
    <xf numFmtId="3" fontId="5" fillId="12" borderId="2" xfId="1" applyNumberFormat="1" applyFont="1" applyFill="1" applyBorder="1" applyAlignment="1" applyProtection="1">
      <alignment horizontal="right" vertical="center" wrapText="1"/>
    </xf>
    <xf numFmtId="4" fontId="5" fillId="10" borderId="0" xfId="0" applyNumberFormat="1" applyFont="1" applyFill="1" applyAlignment="1">
      <alignment vertical="center"/>
    </xf>
    <xf numFmtId="173" fontId="5" fillId="10" borderId="2" xfId="1" applyNumberFormat="1" applyFont="1" applyFill="1" applyBorder="1" applyAlignment="1" applyProtection="1">
      <alignment horizontal="center" vertical="center" wrapText="1"/>
    </xf>
    <xf numFmtId="4" fontId="5" fillId="10" borderId="0" xfId="0" applyNumberFormat="1" applyFont="1" applyFill="1"/>
    <xf numFmtId="169" fontId="5" fillId="0" borderId="2" xfId="1" applyNumberFormat="1" applyFont="1" applyBorder="1" applyAlignment="1" applyProtection="1">
      <alignment horizontal="left" vertical="center" wrapText="1" shrinkToFit="1"/>
    </xf>
    <xf numFmtId="169" fontId="5" fillId="10" borderId="2" xfId="1" applyNumberFormat="1" applyFont="1" applyFill="1" applyBorder="1" applyAlignment="1" applyProtection="1">
      <alignment vertical="center" wrapText="1" shrinkToFit="1"/>
    </xf>
    <xf numFmtId="172" fontId="5" fillId="0" borderId="2" xfId="0" applyNumberFormat="1" applyFont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 wrapText="1" shrinkToFit="1"/>
    </xf>
    <xf numFmtId="0" fontId="5" fillId="10" borderId="2" xfId="0" applyFont="1" applyFill="1" applyBorder="1" applyAlignment="1">
      <alignment horizontal="center" vertical="center" wrapText="1" shrinkToFit="1"/>
    </xf>
    <xf numFmtId="173" fontId="5" fillId="0" borderId="2" xfId="1" applyNumberFormat="1" applyFont="1" applyBorder="1" applyAlignment="1" applyProtection="1">
      <alignment horizontal="center" vertical="center" wrapText="1"/>
    </xf>
    <xf numFmtId="166" fontId="5" fillId="0" borderId="2" xfId="1" applyFont="1" applyBorder="1" applyAlignment="1" applyProtection="1">
      <alignment horizontal="center" vertical="center"/>
    </xf>
    <xf numFmtId="49" fontId="5" fillId="10" borderId="2" xfId="1" applyNumberFormat="1" applyFont="1" applyFill="1" applyBorder="1" applyAlignment="1" applyProtection="1">
      <alignment horizontal="center" vertical="center" wrapText="1"/>
    </xf>
    <xf numFmtId="3" fontId="5" fillId="2" borderId="2" xfId="1" applyNumberFormat="1" applyFont="1" applyFill="1" applyBorder="1" applyAlignment="1" applyProtection="1">
      <alignment horizontal="right" vertical="center" wrapText="1"/>
    </xf>
    <xf numFmtId="0" fontId="5" fillId="4" borderId="2" xfId="0" applyFont="1" applyFill="1" applyBorder="1" applyAlignment="1">
      <alignment horizontal="left" vertical="center" wrapText="1" shrinkToFit="1"/>
    </xf>
    <xf numFmtId="0" fontId="5" fillId="10" borderId="2" xfId="0" applyFont="1" applyFill="1" applyBorder="1" applyAlignment="1">
      <alignment horizontal="center" vertical="center" wrapText="1"/>
    </xf>
    <xf numFmtId="173" fontId="5" fillId="0" borderId="2" xfId="0" applyNumberFormat="1" applyFont="1" applyBorder="1" applyAlignment="1">
      <alignment horizontal="center" vertical="center" wrapText="1"/>
    </xf>
    <xf numFmtId="0" fontId="5" fillId="10" borderId="2" xfId="2" applyFont="1" applyFill="1" applyBorder="1" applyAlignment="1" applyProtection="1">
      <alignment horizontal="center" vertical="center" wrapText="1"/>
    </xf>
    <xf numFmtId="3" fontId="5" fillId="0" borderId="2" xfId="0" applyNumberFormat="1" applyFont="1" applyBorder="1" applyAlignment="1">
      <alignment vertical="center"/>
    </xf>
    <xf numFmtId="166" fontId="5" fillId="10" borderId="2" xfId="1" applyFont="1" applyFill="1" applyBorder="1" applyAlignment="1" applyProtection="1">
      <alignment horizontal="center" vertical="center" wrapText="1" shrinkToFit="1"/>
    </xf>
    <xf numFmtId="0" fontId="11" fillId="10" borderId="2" xfId="0" applyFont="1" applyFill="1" applyBorder="1" applyAlignment="1">
      <alignment horizontal="center" vertical="center" wrapText="1"/>
    </xf>
    <xf numFmtId="173" fontId="5" fillId="10" borderId="2" xfId="0" applyNumberFormat="1" applyFont="1" applyFill="1" applyBorder="1" applyAlignment="1">
      <alignment horizontal="center" vertical="center" wrapText="1"/>
    </xf>
    <xf numFmtId="166" fontId="13" fillId="0" borderId="2" xfId="1" applyFont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left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166" fontId="5" fillId="0" borderId="2" xfId="1" applyFont="1" applyBorder="1" applyAlignment="1" applyProtection="1">
      <alignment horizontal="center" vertical="center" wrapText="1" shrinkToFit="1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68" fontId="5" fillId="0" borderId="2" xfId="1" applyNumberFormat="1" applyFont="1" applyBorder="1" applyAlignment="1" applyProtection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3" fontId="5" fillId="10" borderId="2" xfId="0" applyNumberFormat="1" applyFont="1" applyFill="1" applyBorder="1" applyAlignment="1">
      <alignment horizontal="right" vertical="center" wrapText="1"/>
    </xf>
    <xf numFmtId="0" fontId="5" fillId="0" borderId="2" xfId="2" applyFont="1" applyBorder="1" applyAlignment="1" applyProtection="1">
      <alignment horizontal="center" vertical="center" wrapText="1"/>
    </xf>
    <xf numFmtId="168" fontId="5" fillId="4" borderId="2" xfId="1" applyNumberFormat="1" applyFont="1" applyFill="1" applyBorder="1" applyAlignment="1" applyProtection="1">
      <alignment horizontal="right" vertical="center" wrapText="1"/>
    </xf>
    <xf numFmtId="0" fontId="5" fillId="0" borderId="2" xfId="0" applyFont="1" applyBorder="1" applyAlignment="1">
      <alignment vertical="center" wrapText="1" shrinkToFit="1"/>
    </xf>
    <xf numFmtId="0" fontId="5" fillId="4" borderId="2" xfId="0" applyFont="1" applyFill="1" applyBorder="1" applyAlignment="1">
      <alignment vertical="center" wrapText="1" shrinkToFit="1"/>
    </xf>
    <xf numFmtId="3" fontId="5" fillId="14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 wrapText="1" shrinkToFit="1"/>
    </xf>
    <xf numFmtId="0" fontId="5" fillId="10" borderId="2" xfId="0" applyFont="1" applyFill="1" applyBorder="1" applyAlignment="1">
      <alignment vertical="center" wrapText="1" shrinkToFit="1"/>
    </xf>
    <xf numFmtId="174" fontId="5" fillId="0" borderId="2" xfId="0" applyNumberFormat="1" applyFont="1" applyBorder="1" applyAlignment="1">
      <alignment horizontal="right" vertical="center" wrapText="1"/>
    </xf>
    <xf numFmtId="4" fontId="11" fillId="5" borderId="0" xfId="0" applyNumberFormat="1" applyFont="1" applyFill="1" applyAlignment="1">
      <alignment vertical="center"/>
    </xf>
    <xf numFmtId="0" fontId="11" fillId="0" borderId="2" xfId="0" applyFont="1" applyBorder="1" applyAlignment="1">
      <alignment horizontal="center" vertical="center" wrapText="1" shrinkToFit="1"/>
    </xf>
    <xf numFmtId="166" fontId="11" fillId="10" borderId="2" xfId="1" applyFont="1" applyFill="1" applyBorder="1" applyAlignment="1" applyProtection="1">
      <alignment horizontal="center" vertical="center" wrapText="1" shrinkToFit="1"/>
    </xf>
    <xf numFmtId="4" fontId="0" fillId="0" borderId="0" xfId="0" applyNumberFormat="1" applyAlignment="1">
      <alignment wrapText="1"/>
    </xf>
    <xf numFmtId="0" fontId="11" fillId="4" borderId="2" xfId="0" applyFont="1" applyFill="1" applyBorder="1" applyAlignment="1">
      <alignment vertical="center" wrapText="1" shrinkToFit="1"/>
    </xf>
    <xf numFmtId="1" fontId="5" fillId="10" borderId="2" xfId="1" applyNumberFormat="1" applyFont="1" applyFill="1" applyBorder="1" applyAlignment="1" applyProtection="1">
      <alignment horizontal="center" vertical="center" wrapText="1" shrinkToFit="1"/>
    </xf>
    <xf numFmtId="13" fontId="5" fillId="0" borderId="2" xfId="1" applyNumberFormat="1" applyFont="1" applyBorder="1" applyAlignment="1" applyProtection="1">
      <alignment horizontal="center" vertical="center" wrapText="1"/>
    </xf>
    <xf numFmtId="0" fontId="16" fillId="0" borderId="0" xfId="0" applyFont="1"/>
    <xf numFmtId="4" fontId="5" fillId="4" borderId="0" xfId="0" applyNumberFormat="1" applyFont="1" applyFill="1" applyAlignment="1">
      <alignment vertical="center"/>
    </xf>
    <xf numFmtId="4" fontId="11" fillId="4" borderId="0" xfId="0" applyNumberFormat="1" applyFont="1" applyFill="1" applyAlignment="1">
      <alignment vertical="center"/>
    </xf>
    <xf numFmtId="1" fontId="5" fillId="0" borderId="2" xfId="0" applyNumberFormat="1" applyFont="1" applyBorder="1" applyAlignment="1">
      <alignment horizontal="center" vertical="center" wrapText="1"/>
    </xf>
    <xf numFmtId="175" fontId="5" fillId="12" borderId="2" xfId="1" applyNumberFormat="1" applyFont="1" applyFill="1" applyBorder="1" applyAlignment="1" applyProtection="1">
      <alignment horizontal="right" vertical="center" wrapText="1"/>
    </xf>
    <xf numFmtId="3" fontId="5" fillId="0" borderId="0" xfId="1" applyNumberFormat="1" applyFont="1" applyBorder="1" applyAlignment="1" applyProtection="1">
      <alignment horizontal="right" vertical="center" wrapText="1"/>
    </xf>
    <xf numFmtId="166" fontId="15" fillId="10" borderId="2" xfId="1" applyFont="1" applyFill="1" applyBorder="1" applyAlignment="1" applyProtection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 shrinkToFit="1"/>
    </xf>
    <xf numFmtId="3" fontId="5" fillId="4" borderId="2" xfId="0" applyNumberFormat="1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vertical="center"/>
    </xf>
    <xf numFmtId="3" fontId="5" fillId="0" borderId="2" xfId="1" applyNumberFormat="1" applyFont="1" applyBorder="1" applyAlignment="1" applyProtection="1">
      <alignment vertical="center" wrapText="1"/>
    </xf>
    <xf numFmtId="3" fontId="5" fillId="0" borderId="4" xfId="1" applyNumberFormat="1" applyFont="1" applyBorder="1" applyAlignment="1" applyProtection="1">
      <alignment horizontal="right" vertical="center" wrapText="1"/>
    </xf>
    <xf numFmtId="173" fontId="11" fillId="0" borderId="2" xfId="0" applyNumberFormat="1" applyFont="1" applyBorder="1" applyAlignment="1">
      <alignment horizontal="center" vertical="center" wrapText="1"/>
    </xf>
    <xf numFmtId="3" fontId="5" fillId="12" borderId="5" xfId="1" applyNumberFormat="1" applyFont="1" applyFill="1" applyBorder="1" applyAlignment="1" applyProtection="1">
      <alignment horizontal="right" vertical="center" wrapText="1"/>
    </xf>
    <xf numFmtId="3" fontId="5" fillId="0" borderId="5" xfId="1" applyNumberFormat="1" applyFont="1" applyBorder="1" applyAlignment="1" applyProtection="1">
      <alignment horizontal="right" vertical="center" wrapText="1"/>
    </xf>
    <xf numFmtId="166" fontId="11" fillId="10" borderId="2" xfId="1" applyFont="1" applyFill="1" applyBorder="1" applyAlignment="1" applyProtection="1">
      <alignment horizontal="center" vertical="center" wrapText="1"/>
    </xf>
    <xf numFmtId="168" fontId="5" fillId="0" borderId="2" xfId="1" applyNumberFormat="1" applyFont="1" applyBorder="1" applyAlignment="1" applyProtection="1">
      <alignment vertical="center"/>
    </xf>
    <xf numFmtId="3" fontId="5" fillId="0" borderId="2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right" vertical="center" wrapText="1"/>
    </xf>
    <xf numFmtId="166" fontId="5" fillId="0" borderId="2" xfId="1" applyFont="1" applyBorder="1" applyProtection="1"/>
    <xf numFmtId="166" fontId="11" fillId="0" borderId="2" xfId="1" applyFont="1" applyBorder="1" applyAlignment="1" applyProtection="1">
      <alignment horizontal="center" vertical="center" wrapText="1" shrinkToFit="1"/>
    </xf>
    <xf numFmtId="0" fontId="18" fillId="0" borderId="2" xfId="0" applyFont="1" applyBorder="1" applyAlignment="1">
      <alignment horizontal="left" vertical="center" wrapText="1" shrinkToFit="1"/>
    </xf>
    <xf numFmtId="3" fontId="5" fillId="2" borderId="2" xfId="1" applyNumberFormat="1" applyFont="1" applyFill="1" applyBorder="1" applyAlignment="1" applyProtection="1">
      <alignment vertical="center" wrapText="1"/>
    </xf>
    <xf numFmtId="4" fontId="5" fillId="2" borderId="2" xfId="1" applyNumberFormat="1" applyFont="1" applyFill="1" applyBorder="1" applyAlignment="1" applyProtection="1">
      <alignment horizontal="right" vertical="center" wrapText="1"/>
    </xf>
    <xf numFmtId="0" fontId="11" fillId="15" borderId="2" xfId="0" applyFont="1" applyFill="1" applyBorder="1" applyAlignment="1">
      <alignment vertical="center" wrapText="1" shrinkToFit="1"/>
    </xf>
    <xf numFmtId="0" fontId="11" fillId="15" borderId="2" xfId="0" applyFont="1" applyFill="1" applyBorder="1" applyAlignment="1">
      <alignment horizontal="center" vertical="center" wrapText="1" shrinkToFit="1"/>
    </xf>
    <xf numFmtId="3" fontId="11" fillId="0" borderId="2" xfId="0" applyNumberFormat="1" applyFont="1" applyBorder="1" applyAlignment="1">
      <alignment horizontal="right" vertical="center" wrapText="1"/>
    </xf>
    <xf numFmtId="169" fontId="11" fillId="16" borderId="2" xfId="1" applyNumberFormat="1" applyFont="1" applyFill="1" applyBorder="1" applyAlignment="1" applyProtection="1">
      <alignment vertical="center" wrapText="1"/>
    </xf>
    <xf numFmtId="0" fontId="5" fillId="16" borderId="2" xfId="0" applyFont="1" applyFill="1" applyBorder="1" applyAlignment="1">
      <alignment vertical="center" wrapText="1" shrinkToFit="1"/>
    </xf>
    <xf numFmtId="0" fontId="5" fillId="16" borderId="2" xfId="0" applyFont="1" applyFill="1" applyBorder="1" applyAlignment="1">
      <alignment horizontal="center" vertical="center" wrapText="1" shrinkToFit="1"/>
    </xf>
    <xf numFmtId="166" fontId="5" fillId="16" borderId="2" xfId="1" applyFont="1" applyFill="1" applyBorder="1" applyAlignment="1" applyProtection="1">
      <alignment horizontal="center" vertical="center" wrapText="1"/>
    </xf>
    <xf numFmtId="17" fontId="5" fillId="0" borderId="2" xfId="2" applyNumberFormat="1" applyFont="1" applyBorder="1" applyAlignment="1" applyProtection="1">
      <alignment horizontal="center" vertical="center" wrapText="1"/>
    </xf>
    <xf numFmtId="169" fontId="5" fillId="4" borderId="2" xfId="1" applyNumberFormat="1" applyFont="1" applyFill="1" applyBorder="1" applyAlignment="1" applyProtection="1">
      <alignment vertical="center" wrapText="1"/>
    </xf>
    <xf numFmtId="168" fontId="5" fillId="0" borderId="2" xfId="1" applyNumberFormat="1" applyFont="1" applyBorder="1" applyAlignment="1" applyProtection="1">
      <alignment horizontal="right" vertical="center" wrapText="1" shrinkToFit="1"/>
    </xf>
    <xf numFmtId="0" fontId="11" fillId="0" borderId="0" xfId="0" applyFont="1" applyAlignment="1">
      <alignment vertical="center"/>
    </xf>
    <xf numFmtId="0" fontId="5" fillId="16" borderId="2" xfId="0" applyFont="1" applyFill="1" applyBorder="1" applyAlignment="1">
      <alignment horizontal="left" vertical="center" wrapText="1" shrinkToFit="1"/>
    </xf>
    <xf numFmtId="0" fontId="11" fillId="16" borderId="2" xfId="0" applyFont="1" applyFill="1" applyBorder="1" applyAlignment="1">
      <alignment vertical="center" wrapText="1" shrinkToFit="1"/>
    </xf>
    <xf numFmtId="166" fontId="11" fillId="16" borderId="2" xfId="1" applyFont="1" applyFill="1" applyBorder="1" applyAlignment="1" applyProtection="1">
      <alignment horizontal="center" vertical="center" wrapText="1" shrinkToFit="1"/>
    </xf>
    <xf numFmtId="166" fontId="5" fillId="16" borderId="2" xfId="1" applyFont="1" applyFill="1" applyBorder="1" applyAlignment="1" applyProtection="1">
      <alignment horizontal="center" vertical="center" wrapText="1" shrinkToFit="1"/>
    </xf>
    <xf numFmtId="169" fontId="5" fillId="16" borderId="2" xfId="1" applyNumberFormat="1" applyFont="1" applyFill="1" applyBorder="1" applyAlignment="1" applyProtection="1">
      <alignment vertical="center" wrapText="1"/>
    </xf>
    <xf numFmtId="169" fontId="11" fillId="0" borderId="2" xfId="1" applyNumberFormat="1" applyFont="1" applyBorder="1" applyAlignment="1" applyProtection="1">
      <alignment vertical="center" wrapText="1"/>
    </xf>
    <xf numFmtId="173" fontId="5" fillId="0" borderId="2" xfId="0" applyNumberFormat="1" applyFont="1" applyBorder="1" applyAlignment="1">
      <alignment horizontal="center" vertical="center"/>
    </xf>
    <xf numFmtId="168" fontId="5" fillId="0" borderId="2" xfId="1" applyNumberFormat="1" applyFont="1" applyBorder="1" applyAlignment="1" applyProtection="1">
      <alignment horizontal="right" vertical="center"/>
    </xf>
    <xf numFmtId="4" fontId="0" fillId="4" borderId="0" xfId="0" applyNumberFormat="1" applyFill="1"/>
    <xf numFmtId="0" fontId="5" fillId="19" borderId="2" xfId="0" applyFont="1" applyFill="1" applyBorder="1" applyAlignment="1">
      <alignment vertical="center" wrapText="1" shrinkToFit="1"/>
    </xf>
    <xf numFmtId="0" fontId="18" fillId="4" borderId="2" xfId="0" applyFont="1" applyFill="1" applyBorder="1" applyAlignment="1">
      <alignment vertical="center" wrapText="1" shrinkToFit="1"/>
    </xf>
    <xf numFmtId="3" fontId="5" fillId="0" borderId="2" xfId="1" applyNumberFormat="1" applyFont="1" applyBorder="1" applyAlignment="1" applyProtection="1">
      <alignment horizontal="right" vertical="center"/>
    </xf>
    <xf numFmtId="4" fontId="5" fillId="20" borderId="0" xfId="0" applyNumberFormat="1" applyFont="1" applyFill="1" applyAlignment="1">
      <alignment vertical="center"/>
    </xf>
    <xf numFmtId="0" fontId="5" fillId="21" borderId="2" xfId="0" applyFont="1" applyFill="1" applyBorder="1" applyAlignment="1">
      <alignment vertical="center" wrapText="1" shrinkToFit="1"/>
    </xf>
    <xf numFmtId="166" fontId="10" fillId="0" borderId="2" xfId="1" applyFont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left" vertical="center" wrapText="1"/>
    </xf>
    <xf numFmtId="168" fontId="5" fillId="10" borderId="2" xfId="1" applyNumberFormat="1" applyFont="1" applyFill="1" applyBorder="1" applyAlignment="1" applyProtection="1">
      <alignment horizontal="center" vertical="center" wrapText="1"/>
    </xf>
    <xf numFmtId="166" fontId="15" fillId="4" borderId="2" xfId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left" vertical="center" wrapText="1" shrinkToFit="1"/>
    </xf>
    <xf numFmtId="0" fontId="3" fillId="0" borderId="2" xfId="2" applyFont="1" applyBorder="1" applyAlignment="1" applyProtection="1">
      <alignment horizontal="center" vertical="center" wrapText="1"/>
    </xf>
    <xf numFmtId="169" fontId="5" fillId="0" borderId="2" xfId="1" applyNumberFormat="1" applyFont="1" applyBorder="1" applyAlignment="1" applyProtection="1">
      <alignment vertical="center" wrapText="1"/>
    </xf>
    <xf numFmtId="166" fontId="3" fillId="0" borderId="2" xfId="1" applyFont="1" applyBorder="1" applyAlignment="1" applyProtection="1">
      <alignment horizontal="center" vertical="center" wrapText="1"/>
    </xf>
    <xf numFmtId="166" fontId="5" fillId="0" borderId="2" xfId="1" applyFont="1" applyBorder="1" applyAlignment="1" applyProtection="1">
      <alignment horizontal="justify" vertical="center" wrapText="1"/>
    </xf>
    <xf numFmtId="176" fontId="5" fillId="12" borderId="2" xfId="1" applyNumberFormat="1" applyFont="1" applyFill="1" applyBorder="1" applyAlignment="1" applyProtection="1">
      <alignment horizontal="right" vertical="center" wrapText="1"/>
    </xf>
    <xf numFmtId="169" fontId="5" fillId="10" borderId="2" xfId="1" applyNumberFormat="1" applyFont="1" applyFill="1" applyBorder="1" applyAlignment="1" applyProtection="1">
      <alignment horizontal="center" vertical="center" wrapText="1"/>
    </xf>
    <xf numFmtId="4" fontId="5" fillId="10" borderId="0" xfId="0" applyNumberFormat="1" applyFont="1" applyFill="1" applyAlignment="1">
      <alignment vertical="center" wrapText="1"/>
    </xf>
    <xf numFmtId="0" fontId="5" fillId="10" borderId="2" xfId="1" applyNumberFormat="1" applyFont="1" applyFill="1" applyBorder="1" applyAlignment="1" applyProtection="1">
      <alignment horizontal="center" vertical="center" wrapText="1"/>
    </xf>
    <xf numFmtId="169" fontId="3" fillId="10" borderId="2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68" fontId="5" fillId="0" borderId="0" xfId="1" applyNumberFormat="1" applyFont="1" applyBorder="1" applyAlignment="1" applyProtection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3" fontId="5" fillId="0" borderId="0" xfId="0" applyNumberFormat="1" applyFont="1"/>
    <xf numFmtId="0" fontId="10" fillId="22" borderId="2" xfId="0" applyFont="1" applyFill="1" applyBorder="1" applyAlignment="1">
      <alignment horizontal="left" vertical="center" wrapText="1"/>
    </xf>
    <xf numFmtId="0" fontId="10" fillId="22" borderId="2" xfId="0" applyFont="1" applyFill="1" applyBorder="1" applyAlignment="1">
      <alignment horizontal="center" vertical="center" wrapText="1"/>
    </xf>
    <xf numFmtId="169" fontId="10" fillId="22" borderId="2" xfId="0" applyNumberFormat="1" applyFont="1" applyFill="1" applyBorder="1" applyAlignment="1">
      <alignment horizontal="right" vertical="center" wrapText="1"/>
    </xf>
    <xf numFmtId="168" fontId="10" fillId="22" borderId="2" xfId="0" applyNumberFormat="1" applyFont="1" applyFill="1" applyBorder="1" applyAlignment="1">
      <alignment horizontal="right" vertical="center" wrapText="1"/>
    </xf>
    <xf numFmtId="4" fontId="11" fillId="23" borderId="0" xfId="0" applyNumberFormat="1" applyFont="1" applyFill="1" applyAlignment="1">
      <alignment vertical="center"/>
    </xf>
    <xf numFmtId="4" fontId="10" fillId="22" borderId="2" xfId="0" applyNumberFormat="1" applyFont="1" applyFill="1" applyBorder="1" applyAlignment="1">
      <alignment horizontal="right" vertical="center" wrapText="1"/>
    </xf>
    <xf numFmtId="0" fontId="11" fillId="10" borderId="2" xfId="0" applyFont="1" applyFill="1" applyBorder="1" applyAlignment="1">
      <alignment vertical="center" wrapText="1" shrinkToFit="1"/>
    </xf>
    <xf numFmtId="4" fontId="5" fillId="12" borderId="3" xfId="1" applyNumberFormat="1" applyFont="1" applyFill="1" applyBorder="1" applyAlignment="1" applyProtection="1">
      <alignment horizontal="center" vertical="center" wrapText="1"/>
    </xf>
    <xf numFmtId="3" fontId="5" fillId="0" borderId="3" xfId="1" applyNumberFormat="1" applyFont="1" applyBorder="1" applyAlignment="1" applyProtection="1">
      <alignment horizontal="center" vertical="center" wrapText="1"/>
    </xf>
    <xf numFmtId="3" fontId="5" fillId="0" borderId="3" xfId="1" applyNumberFormat="1" applyFont="1" applyBorder="1" applyAlignment="1" applyProtection="1">
      <alignment horizontal="right" vertical="center" wrapText="1"/>
    </xf>
    <xf numFmtId="0" fontId="8" fillId="22" borderId="2" xfId="0" applyFont="1" applyFill="1" applyBorder="1" applyAlignment="1">
      <alignment horizontal="left" vertical="center" wrapText="1"/>
    </xf>
    <xf numFmtId="0" fontId="8" fillId="22" borderId="2" xfId="0" applyFont="1" applyFill="1" applyBorder="1" applyAlignment="1">
      <alignment horizontal="center" vertical="center" wrapText="1"/>
    </xf>
    <xf numFmtId="169" fontId="8" fillId="22" borderId="2" xfId="0" applyNumberFormat="1" applyFont="1" applyFill="1" applyBorder="1" applyAlignment="1">
      <alignment horizontal="right" vertical="center" wrapText="1"/>
    </xf>
    <xf numFmtId="177" fontId="8" fillId="22" borderId="2" xfId="0" applyNumberFormat="1" applyFont="1" applyFill="1" applyBorder="1" applyAlignment="1">
      <alignment horizontal="right" vertical="center" wrapText="1"/>
    </xf>
    <xf numFmtId="0" fontId="18" fillId="0" borderId="2" xfId="0" applyFont="1" applyBorder="1" applyAlignment="1">
      <alignment vertical="center" wrapText="1" shrinkToFit="1"/>
    </xf>
    <xf numFmtId="0" fontId="10" fillId="24" borderId="2" xfId="0" applyFont="1" applyFill="1" applyBorder="1" applyAlignment="1">
      <alignment horizontal="center" vertical="center" wrapText="1"/>
    </xf>
    <xf numFmtId="168" fontId="10" fillId="24" borderId="2" xfId="1" applyNumberFormat="1" applyFont="1" applyFill="1" applyBorder="1" applyAlignment="1" applyProtection="1">
      <alignment horizontal="center" vertical="center" wrapText="1"/>
    </xf>
    <xf numFmtId="170" fontId="10" fillId="24" borderId="2" xfId="0" applyNumberFormat="1" applyFont="1" applyFill="1" applyBorder="1" applyAlignment="1">
      <alignment horizontal="center" vertical="center" wrapText="1"/>
    </xf>
    <xf numFmtId="0" fontId="10" fillId="24" borderId="2" xfId="0" applyFont="1" applyFill="1" applyBorder="1" applyAlignment="1">
      <alignment horizontal="left" vertical="center" wrapText="1"/>
    </xf>
    <xf numFmtId="169" fontId="10" fillId="24" borderId="2" xfId="0" applyNumberFormat="1" applyFont="1" applyFill="1" applyBorder="1" applyAlignment="1">
      <alignment horizontal="right" vertical="center" wrapText="1"/>
    </xf>
    <xf numFmtId="168" fontId="10" fillId="24" borderId="2" xfId="0" applyNumberFormat="1" applyFont="1" applyFill="1" applyBorder="1" applyAlignment="1">
      <alignment horizontal="right" vertical="center" wrapText="1"/>
    </xf>
    <xf numFmtId="4" fontId="10" fillId="24" borderId="2" xfId="0" applyNumberFormat="1" applyFont="1" applyFill="1" applyBorder="1" applyAlignment="1">
      <alignment horizontal="right" vertical="center" wrapText="1"/>
    </xf>
    <xf numFmtId="177" fontId="10" fillId="22" borderId="2" xfId="0" applyNumberFormat="1" applyFont="1" applyFill="1" applyBorder="1" applyAlignment="1">
      <alignment horizontal="right" vertical="center" wrapText="1"/>
    </xf>
    <xf numFmtId="166" fontId="30" fillId="0" borderId="2" xfId="1" applyBorder="1" applyAlignment="1" applyProtection="1">
      <alignment vertical="center"/>
    </xf>
    <xf numFmtId="0" fontId="8" fillId="25" borderId="2" xfId="0" applyFont="1" applyFill="1" applyBorder="1" applyAlignment="1">
      <alignment horizontal="left" vertical="center" wrapText="1"/>
    </xf>
    <xf numFmtId="0" fontId="8" fillId="25" borderId="2" xfId="0" applyFont="1" applyFill="1" applyBorder="1" applyAlignment="1">
      <alignment horizontal="center" vertical="center" wrapText="1"/>
    </xf>
    <xf numFmtId="4" fontId="8" fillId="25" borderId="2" xfId="0" applyNumberFormat="1" applyFont="1" applyFill="1" applyBorder="1" applyAlignment="1">
      <alignment horizontal="right" vertical="center" wrapText="1"/>
    </xf>
    <xf numFmtId="166" fontId="11" fillId="0" borderId="2" xfId="1" applyFont="1" applyBorder="1" applyAlignment="1" applyProtection="1">
      <alignment horizontal="center" vertical="center" wrapText="1"/>
    </xf>
    <xf numFmtId="4" fontId="30" fillId="0" borderId="2" xfId="1" applyNumberFormat="1" applyBorder="1" applyAlignment="1" applyProtection="1">
      <alignment vertical="center"/>
    </xf>
    <xf numFmtId="0" fontId="3" fillId="0" borderId="2" xfId="0" applyFont="1" applyBorder="1" applyAlignment="1">
      <alignment horizontal="center" vertical="center" wrapText="1" shrinkToFit="1"/>
    </xf>
    <xf numFmtId="166" fontId="5" fillId="26" borderId="2" xfId="1" applyFont="1" applyFill="1" applyBorder="1" applyAlignment="1" applyProtection="1">
      <alignment horizontal="center" vertical="center" wrapText="1"/>
    </xf>
    <xf numFmtId="170" fontId="8" fillId="6" borderId="7" xfId="0" applyNumberFormat="1" applyFont="1" applyFill="1" applyBorder="1" applyAlignment="1">
      <alignment horizontal="center" vertical="center" wrapText="1"/>
    </xf>
    <xf numFmtId="3" fontId="5" fillId="10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169" fontId="5" fillId="0" borderId="2" xfId="1" applyNumberFormat="1" applyFont="1" applyBorder="1" applyAlignment="1" applyProtection="1">
      <alignment horizontal="center" vertical="center" wrapText="1"/>
    </xf>
    <xf numFmtId="168" fontId="8" fillId="22" borderId="2" xfId="0" applyNumberFormat="1" applyFont="1" applyFill="1" applyBorder="1" applyAlignment="1">
      <alignment horizontal="right" vertical="center" wrapText="1"/>
    </xf>
    <xf numFmtId="168" fontId="8" fillId="27" borderId="2" xfId="1" applyNumberFormat="1" applyFont="1" applyFill="1" applyBorder="1" applyAlignment="1" applyProtection="1">
      <alignment horizontal="center" vertical="center" wrapText="1"/>
    </xf>
    <xf numFmtId="170" fontId="8" fillId="27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/>
    <xf numFmtId="4" fontId="0" fillId="0" borderId="2" xfId="0" applyNumberFormat="1" applyBorder="1" applyAlignment="1">
      <alignment vertical="center"/>
    </xf>
    <xf numFmtId="4" fontId="8" fillId="27" borderId="2" xfId="0" applyNumberFormat="1" applyFont="1" applyFill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4" fontId="22" fillId="0" borderId="0" xfId="0" applyNumberFormat="1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9" fillId="9" borderId="2" xfId="0" applyNumberFormat="1" applyFont="1" applyFill="1" applyBorder="1" applyAlignment="1">
      <alignment horizontal="right" vertical="center" wrapText="1"/>
    </xf>
    <xf numFmtId="4" fontId="11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4" fontId="5" fillId="20" borderId="2" xfId="0" applyNumberFormat="1" applyFont="1" applyFill="1" applyBorder="1" applyAlignment="1">
      <alignment vertical="center"/>
    </xf>
    <xf numFmtId="4" fontId="5" fillId="0" borderId="2" xfId="0" applyNumberFormat="1" applyFont="1" applyBorder="1" applyAlignment="1">
      <alignment horizontal="right" vertical="center"/>
    </xf>
    <xf numFmtId="4" fontId="11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4" fontId="5" fillId="0" borderId="3" xfId="0" applyNumberFormat="1" applyFont="1" applyBorder="1" applyAlignment="1">
      <alignment horizontal="right" vertical="center"/>
    </xf>
    <xf numFmtId="0" fontId="23" fillId="0" borderId="0" xfId="0" applyFont="1"/>
    <xf numFmtId="10" fontId="23" fillId="0" borderId="0" xfId="0" applyNumberFormat="1" applyFont="1"/>
    <xf numFmtId="0" fontId="24" fillId="28" borderId="8" xfId="0" applyFont="1" applyFill="1" applyBorder="1" applyAlignment="1">
      <alignment wrapText="1"/>
    </xf>
    <xf numFmtId="0" fontId="24" fillId="31" borderId="10" xfId="0" applyFont="1" applyFill="1" applyBorder="1"/>
    <xf numFmtId="0" fontId="26" fillId="31" borderId="11" xfId="0" applyFont="1" applyFill="1" applyBorder="1" applyAlignment="1">
      <alignment wrapText="1"/>
    </xf>
    <xf numFmtId="0" fontId="27" fillId="0" borderId="10" xfId="0" applyFont="1" applyBorder="1"/>
    <xf numFmtId="178" fontId="28" fillId="4" borderId="12" xfId="0" applyNumberFormat="1" applyFont="1" applyFill="1" applyBorder="1"/>
    <xf numFmtId="178" fontId="28" fillId="4" borderId="11" xfId="0" applyNumberFormat="1" applyFont="1" applyFill="1" applyBorder="1"/>
    <xf numFmtId="178" fontId="28" fillId="10" borderId="11" xfId="0" applyNumberFormat="1" applyFont="1" applyFill="1" applyBorder="1"/>
    <xf numFmtId="178" fontId="28" fillId="32" borderId="11" xfId="0" applyNumberFormat="1" applyFont="1" applyFill="1" applyBorder="1"/>
    <xf numFmtId="178" fontId="28" fillId="33" borderId="9" xfId="0" applyNumberFormat="1" applyFont="1" applyFill="1" applyBorder="1"/>
    <xf numFmtId="178" fontId="28" fillId="33" borderId="11" xfId="0" applyNumberFormat="1" applyFont="1" applyFill="1" applyBorder="1"/>
    <xf numFmtId="178" fontId="29" fillId="21" borderId="0" xfId="0" applyNumberFormat="1" applyFont="1" applyFill="1"/>
    <xf numFmtId="178" fontId="28" fillId="21" borderId="13" xfId="0" applyNumberFormat="1" applyFont="1" applyFill="1" applyBorder="1"/>
    <xf numFmtId="178" fontId="28" fillId="21" borderId="11" xfId="0" applyNumberFormat="1" applyFont="1" applyFill="1" applyBorder="1"/>
    <xf numFmtId="178" fontId="29" fillId="34" borderId="0" xfId="0" applyNumberFormat="1" applyFont="1" applyFill="1"/>
    <xf numFmtId="178" fontId="28" fillId="34" borderId="13" xfId="0" applyNumberFormat="1" applyFont="1" applyFill="1" applyBorder="1"/>
    <xf numFmtId="178" fontId="28" fillId="34" borderId="11" xfId="0" applyNumberFormat="1" applyFont="1" applyFill="1" applyBorder="1"/>
    <xf numFmtId="178" fontId="28" fillId="32" borderId="9" xfId="0" applyNumberFormat="1" applyFont="1" applyFill="1" applyBorder="1"/>
    <xf numFmtId="178" fontId="28" fillId="35" borderId="11" xfId="0" applyNumberFormat="1" applyFont="1" applyFill="1" applyBorder="1"/>
    <xf numFmtId="178" fontId="28" fillId="36" borderId="11" xfId="0" applyNumberFormat="1" applyFont="1" applyFill="1" applyBorder="1"/>
    <xf numFmtId="178" fontId="28" fillId="37" borderId="11" xfId="0" applyNumberFormat="1" applyFont="1" applyFill="1" applyBorder="1"/>
    <xf numFmtId="0" fontId="24" fillId="0" borderId="14" xfId="0" applyFont="1" applyBorder="1"/>
    <xf numFmtId="178" fontId="26" fillId="29" borderId="11" xfId="0" applyNumberFormat="1" applyFont="1" applyFill="1" applyBorder="1"/>
    <xf numFmtId="178" fontId="26" fillId="30" borderId="11" xfId="0" applyNumberFormat="1" applyFont="1" applyFill="1" applyBorder="1"/>
    <xf numFmtId="178" fontId="28" fillId="30" borderId="11" xfId="0" applyNumberFormat="1" applyFont="1" applyFill="1" applyBorder="1"/>
    <xf numFmtId="178" fontId="23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38" borderId="2" xfId="0" applyFill="1" applyBorder="1" applyAlignment="1">
      <alignment horizontal="center" vertical="center"/>
    </xf>
    <xf numFmtId="49" fontId="0" fillId="38" borderId="2" xfId="0" applyNumberFormat="1" applyFill="1" applyBorder="1" applyAlignment="1">
      <alignment horizontal="center" vertical="center" wrapText="1"/>
    </xf>
    <xf numFmtId="0" fontId="0" fillId="0" borderId="2" xfId="0" applyBorder="1"/>
    <xf numFmtId="4" fontId="0" fillId="0" borderId="2" xfId="0" applyNumberFormat="1" applyBorder="1"/>
    <xf numFmtId="0" fontId="9" fillId="38" borderId="2" xfId="0" applyFont="1" applyFill="1" applyBorder="1" applyAlignment="1">
      <alignment horizontal="center"/>
    </xf>
    <xf numFmtId="4" fontId="9" fillId="38" borderId="2" xfId="0" applyNumberFormat="1" applyFont="1" applyFill="1" applyBorder="1"/>
    <xf numFmtId="2" fontId="0" fillId="0" borderId="2" xfId="0" applyNumberFormat="1" applyBorder="1"/>
    <xf numFmtId="0" fontId="31" fillId="4" borderId="2" xfId="0" applyFont="1" applyFill="1" applyBorder="1" applyAlignment="1">
      <alignment vertical="center" wrapText="1" shrinkToFit="1"/>
    </xf>
    <xf numFmtId="3" fontId="33" fillId="10" borderId="2" xfId="1" applyNumberFormat="1" applyFont="1" applyFill="1" applyBorder="1" applyAlignment="1" applyProtection="1">
      <alignment horizontal="right" vertical="center" wrapText="1"/>
    </xf>
    <xf numFmtId="171" fontId="33" fillId="0" borderId="2" xfId="0" applyNumberFormat="1" applyFont="1" applyBorder="1" applyAlignment="1">
      <alignment horizontal="right" vertical="center"/>
    </xf>
    <xf numFmtId="172" fontId="33" fillId="0" borderId="2" xfId="0" applyNumberFormat="1" applyFont="1" applyBorder="1" applyAlignment="1">
      <alignment horizontal="right" vertical="center" wrapText="1"/>
    </xf>
    <xf numFmtId="3" fontId="33" fillId="0" borderId="2" xfId="0" applyNumberFormat="1" applyFont="1" applyBorder="1" applyAlignment="1">
      <alignment horizontal="right" vertical="center" wrapText="1"/>
    </xf>
    <xf numFmtId="3" fontId="33" fillId="0" borderId="2" xfId="1" applyNumberFormat="1" applyFont="1" applyBorder="1" applyAlignment="1" applyProtection="1">
      <alignment horizontal="right" vertical="center" wrapText="1"/>
    </xf>
    <xf numFmtId="171" fontId="33" fillId="10" borderId="2" xfId="0" applyNumberFormat="1" applyFont="1" applyFill="1" applyBorder="1" applyAlignment="1">
      <alignment horizontal="right" vertical="center"/>
    </xf>
    <xf numFmtId="172" fontId="33" fillId="0" borderId="2" xfId="0" applyNumberFormat="1" applyFont="1" applyBorder="1" applyAlignment="1">
      <alignment horizontal="right" vertical="center"/>
    </xf>
    <xf numFmtId="3" fontId="33" fillId="10" borderId="2" xfId="0" applyNumberFormat="1" applyFont="1" applyFill="1" applyBorder="1" applyAlignment="1">
      <alignment horizontal="right" vertical="center" wrapText="1"/>
    </xf>
    <xf numFmtId="3" fontId="33" fillId="13" borderId="2" xfId="0" applyNumberFormat="1" applyFont="1" applyFill="1" applyBorder="1" applyAlignment="1">
      <alignment horizontal="right" vertical="center" wrapText="1"/>
    </xf>
    <xf numFmtId="174" fontId="33" fillId="0" borderId="2" xfId="0" applyNumberFormat="1" applyFont="1" applyBorder="1" applyAlignment="1">
      <alignment horizontal="right" vertical="center" wrapText="1"/>
    </xf>
    <xf numFmtId="3" fontId="33" fillId="2" borderId="2" xfId="1" applyNumberFormat="1" applyFont="1" applyFill="1" applyBorder="1" applyAlignment="1" applyProtection="1">
      <alignment horizontal="right" vertical="center" wrapText="1"/>
    </xf>
    <xf numFmtId="3" fontId="33" fillId="2" borderId="2" xfId="0" applyNumberFormat="1" applyFont="1" applyFill="1" applyBorder="1" applyAlignment="1">
      <alignment horizontal="right" vertical="center" wrapText="1"/>
    </xf>
    <xf numFmtId="3" fontId="33" fillId="0" borderId="2" xfId="0" applyNumberFormat="1" applyFont="1" applyBorder="1" applyAlignment="1">
      <alignment vertical="center" wrapText="1"/>
    </xf>
    <xf numFmtId="4" fontId="33" fillId="0" borderId="2" xfId="0" applyNumberFormat="1" applyFont="1" applyBorder="1" applyAlignment="1">
      <alignment horizontal="right" vertical="center" wrapText="1"/>
    </xf>
    <xf numFmtId="3" fontId="34" fillId="0" borderId="2" xfId="0" applyNumberFormat="1" applyFont="1" applyBorder="1" applyAlignment="1">
      <alignment horizontal="right" vertical="center" wrapText="1"/>
    </xf>
    <xf numFmtId="171" fontId="33" fillId="39" borderId="2" xfId="0" applyNumberFormat="1" applyFont="1" applyFill="1" applyBorder="1" applyAlignment="1">
      <alignment horizontal="right" vertical="center"/>
    </xf>
    <xf numFmtId="0" fontId="5" fillId="0" borderId="2" xfId="1" applyNumberFormat="1" applyFont="1" applyBorder="1" applyAlignment="1" applyProtection="1">
      <alignment horizontal="center" vertical="center" wrapText="1"/>
    </xf>
    <xf numFmtId="0" fontId="33" fillId="0" borderId="2" xfId="0" applyFont="1" applyBorder="1" applyAlignment="1">
      <alignment horizontal="left" vertical="center" wrapText="1" shrinkToFit="1"/>
    </xf>
    <xf numFmtId="171" fontId="33" fillId="40" borderId="2" xfId="0" applyNumberFormat="1" applyFont="1" applyFill="1" applyBorder="1" applyAlignment="1">
      <alignment horizontal="right" vertical="center"/>
    </xf>
    <xf numFmtId="3" fontId="33" fillId="40" borderId="2" xfId="1" applyNumberFormat="1" applyFont="1" applyFill="1" applyBorder="1" applyAlignment="1" applyProtection="1">
      <alignment horizontal="right" vertical="center" wrapText="1"/>
    </xf>
    <xf numFmtId="3" fontId="33" fillId="40" borderId="2" xfId="0" applyNumberFormat="1" applyFont="1" applyFill="1" applyBorder="1" applyAlignment="1">
      <alignment horizontal="right" vertical="center" wrapText="1"/>
    </xf>
    <xf numFmtId="3" fontId="33" fillId="41" borderId="2" xfId="0" applyNumberFormat="1" applyFont="1" applyFill="1" applyBorder="1" applyAlignment="1">
      <alignment horizontal="right" vertical="center" wrapText="1"/>
    </xf>
    <xf numFmtId="4" fontId="35" fillId="0" borderId="0" xfId="0" applyNumberFormat="1" applyFont="1"/>
    <xf numFmtId="4" fontId="5" fillId="0" borderId="0" xfId="0" applyNumberFormat="1" applyFont="1" applyAlignment="1">
      <alignment horizontal="center" vertical="center"/>
    </xf>
    <xf numFmtId="3" fontId="5" fillId="17" borderId="2" xfId="1" applyNumberFormat="1" applyFont="1" applyFill="1" applyBorder="1" applyAlignment="1" applyProtection="1">
      <alignment horizontal="center" vertical="center" wrapText="1"/>
    </xf>
    <xf numFmtId="3" fontId="5" fillId="18" borderId="2" xfId="1" applyNumberFormat="1" applyFont="1" applyFill="1" applyBorder="1" applyAlignment="1" applyProtection="1">
      <alignment horizontal="center" vertical="center" wrapText="1"/>
    </xf>
    <xf numFmtId="4" fontId="5" fillId="12" borderId="2" xfId="1" applyNumberFormat="1" applyFont="1" applyFill="1" applyBorder="1" applyAlignment="1" applyProtection="1">
      <alignment horizontal="center" vertical="center" wrapText="1"/>
    </xf>
    <xf numFmtId="3" fontId="5" fillId="18" borderId="2" xfId="1" applyNumberFormat="1" applyFont="1" applyFill="1" applyBorder="1" applyAlignment="1" applyProtection="1">
      <alignment horizontal="right" vertical="center" wrapText="1"/>
    </xf>
    <xf numFmtId="3" fontId="5" fillId="0" borderId="2" xfId="1" applyNumberFormat="1" applyFont="1" applyBorder="1" applyAlignment="1" applyProtection="1">
      <alignment horizontal="right" vertical="center" wrapText="1"/>
    </xf>
    <xf numFmtId="3" fontId="5" fillId="11" borderId="2" xfId="1" applyNumberFormat="1" applyFont="1" applyFill="1" applyBorder="1" applyAlignment="1" applyProtection="1">
      <alignment horizontal="right" vertical="center" wrapText="1"/>
    </xf>
    <xf numFmtId="3" fontId="5" fillId="0" borderId="2" xfId="1" applyNumberFormat="1" applyFont="1" applyBorder="1" applyAlignment="1" applyProtection="1">
      <alignment horizontal="center" vertical="center" wrapText="1"/>
    </xf>
    <xf numFmtId="3" fontId="5" fillId="2" borderId="2" xfId="1" applyNumberFormat="1" applyFont="1" applyFill="1" applyBorder="1" applyAlignment="1" applyProtection="1">
      <alignment horizontal="center" vertical="center" wrapText="1"/>
    </xf>
    <xf numFmtId="3" fontId="5" fillId="17" borderId="2" xfId="1" applyNumberFormat="1" applyFont="1" applyFill="1" applyBorder="1" applyAlignment="1" applyProtection="1">
      <alignment horizontal="center" vertical="center" wrapText="1"/>
    </xf>
    <xf numFmtId="3" fontId="5" fillId="18" borderId="2" xfId="1" applyNumberFormat="1" applyFont="1" applyFill="1" applyBorder="1" applyAlignment="1" applyProtection="1">
      <alignment horizontal="center" vertical="center" wrapText="1"/>
    </xf>
    <xf numFmtId="4" fontId="5" fillId="12" borderId="2" xfId="1" applyNumberFormat="1" applyFont="1" applyFill="1" applyBorder="1" applyAlignment="1" applyProtection="1">
      <alignment horizontal="center" vertical="center" wrapText="1"/>
    </xf>
    <xf numFmtId="3" fontId="5" fillId="18" borderId="2" xfId="1" applyNumberFormat="1" applyFont="1" applyFill="1" applyBorder="1" applyAlignment="1" applyProtection="1">
      <alignment horizontal="right" vertical="center" wrapText="1"/>
    </xf>
    <xf numFmtId="4" fontId="5" fillId="0" borderId="0" xfId="0" applyNumberFormat="1" applyFont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4" fontId="5" fillId="12" borderId="3" xfId="1" applyNumberFormat="1" applyFont="1" applyFill="1" applyBorder="1" applyAlignment="1" applyProtection="1">
      <alignment horizontal="center" vertical="center" wrapText="1"/>
    </xf>
    <xf numFmtId="4" fontId="5" fillId="12" borderId="5" xfId="1" applyNumberFormat="1" applyFont="1" applyFill="1" applyBorder="1" applyAlignment="1" applyProtection="1">
      <alignment horizontal="center" vertical="center" wrapText="1"/>
    </xf>
    <xf numFmtId="4" fontId="0" fillId="10" borderId="6" xfId="0" applyNumberFormat="1" applyFill="1" applyBorder="1" applyAlignment="1">
      <alignment horizontal="center" vertical="center" wrapText="1"/>
    </xf>
    <xf numFmtId="3" fontId="33" fillId="0" borderId="2" xfId="0" applyNumberFormat="1" applyFont="1" applyBorder="1" applyAlignment="1">
      <alignment horizontal="right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5" fillId="29" borderId="9" xfId="0" applyFont="1" applyFill="1" applyBorder="1" applyAlignment="1">
      <alignment wrapText="1"/>
    </xf>
    <xf numFmtId="0" fontId="25" fillId="30" borderId="9" xfId="0" applyFont="1" applyFill="1" applyBorder="1" applyAlignment="1">
      <alignment wrapText="1"/>
    </xf>
  </cellXfs>
  <cellStyles count="46">
    <cellStyle name="Currency 2" xfId="3" xr:uid="{00000000-0005-0000-0000-000006000000}"/>
    <cellStyle name="Hiperlink" xfId="2" builtinId="8"/>
    <cellStyle name="Moeda 2" xfId="4" xr:uid="{00000000-0005-0000-0000-000007000000}"/>
    <cellStyle name="Moeda 2 2" xfId="5" xr:uid="{00000000-0005-0000-0000-000008000000}"/>
    <cellStyle name="Moeda 2 3" xfId="6" xr:uid="{00000000-0005-0000-0000-000009000000}"/>
    <cellStyle name="Moeda 2 3 2" xfId="7" xr:uid="{00000000-0005-0000-0000-00000A000000}"/>
    <cellStyle name="Moeda 2 3 3" xfId="8" xr:uid="{00000000-0005-0000-0000-00000B000000}"/>
    <cellStyle name="Moeda 3" xfId="9" xr:uid="{00000000-0005-0000-0000-00000C000000}"/>
    <cellStyle name="Moeda 4" xfId="10" xr:uid="{00000000-0005-0000-0000-00000D000000}"/>
    <cellStyle name="Normal" xfId="0" builtinId="0"/>
    <cellStyle name="Normal 10" xfId="11" xr:uid="{00000000-0005-0000-0000-00000E000000}"/>
    <cellStyle name="Normal 11" xfId="12" xr:uid="{00000000-0005-0000-0000-00000F000000}"/>
    <cellStyle name="Normal 12" xfId="13" xr:uid="{00000000-0005-0000-0000-000010000000}"/>
    <cellStyle name="Normal 13" xfId="14" xr:uid="{00000000-0005-0000-0000-000011000000}"/>
    <cellStyle name="Normal 2" xfId="15" xr:uid="{00000000-0005-0000-0000-000012000000}"/>
    <cellStyle name="Normal 2 2" xfId="16" xr:uid="{00000000-0005-0000-0000-000013000000}"/>
    <cellStyle name="Normal 2 2 2" xfId="17" xr:uid="{00000000-0005-0000-0000-000014000000}"/>
    <cellStyle name="Normal 2 3" xfId="18" xr:uid="{00000000-0005-0000-0000-000015000000}"/>
    <cellStyle name="Normal 2_04_Tabelas_OPI_2011_Aprovadas" xfId="19" xr:uid="{00000000-0005-0000-0000-000016000000}"/>
    <cellStyle name="Normal 3" xfId="20" xr:uid="{00000000-0005-0000-0000-000017000000}"/>
    <cellStyle name="Normal 3 2" xfId="21" xr:uid="{00000000-0005-0000-0000-000018000000}"/>
    <cellStyle name="Normal 4" xfId="22" xr:uid="{00000000-0005-0000-0000-000019000000}"/>
    <cellStyle name="Normal 5" xfId="23" xr:uid="{00000000-0005-0000-0000-00001A000000}"/>
    <cellStyle name="Normal 6" xfId="24" xr:uid="{00000000-0005-0000-0000-00001B000000}"/>
    <cellStyle name="Normal 7" xfId="25" xr:uid="{00000000-0005-0000-0000-00001C000000}"/>
    <cellStyle name="Normal 7 2" xfId="26" xr:uid="{00000000-0005-0000-0000-00001D000000}"/>
    <cellStyle name="Normal 8" xfId="27" xr:uid="{00000000-0005-0000-0000-00001E000000}"/>
    <cellStyle name="Normal 9" xfId="28" xr:uid="{00000000-0005-0000-0000-00001F000000}"/>
    <cellStyle name="Porcentagem 2" xfId="29" xr:uid="{00000000-0005-0000-0000-000020000000}"/>
    <cellStyle name="Sem título1" xfId="30" xr:uid="{00000000-0005-0000-0000-000021000000}"/>
    <cellStyle name="Sem título2" xfId="31" xr:uid="{00000000-0005-0000-0000-000022000000}"/>
    <cellStyle name="Sem título3" xfId="32" xr:uid="{00000000-0005-0000-0000-000023000000}"/>
    <cellStyle name="Sem título4" xfId="33" xr:uid="{00000000-0005-0000-0000-000024000000}"/>
    <cellStyle name="Sem título5" xfId="34" xr:uid="{00000000-0005-0000-0000-000025000000}"/>
    <cellStyle name="Separador de milhares [0] 2" xfId="44" xr:uid="{00000000-0005-0000-0000-00002F000000}"/>
    <cellStyle name="Separador de milhares 2" xfId="35" xr:uid="{00000000-0005-0000-0000-000026000000}"/>
    <cellStyle name="Separador de milhares 2 2" xfId="36" xr:uid="{00000000-0005-0000-0000-000027000000}"/>
    <cellStyle name="Separador de milhares 3" xfId="37" xr:uid="{00000000-0005-0000-0000-000028000000}"/>
    <cellStyle name="Separador de milhares 3 2" xfId="38" xr:uid="{00000000-0005-0000-0000-000029000000}"/>
    <cellStyle name="Separador de milhares 4" xfId="39" xr:uid="{00000000-0005-0000-0000-00002A000000}"/>
    <cellStyle name="Separador de milhares 5" xfId="40" xr:uid="{00000000-0005-0000-0000-00002B000000}"/>
    <cellStyle name="Separador de milhares 6" xfId="41" xr:uid="{00000000-0005-0000-0000-00002C000000}"/>
    <cellStyle name="Separador de milhares 7" xfId="42" xr:uid="{00000000-0005-0000-0000-00002D000000}"/>
    <cellStyle name="Separador de milhares 8" xfId="43" xr:uid="{00000000-0005-0000-0000-00002E000000}"/>
    <cellStyle name="Vírgula" xfId="1" builtinId="3"/>
    <cellStyle name="Vírgula 2" xfId="45" xr:uid="{00000000-0005-0000-0000-000030000000}"/>
  </cellStyles>
  <dxfs count="80"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A933"/>
      <rgbColor rgb="FF000080"/>
      <rgbColor rgb="FFF79646"/>
      <rgbColor rgb="FF800080"/>
      <rgbColor rgb="FF2E75B6"/>
      <rgbColor rgb="FFC7C3AD"/>
      <rgbColor rgb="FF558ED5"/>
      <rgbColor rgb="FF8FAADC"/>
      <rgbColor rgb="FF7030A0"/>
      <rgbColor rgb="FFF2F2F2"/>
      <rgbColor rgb="FFE7E6E6"/>
      <rgbColor rgb="FF660066"/>
      <rgbColor rgb="FFF09E6F"/>
      <rgbColor rgb="FF006FC0"/>
      <rgbColor rgb="FFBDD7EE"/>
      <rgbColor rgb="FF000080"/>
      <rgbColor rgb="FFFF00FF"/>
      <rgbColor rgb="FFE9B913"/>
      <rgbColor rgb="FF00FFFF"/>
      <rgbColor rgb="FF800080"/>
      <rgbColor rgb="FFFF4000"/>
      <rgbColor rgb="FF008080"/>
      <rgbColor rgb="FF0000FF"/>
      <rgbColor rgb="FF00B0F0"/>
      <rgbColor rgb="FFC9C8C2"/>
      <rgbColor rgb="FFDDD9C3"/>
      <rgbColor rgb="FFFFFFA6"/>
      <rgbColor rgb="FF93CDDD"/>
      <rgbColor rgb="FFD99694"/>
      <rgbColor rgb="FFDC85E9"/>
      <rgbColor rgb="FFF9CFB5"/>
      <rgbColor rgb="FF4472C4"/>
      <rgbColor rgb="FFEDB506"/>
      <rgbColor rgb="FF91D04B"/>
      <rgbColor rgb="FFFFC000"/>
      <rgbColor rgb="FFE8A202"/>
      <rgbColor rgb="FFED4C05"/>
      <rgbColor rgb="FF315F92"/>
      <rgbColor rgb="FF9BBB59"/>
      <rgbColor rgb="FF111C37"/>
      <rgbColor rgb="FF00B050"/>
      <rgbColor rgb="FF003300"/>
      <rgbColor rgb="FF333300"/>
      <rgbColor rgb="FFC9211E"/>
      <rgbColor rgb="FFC254D2"/>
      <rgbColor rgb="FF2F5597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49680</xdr:rowOff>
    </xdr:from>
    <xdr:to>
      <xdr:col>3</xdr:col>
      <xdr:colOff>535320</xdr:colOff>
      <xdr:row>0</xdr:row>
      <xdr:rowOff>765360</xdr:rowOff>
    </xdr:to>
    <xdr:pic>
      <xdr:nvPicPr>
        <xdr:cNvPr id="2" name="Imagem 1_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9680"/>
          <a:ext cx="4059720" cy="7156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bbr-my.sharepoint.com/Sps_e029/c/Informes/1999/informe%20jan99/99JANFLUXO%20modifi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98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9694"/>
  </sheetPr>
  <dimension ref="A1:XDN106"/>
  <sheetViews>
    <sheetView zoomScale="85" zoomScaleNormal="85" workbookViewId="0">
      <pane xSplit="3" ySplit="3" topLeftCell="E4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9.1640625" style="12" customWidth="1"/>
    <col min="4" max="4" width="24.83203125" style="12" customWidth="1"/>
    <col min="5" max="5" width="31.6640625" style="12" customWidth="1"/>
    <col min="6" max="6" width="16.33203125" style="12" customWidth="1"/>
    <col min="7" max="7" width="13" style="12" customWidth="1"/>
    <col min="8" max="8" width="17.1640625" style="12" customWidth="1"/>
    <col min="9" max="9" width="12.33203125" style="12" customWidth="1"/>
    <col min="10" max="10" width="14.6640625" style="13" customWidth="1"/>
    <col min="11" max="11" width="15.33203125" style="14" customWidth="1"/>
    <col min="12" max="12" width="14.33203125" style="13" customWidth="1"/>
    <col min="13" max="13" width="15.1640625" style="13" customWidth="1"/>
    <col min="14" max="14" width="17" style="11" customWidth="1"/>
    <col min="15" max="15" width="15.5" style="11" customWidth="1"/>
    <col min="16" max="17" width="13.6640625" style="11" hidden="1" customWidth="1"/>
    <col min="18" max="21" width="13.6640625" style="15" hidden="1" customWidth="1"/>
    <col min="22" max="22" width="15.33203125" style="16" hidden="1" customWidth="1"/>
    <col min="23" max="25" width="13.6640625" style="15" hidden="1" customWidth="1"/>
    <col min="26" max="27" width="13.6640625" style="15" customWidth="1"/>
    <col min="28" max="28" width="16.6640625" style="17" customWidth="1"/>
    <col min="29" max="29" width="25.33203125" style="18" customWidth="1"/>
    <col min="30" max="31" width="16.5" style="19" hidden="1" customWidth="1"/>
    <col min="32" max="33" width="16.5" style="11" hidden="1" customWidth="1"/>
    <col min="34" max="35" width="16.5" style="11" customWidth="1"/>
    <col min="36" max="16342" width="9.1640625" style="11"/>
    <col min="16343" max="16384" width="11.5" customWidth="1"/>
  </cols>
  <sheetData>
    <row r="1" spans="1:34" ht="18">
      <c r="A1" s="20" t="s">
        <v>0</v>
      </c>
      <c r="B1" s="21"/>
      <c r="C1" s="21"/>
      <c r="J1" s="22"/>
      <c r="L1" s="23"/>
      <c r="M1" s="24"/>
      <c r="N1" s="25"/>
      <c r="S1" s="19"/>
      <c r="T1" s="19"/>
      <c r="AA1" s="15" t="s">
        <v>1</v>
      </c>
      <c r="AB1" s="17">
        <f>AB4+AB5+AB6+AB7+AB10+AB11+AB14+AB17+SUM(AB37:AB48)+AB52+AB55+AB56+AB58+AB81+AB83</f>
        <v>6498237.2800000003</v>
      </c>
      <c r="AC1" s="18" t="s">
        <v>2</v>
      </c>
      <c r="AE1" s="26" t="s">
        <v>3</v>
      </c>
      <c r="AH1" s="19">
        <f>SUM(AB59:AB70)</f>
        <v>350001.99</v>
      </c>
    </row>
    <row r="2" spans="1:34" ht="18.75" customHeight="1">
      <c r="A2" s="11" t="s">
        <v>4</v>
      </c>
      <c r="B2" s="21"/>
      <c r="J2" s="22"/>
      <c r="K2" s="27"/>
      <c r="L2" s="23"/>
      <c r="AB2" s="17">
        <f>AB7+AB14+AB17+AB37+AB38+AB39+AB41+AB43+AB44+AB45+AB46+AB47+AB48+AB52+AB55+AB56+AB58+AB81+AB83</f>
        <v>6487949.2500000009</v>
      </c>
      <c r="AC2" s="18" t="s">
        <v>5</v>
      </c>
      <c r="AE2" s="28" t="s">
        <v>6</v>
      </c>
      <c r="AH2" s="19" t="e">
        <f>AB10+AB11+AB12+AB18+AB23+AB24+AB25+AB26+AB27+#REF!+AB28+AB29+AB30+AB31+AB36+AB32+AB33+AB53+AB54+AB57+AB77+AB78+AB80+AB86+AB87+AB88+AB89+AB90+AB91</f>
        <v>#REF!</v>
      </c>
    </row>
    <row r="3" spans="1:34" ht="4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29" t="s">
        <v>16</v>
      </c>
      <c r="K3" s="30" t="s">
        <v>17</v>
      </c>
      <c r="L3" s="31" t="s">
        <v>18</v>
      </c>
      <c r="M3" s="31" t="s">
        <v>19</v>
      </c>
      <c r="N3" s="31" t="s">
        <v>20</v>
      </c>
      <c r="O3" s="32" t="s">
        <v>21</v>
      </c>
      <c r="P3" s="31">
        <v>45658</v>
      </c>
      <c r="Q3" s="31">
        <v>45689</v>
      </c>
      <c r="R3" s="31">
        <v>45717</v>
      </c>
      <c r="S3" s="31">
        <v>45748</v>
      </c>
      <c r="T3" s="31">
        <v>45778</v>
      </c>
      <c r="U3" s="31">
        <v>45809</v>
      </c>
      <c r="V3" s="31">
        <v>45839</v>
      </c>
      <c r="W3" s="31">
        <v>45870</v>
      </c>
      <c r="X3" s="31">
        <v>45901</v>
      </c>
      <c r="Y3" s="31">
        <v>45931</v>
      </c>
      <c r="Z3" s="31">
        <v>45962</v>
      </c>
      <c r="AA3" s="31">
        <v>45992</v>
      </c>
      <c r="AB3" s="31" t="s">
        <v>22</v>
      </c>
      <c r="AC3" s="33" t="s">
        <v>23</v>
      </c>
      <c r="AD3" s="31" t="s">
        <v>24</v>
      </c>
      <c r="AE3" s="31" t="s">
        <v>25</v>
      </c>
      <c r="AF3" s="31" t="s">
        <v>26</v>
      </c>
      <c r="AG3" s="34" t="s">
        <v>27</v>
      </c>
      <c r="AH3" s="35">
        <f>AB74+AB75+AB76</f>
        <v>0</v>
      </c>
    </row>
    <row r="4" spans="1:34">
      <c r="A4" s="36" t="s">
        <v>28</v>
      </c>
      <c r="B4" s="36" t="s">
        <v>29</v>
      </c>
      <c r="C4" s="38" t="s">
        <v>30</v>
      </c>
      <c r="D4" s="38"/>
      <c r="E4" s="39"/>
      <c r="F4" s="39"/>
      <c r="G4" s="40"/>
      <c r="H4" s="40"/>
      <c r="I4" s="39"/>
      <c r="J4" s="41">
        <v>161000</v>
      </c>
      <c r="K4" s="42"/>
      <c r="L4" s="263">
        <f>J4*12</f>
        <v>1932000</v>
      </c>
      <c r="M4" s="264">
        <v>659623.24</v>
      </c>
      <c r="N4" s="264">
        <v>20575.189999999999</v>
      </c>
      <c r="O4" s="9">
        <f t="shared" ref="O4:O12" si="0">SUM(M4:N4)</f>
        <v>680198.42999999993</v>
      </c>
      <c r="P4" s="10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>
        <f t="shared" ref="AB4:AB35" si="1">SUM(Y4:AA4)</f>
        <v>0</v>
      </c>
      <c r="AC4" s="47" t="s">
        <v>31</v>
      </c>
      <c r="AD4" s="19">
        <f>SUM(J4:K4)*2</f>
        <v>322000</v>
      </c>
      <c r="AE4" s="48">
        <f>O4-AD4</f>
        <v>358198.42999999993</v>
      </c>
      <c r="AF4" s="48"/>
      <c r="AG4" s="48">
        <f>(SUM(J4:K4)*2)-O4</f>
        <v>-358198.42999999993</v>
      </c>
      <c r="AH4" s="48">
        <f>AB8+AB9</f>
        <v>0</v>
      </c>
    </row>
    <row r="5" spans="1:34">
      <c r="A5" s="36" t="s">
        <v>32</v>
      </c>
      <c r="B5" s="36" t="s">
        <v>29</v>
      </c>
      <c r="C5" s="38" t="s">
        <v>33</v>
      </c>
      <c r="D5" s="38"/>
      <c r="E5" s="39"/>
      <c r="F5" s="39"/>
      <c r="G5" s="40"/>
      <c r="H5" s="40"/>
      <c r="I5" s="39"/>
      <c r="J5" s="41">
        <v>36375</v>
      </c>
      <c r="K5" s="42"/>
      <c r="L5" s="263"/>
      <c r="M5" s="264">
        <v>216315.33</v>
      </c>
      <c r="N5" s="264">
        <v>7160.7</v>
      </c>
      <c r="O5" s="9">
        <f t="shared" si="0"/>
        <v>223476.03</v>
      </c>
      <c r="P5" s="10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6">
        <f t="shared" si="1"/>
        <v>0</v>
      </c>
      <c r="AC5" s="47" t="s">
        <v>34</v>
      </c>
      <c r="AE5" s="48"/>
      <c r="AF5" s="48"/>
      <c r="AG5" s="48"/>
      <c r="AH5" s="48">
        <f>AB50+AB49+AB51</f>
        <v>5086454.6550000003</v>
      </c>
    </row>
    <row r="6" spans="1:34" ht="14.25" customHeight="1">
      <c r="A6" s="36" t="s">
        <v>35</v>
      </c>
      <c r="B6" s="36" t="s">
        <v>36</v>
      </c>
      <c r="C6" s="49" t="s">
        <v>37</v>
      </c>
      <c r="D6" s="49"/>
      <c r="E6" s="39"/>
      <c r="F6" s="39"/>
      <c r="G6" s="40"/>
      <c r="H6" s="40"/>
      <c r="I6" s="39"/>
      <c r="J6" s="41">
        <v>49000</v>
      </c>
      <c r="K6" s="42"/>
      <c r="L6" s="263">
        <f>48891*13.33</f>
        <v>651717.03</v>
      </c>
      <c r="M6" s="264">
        <v>90145.45</v>
      </c>
      <c r="N6" s="265"/>
      <c r="O6" s="9">
        <f t="shared" si="0"/>
        <v>90145.45</v>
      </c>
      <c r="P6" s="10"/>
      <c r="Q6" s="45"/>
      <c r="R6" s="45"/>
      <c r="S6" s="45"/>
      <c r="T6" s="45"/>
      <c r="U6" s="45"/>
      <c r="V6" s="45"/>
      <c r="W6" s="45"/>
      <c r="X6" s="45"/>
      <c r="Y6" s="45"/>
      <c r="Z6" s="45"/>
      <c r="AA6" s="51">
        <f>J6*2-O6</f>
        <v>7854.5500000000029</v>
      </c>
      <c r="AB6" s="46">
        <f t="shared" si="1"/>
        <v>7854.5500000000029</v>
      </c>
      <c r="AC6" s="52" t="s">
        <v>38</v>
      </c>
      <c r="AE6" s="48"/>
      <c r="AF6" s="48"/>
      <c r="AG6" s="48"/>
      <c r="AH6" s="48">
        <f>AB71</f>
        <v>1571668.68</v>
      </c>
    </row>
    <row r="7" spans="1:34" ht="27" customHeight="1">
      <c r="A7" s="36" t="s">
        <v>39</v>
      </c>
      <c r="B7" s="36" t="s">
        <v>29</v>
      </c>
      <c r="C7" s="38" t="s">
        <v>37</v>
      </c>
      <c r="D7" s="49"/>
      <c r="E7" s="39"/>
      <c r="F7" s="39"/>
      <c r="G7" s="40"/>
      <c r="H7" s="40"/>
      <c r="I7" s="39"/>
      <c r="J7" s="43">
        <v>810000</v>
      </c>
      <c r="K7" s="42"/>
      <c r="L7" s="263">
        <f t="shared" ref="L7:L12" si="2">J7*12</f>
        <v>9720000</v>
      </c>
      <c r="M7" s="264">
        <v>1492474.47</v>
      </c>
      <c r="N7" s="264">
        <v>0</v>
      </c>
      <c r="O7" s="9">
        <f t="shared" si="0"/>
        <v>1492474.47</v>
      </c>
      <c r="P7" s="10"/>
      <c r="Q7" s="10"/>
      <c r="R7" s="45"/>
      <c r="S7" s="53"/>
      <c r="T7" s="10">
        <f>810000-556810</f>
        <v>253190</v>
      </c>
      <c r="U7" s="10">
        <f>J7</f>
        <v>810000</v>
      </c>
      <c r="V7" s="10">
        <f>J7</f>
        <v>810000</v>
      </c>
      <c r="W7" s="45"/>
      <c r="X7" s="45"/>
      <c r="Y7" s="45"/>
      <c r="Z7" s="45"/>
      <c r="AA7" s="51">
        <f>J7*2-O7</f>
        <v>127525.53000000003</v>
      </c>
      <c r="AB7" s="46">
        <f t="shared" si="1"/>
        <v>127525.53000000003</v>
      </c>
      <c r="AC7" s="54"/>
      <c r="AD7" s="19">
        <f>SUM(J7:K7)*2</f>
        <v>1620000</v>
      </c>
      <c r="AE7" s="48">
        <f>O7-AD7</f>
        <v>-127525.53000000003</v>
      </c>
      <c r="AF7" s="48"/>
      <c r="AG7" s="48">
        <f>(SUM(J7:K7)*2)-O7</f>
        <v>127525.53000000003</v>
      </c>
      <c r="AH7" s="48" t="e">
        <f>AB2+AH1+AH2+AH3+AH4+AH5+AH6</f>
        <v>#REF!</v>
      </c>
    </row>
    <row r="8" spans="1:34" ht="54.75" customHeight="1">
      <c r="A8" s="36" t="s">
        <v>40</v>
      </c>
      <c r="B8" s="36"/>
      <c r="C8" s="38" t="s">
        <v>41</v>
      </c>
      <c r="D8" s="49" t="s">
        <v>42</v>
      </c>
      <c r="E8" s="49"/>
      <c r="F8" s="55"/>
      <c r="G8" s="40"/>
      <c r="H8" s="40"/>
      <c r="I8" s="49"/>
      <c r="J8" s="10">
        <v>1361927.55</v>
      </c>
      <c r="K8" s="42"/>
      <c r="L8" s="263">
        <f t="shared" si="2"/>
        <v>16343130.600000001</v>
      </c>
      <c r="M8" s="266">
        <f>45872.52+983974.29</f>
        <v>1029846.81</v>
      </c>
      <c r="N8" s="266">
        <f>5031931.32+4476318.75</f>
        <v>9508250.0700000003</v>
      </c>
      <c r="O8" s="9">
        <f t="shared" si="0"/>
        <v>10538096.880000001</v>
      </c>
      <c r="P8" s="53"/>
      <c r="Q8" s="53"/>
      <c r="R8" s="45"/>
      <c r="S8" s="53"/>
      <c r="T8" s="53"/>
      <c r="U8" s="53"/>
      <c r="V8" s="53"/>
      <c r="W8" s="53"/>
      <c r="X8" s="53"/>
      <c r="Y8" s="45"/>
      <c r="Z8" s="45"/>
      <c r="AA8" s="53"/>
      <c r="AB8" s="46">
        <f t="shared" si="1"/>
        <v>0</v>
      </c>
    </row>
    <row r="9" spans="1:34" ht="14.25" customHeight="1">
      <c r="A9" s="36" t="s">
        <v>43</v>
      </c>
      <c r="B9" s="36" t="s">
        <v>44</v>
      </c>
      <c r="C9" s="38" t="s">
        <v>45</v>
      </c>
      <c r="D9" s="49">
        <v>82024000137</v>
      </c>
      <c r="E9" s="49"/>
      <c r="F9" s="49"/>
      <c r="G9" s="40"/>
      <c r="H9" s="40"/>
      <c r="I9" s="49"/>
      <c r="J9" s="10">
        <v>700000</v>
      </c>
      <c r="K9" s="42"/>
      <c r="L9" s="263">
        <f t="shared" si="2"/>
        <v>8400000</v>
      </c>
      <c r="M9" s="266">
        <f>257146.6+2437295.23</f>
        <v>2694441.83</v>
      </c>
      <c r="N9" s="266">
        <f>249401.4</f>
        <v>249401.4</v>
      </c>
      <c r="O9" s="9">
        <f t="shared" si="0"/>
        <v>2943843.23</v>
      </c>
      <c r="P9" s="53"/>
      <c r="Q9" s="45"/>
      <c r="R9" s="45"/>
      <c r="S9" s="53"/>
      <c r="T9" s="53"/>
      <c r="U9" s="10">
        <f>J9-354401</f>
        <v>345599</v>
      </c>
      <c r="V9" s="53"/>
      <c r="W9" s="53"/>
      <c r="X9" s="53"/>
      <c r="Y9" s="45"/>
      <c r="Z9" s="45"/>
      <c r="AA9" s="53"/>
      <c r="AB9" s="46">
        <f t="shared" si="1"/>
        <v>0</v>
      </c>
      <c r="AC9" s="56"/>
      <c r="AD9" s="19">
        <f>SUM(J9:K9)*2</f>
        <v>1400000</v>
      </c>
      <c r="AE9" s="48">
        <f>O9-AD9</f>
        <v>1543843.23</v>
      </c>
      <c r="AF9" s="48">
        <f>O9-Y9-Z9</f>
        <v>2943843.23</v>
      </c>
      <c r="AG9" s="48">
        <f>(SUM(J9:K9)*2)-O9</f>
        <v>-1543843.23</v>
      </c>
      <c r="AH9" s="48"/>
    </row>
    <row r="10" spans="1:34" ht="27" customHeight="1">
      <c r="A10" s="57" t="s">
        <v>46</v>
      </c>
      <c r="B10" s="36" t="s">
        <v>47</v>
      </c>
      <c r="C10" s="38" t="s">
        <v>45</v>
      </c>
      <c r="D10" s="49" t="s">
        <v>48</v>
      </c>
      <c r="E10" s="49"/>
      <c r="F10" s="55"/>
      <c r="G10" s="40"/>
      <c r="H10" s="40"/>
      <c r="I10" s="49"/>
      <c r="J10" s="43">
        <v>333</v>
      </c>
      <c r="K10" s="42"/>
      <c r="L10" s="267">
        <f t="shared" si="2"/>
        <v>3996</v>
      </c>
      <c r="M10" s="264">
        <v>999</v>
      </c>
      <c r="N10" s="264">
        <v>1332</v>
      </c>
      <c r="O10" s="9">
        <f t="shared" si="0"/>
        <v>2331</v>
      </c>
      <c r="P10" s="45"/>
      <c r="Q10" s="45"/>
      <c r="R10" s="45"/>
      <c r="S10" s="45"/>
      <c r="T10" s="45"/>
      <c r="U10" s="45"/>
      <c r="V10" s="45"/>
      <c r="W10" s="51">
        <v>333</v>
      </c>
      <c r="X10" s="53"/>
      <c r="Y10" s="45"/>
      <c r="Z10" s="45"/>
      <c r="AA10" s="53"/>
      <c r="AB10" s="46">
        <f t="shared" si="1"/>
        <v>0</v>
      </c>
      <c r="AE10" s="48">
        <f>O10-AD10</f>
        <v>2331</v>
      </c>
      <c r="AF10" s="48"/>
      <c r="AG10" s="48"/>
      <c r="AH10" s="48"/>
    </row>
    <row r="11" spans="1:34" ht="54.75" customHeight="1">
      <c r="A11" s="58" t="s">
        <v>49</v>
      </c>
      <c r="B11" s="36" t="s">
        <v>47</v>
      </c>
      <c r="C11" s="49" t="s">
        <v>41</v>
      </c>
      <c r="D11" s="49">
        <v>1543032000104</v>
      </c>
      <c r="E11" s="49" t="s">
        <v>50</v>
      </c>
      <c r="F11" s="55"/>
      <c r="G11" s="40"/>
      <c r="H11" s="40"/>
      <c r="I11" s="49" t="s">
        <v>51</v>
      </c>
      <c r="J11" s="43">
        <v>1585.03</v>
      </c>
      <c r="K11" s="42"/>
      <c r="L11" s="263">
        <f t="shared" si="2"/>
        <v>19020.36</v>
      </c>
      <c r="M11" s="264">
        <f>570.63+124.47</f>
        <v>695.1</v>
      </c>
      <c r="N11" s="264">
        <v>41.48</v>
      </c>
      <c r="O11" s="9">
        <f t="shared" si="0"/>
        <v>736.58</v>
      </c>
      <c r="P11" s="45"/>
      <c r="Q11" s="51"/>
      <c r="R11" s="45"/>
      <c r="S11" s="45"/>
      <c r="T11" s="45"/>
      <c r="U11" s="10">
        <f>J11-324</f>
        <v>1261.03</v>
      </c>
      <c r="V11" s="45"/>
      <c r="W11" s="51">
        <f>1585-1230</f>
        <v>355</v>
      </c>
      <c r="X11" s="53"/>
      <c r="Y11" s="45"/>
      <c r="Z11" s="10">
        <f>J11-O11</f>
        <v>848.44999999999993</v>
      </c>
      <c r="AA11" s="10">
        <f>J11</f>
        <v>1585.03</v>
      </c>
      <c r="AB11" s="46">
        <f t="shared" si="1"/>
        <v>2433.48</v>
      </c>
      <c r="AD11" s="19">
        <f>SUM(J11:K11)*2</f>
        <v>3170.06</v>
      </c>
      <c r="AE11" s="48">
        <f>O11-AD11</f>
        <v>-2433.48</v>
      </c>
      <c r="AF11" s="48"/>
      <c r="AG11" s="48">
        <f t="shared" ref="AG11:AG17" si="3">(SUM(J11:K11)*2)-O11</f>
        <v>2433.48</v>
      </c>
      <c r="AH11" s="48"/>
    </row>
    <row r="12" spans="1:34" ht="14.25" customHeight="1">
      <c r="A12" s="36" t="s">
        <v>52</v>
      </c>
      <c r="B12" s="60" t="s">
        <v>53</v>
      </c>
      <c r="C12" s="49" t="s">
        <v>54</v>
      </c>
      <c r="D12" s="49" t="s">
        <v>55</v>
      </c>
      <c r="E12" s="38" t="s">
        <v>56</v>
      </c>
      <c r="F12" s="62">
        <v>46247</v>
      </c>
      <c r="G12" s="63" t="str">
        <f ca="1">IF((F12-TODAY())&lt;0,"EXPIRADO", IF((F12-TODAY())&lt;=60,"EM BREVE","NO PRAZO"))</f>
        <v>NO PRAZO</v>
      </c>
      <c r="H12" s="38"/>
      <c r="I12" s="64" t="s">
        <v>57</v>
      </c>
      <c r="J12" s="43">
        <v>60000</v>
      </c>
      <c r="K12" s="42"/>
      <c r="L12" s="263">
        <f t="shared" si="2"/>
        <v>720000</v>
      </c>
      <c r="M12" s="268">
        <v>105024.66</v>
      </c>
      <c r="N12" s="269">
        <v>0</v>
      </c>
      <c r="O12" s="9">
        <f t="shared" si="0"/>
        <v>105024.66</v>
      </c>
      <c r="P12" s="10"/>
      <c r="Q12" s="10"/>
      <c r="R12" s="10">
        <f>J12</f>
        <v>60000</v>
      </c>
      <c r="S12" s="10">
        <f>J12</f>
        <v>60000</v>
      </c>
      <c r="T12" s="10">
        <f>J12</f>
        <v>60000</v>
      </c>
      <c r="U12" s="45"/>
      <c r="V12" s="45"/>
      <c r="W12" s="65"/>
      <c r="X12" s="53"/>
      <c r="Y12" s="10"/>
      <c r="Z12" s="45"/>
      <c r="AA12" s="10">
        <f>J12*2-O12</f>
        <v>14975.339999999997</v>
      </c>
      <c r="AB12" s="46">
        <f t="shared" si="1"/>
        <v>14975.339999999997</v>
      </c>
      <c r="AD12" s="19">
        <f>SUM(J12:K12)*2</f>
        <v>120000</v>
      </c>
      <c r="AE12" s="48">
        <f>O12-AD12</f>
        <v>-14975.339999999997</v>
      </c>
      <c r="AF12" s="48">
        <f>-Y12-Z12</f>
        <v>0</v>
      </c>
      <c r="AG12" s="48">
        <f t="shared" si="3"/>
        <v>14975.339999999997</v>
      </c>
      <c r="AH12" s="48"/>
    </row>
    <row r="13" spans="1:34" ht="110.25" customHeight="1">
      <c r="A13" s="66" t="s">
        <v>58</v>
      </c>
      <c r="B13" s="60" t="s">
        <v>53</v>
      </c>
      <c r="C13" s="49" t="s">
        <v>59</v>
      </c>
      <c r="D13" s="49"/>
      <c r="E13" s="67" t="s">
        <v>60</v>
      </c>
      <c r="F13" s="68"/>
      <c r="G13" s="63"/>
      <c r="H13" s="38" t="s">
        <v>61</v>
      </c>
      <c r="I13" s="69"/>
      <c r="J13" s="43"/>
      <c r="K13" s="42"/>
      <c r="L13" s="263"/>
      <c r="M13" s="266"/>
      <c r="N13" s="266"/>
      <c r="O13" s="9"/>
      <c r="P13" s="10"/>
      <c r="Q13" s="10"/>
      <c r="R13" s="10"/>
      <c r="S13" s="10"/>
      <c r="T13" s="10"/>
      <c r="U13" s="10"/>
      <c r="V13" s="70"/>
      <c r="W13" s="70"/>
      <c r="X13" s="70"/>
      <c r="Y13" s="70"/>
      <c r="Z13" s="70"/>
      <c r="AA13" s="70"/>
      <c r="AB13" s="46">
        <f t="shared" si="1"/>
        <v>0</v>
      </c>
      <c r="AE13" s="48"/>
      <c r="AF13" s="48"/>
      <c r="AG13" s="48">
        <f t="shared" si="3"/>
        <v>0</v>
      </c>
      <c r="AH13" s="48"/>
    </row>
    <row r="14" spans="1:34" ht="41.25" customHeight="1">
      <c r="A14" s="66" t="s">
        <v>62</v>
      </c>
      <c r="B14" s="60" t="s">
        <v>53</v>
      </c>
      <c r="C14" s="71" t="s">
        <v>63</v>
      </c>
      <c r="D14" s="71" t="s">
        <v>64</v>
      </c>
      <c r="E14" s="72" t="s">
        <v>65</v>
      </c>
      <c r="F14" s="73">
        <v>45836</v>
      </c>
      <c r="G14" s="63" t="str">
        <f t="shared" ref="G14:G34" ca="1" si="4">IF((F14-TODAY())&lt;0,"EXPIRADO", IF((F14-TODAY())&lt;=60,"EM BREVE","NO PRAZO"))</f>
        <v>EXPIRADO</v>
      </c>
      <c r="H14" s="74"/>
      <c r="I14" s="69" t="s">
        <v>66</v>
      </c>
      <c r="J14" s="43"/>
      <c r="K14" s="42">
        <f>L14/12</f>
        <v>369702.92</v>
      </c>
      <c r="L14" s="263">
        <f>4436435.04</f>
        <v>4436435.04</v>
      </c>
      <c r="M14" s="266">
        <v>0</v>
      </c>
      <c r="N14" s="266">
        <v>0</v>
      </c>
      <c r="O14" s="9">
        <f t="shared" ref="O14:O34" si="5">SUM(M14:N14)</f>
        <v>0</v>
      </c>
      <c r="P14" s="70"/>
      <c r="Q14" s="70"/>
      <c r="R14" s="70">
        <f>K14-O14</f>
        <v>369702.92</v>
      </c>
      <c r="S14" s="53"/>
      <c r="T14" s="53"/>
      <c r="U14" s="65"/>
      <c r="V14" s="10"/>
      <c r="W14" s="10"/>
      <c r="X14" s="10"/>
      <c r="Y14" s="10"/>
      <c r="Z14" s="10"/>
      <c r="AA14" s="70"/>
      <c r="AB14" s="46">
        <f t="shared" si="1"/>
        <v>0</v>
      </c>
      <c r="AD14" s="19">
        <f>SUM(J14:K14)*2</f>
        <v>739405.84</v>
      </c>
      <c r="AE14" s="48">
        <f>O14-AD14</f>
        <v>-739405.84</v>
      </c>
      <c r="AF14" s="48"/>
      <c r="AG14" s="48">
        <f t="shared" si="3"/>
        <v>739405.84</v>
      </c>
      <c r="AH14" s="48"/>
    </row>
    <row r="15" spans="1:34" s="11" customFormat="1" ht="27" customHeight="1">
      <c r="A15" s="75" t="s">
        <v>67</v>
      </c>
      <c r="B15" s="75" t="s">
        <v>53</v>
      </c>
      <c r="C15" s="77" t="s">
        <v>63</v>
      </c>
      <c r="D15" s="77" t="s">
        <v>68</v>
      </c>
      <c r="E15" s="78" t="s">
        <v>69</v>
      </c>
      <c r="F15" s="68">
        <v>46147</v>
      </c>
      <c r="G15" s="63" t="str">
        <f t="shared" ca="1" si="4"/>
        <v>NO PRAZO</v>
      </c>
      <c r="H15" s="38"/>
      <c r="I15" s="8" t="s">
        <v>70</v>
      </c>
      <c r="J15" s="79"/>
      <c r="K15" s="80">
        <f>L15/12</f>
        <v>182288</v>
      </c>
      <c r="L15" s="267">
        <v>2187456</v>
      </c>
      <c r="M15" s="266">
        <v>323045.17</v>
      </c>
      <c r="N15" s="266">
        <v>0</v>
      </c>
      <c r="O15" s="9">
        <f t="shared" si="5"/>
        <v>323045.17</v>
      </c>
      <c r="P15" s="70"/>
      <c r="Q15" s="70"/>
      <c r="R15" s="70"/>
      <c r="S15" s="10"/>
      <c r="T15" s="70"/>
      <c r="U15" s="10">
        <v>182288</v>
      </c>
      <c r="V15" s="53"/>
      <c r="W15" s="53"/>
      <c r="X15" s="53"/>
      <c r="Y15" s="53"/>
      <c r="Z15" s="45"/>
      <c r="AA15" s="10">
        <f>K15*2-O15</f>
        <v>41530.830000000016</v>
      </c>
      <c r="AB15" s="46">
        <f t="shared" si="1"/>
        <v>41530.830000000016</v>
      </c>
      <c r="AC15" s="18"/>
      <c r="AD15" s="19"/>
      <c r="AE15" s="48"/>
      <c r="AF15" s="48"/>
      <c r="AG15" s="48">
        <f t="shared" si="3"/>
        <v>41530.830000000016</v>
      </c>
      <c r="AH15" s="48"/>
    </row>
    <row r="16" spans="1:34" ht="43.5" customHeight="1">
      <c r="A16" s="60" t="s">
        <v>71</v>
      </c>
      <c r="B16" s="60" t="s">
        <v>53</v>
      </c>
      <c r="C16" s="71" t="s">
        <v>72</v>
      </c>
      <c r="D16" s="71">
        <v>30814920000104</v>
      </c>
      <c r="E16" s="81" t="s">
        <v>73</v>
      </c>
      <c r="F16" s="68">
        <v>47457</v>
      </c>
      <c r="G16" s="63" t="str">
        <f t="shared" ca="1" si="4"/>
        <v>NO PRAZO</v>
      </c>
      <c r="H16" s="38"/>
      <c r="I16" s="43"/>
      <c r="J16" s="82"/>
      <c r="K16" s="42"/>
      <c r="L16" s="263">
        <v>752926</v>
      </c>
      <c r="M16" s="270"/>
      <c r="N16" s="270">
        <v>0</v>
      </c>
      <c r="O16" s="9">
        <f t="shared" si="5"/>
        <v>0</v>
      </c>
      <c r="P16" s="10"/>
      <c r="Q16" s="10"/>
      <c r="R16" s="10"/>
      <c r="S16" s="10"/>
      <c r="T16" s="10"/>
      <c r="U16" s="10"/>
      <c r="V16" s="70"/>
      <c r="W16" s="70"/>
      <c r="X16" s="10"/>
      <c r="Y16" s="70"/>
      <c r="Z16" s="70"/>
      <c r="AA16" s="70"/>
      <c r="AB16" s="46">
        <f t="shared" si="1"/>
        <v>0</v>
      </c>
      <c r="AD16" s="19">
        <f>SUM(J16:K16)*2</f>
        <v>0</v>
      </c>
      <c r="AE16" s="48"/>
      <c r="AF16" s="48">
        <v>-752926</v>
      </c>
      <c r="AG16" s="48">
        <f t="shared" si="3"/>
        <v>0</v>
      </c>
      <c r="AH16" s="48"/>
    </row>
    <row r="17" spans="1:34" ht="82.5" customHeight="1">
      <c r="A17" s="60" t="s">
        <v>74</v>
      </c>
      <c r="B17" s="60" t="s">
        <v>53</v>
      </c>
      <c r="C17" s="71" t="s">
        <v>75</v>
      </c>
      <c r="D17" s="71" t="s">
        <v>76</v>
      </c>
      <c r="E17" s="81" t="s">
        <v>77</v>
      </c>
      <c r="F17" s="68">
        <v>46082</v>
      </c>
      <c r="G17" s="63" t="str">
        <f t="shared" ca="1" si="4"/>
        <v>NO PRAZO</v>
      </c>
      <c r="H17" s="63"/>
      <c r="I17" s="84" t="s">
        <v>78</v>
      </c>
      <c r="J17" s="10">
        <f>L17/12</f>
        <v>236095</v>
      </c>
      <c r="K17" s="85" t="s">
        <v>79</v>
      </c>
      <c r="L17" s="263">
        <v>2833140</v>
      </c>
      <c r="M17" s="268">
        <v>0</v>
      </c>
      <c r="N17" s="268">
        <v>0</v>
      </c>
      <c r="O17" s="9">
        <f t="shared" si="5"/>
        <v>0</v>
      </c>
      <c r="P17" s="45"/>
      <c r="Q17" s="45"/>
      <c r="R17" s="45"/>
      <c r="S17" s="10">
        <f>236037-202037</f>
        <v>34000</v>
      </c>
      <c r="T17" s="53"/>
      <c r="U17" s="53"/>
      <c r="V17" s="53"/>
      <c r="W17" s="53"/>
      <c r="X17" s="53"/>
      <c r="Y17" s="45"/>
      <c r="Z17" s="10">
        <f>J17</f>
        <v>236095</v>
      </c>
      <c r="AA17" s="10">
        <f>J17</f>
        <v>236095</v>
      </c>
      <c r="AB17" s="46">
        <f t="shared" si="1"/>
        <v>472190</v>
      </c>
      <c r="AD17" s="19">
        <f>SUM(J17:K17)*2</f>
        <v>472190</v>
      </c>
      <c r="AE17" s="48"/>
      <c r="AF17" s="48">
        <v>-99075</v>
      </c>
      <c r="AG17" s="48">
        <f t="shared" si="3"/>
        <v>472190</v>
      </c>
      <c r="AH17" s="48"/>
    </row>
    <row r="18" spans="1:34" ht="57.75" hidden="1" customHeight="1">
      <c r="A18" s="86" t="s">
        <v>80</v>
      </c>
      <c r="B18" s="86" t="s">
        <v>81</v>
      </c>
      <c r="C18" s="38" t="s">
        <v>82</v>
      </c>
      <c r="D18" s="38" t="s">
        <v>83</v>
      </c>
      <c r="E18" s="81" t="s">
        <v>84</v>
      </c>
      <c r="F18" s="68">
        <v>45743</v>
      </c>
      <c r="G18" s="63" t="str">
        <f t="shared" ca="1" si="4"/>
        <v>EXPIRADO</v>
      </c>
      <c r="H18" s="38"/>
      <c r="I18" s="84" t="s">
        <v>85</v>
      </c>
      <c r="J18" s="10"/>
      <c r="K18" s="80"/>
      <c r="L18" s="267"/>
      <c r="M18" s="263">
        <v>0</v>
      </c>
      <c r="N18" s="270">
        <v>0</v>
      </c>
      <c r="O18" s="9">
        <f t="shared" si="5"/>
        <v>0</v>
      </c>
      <c r="P18" s="53"/>
      <c r="Q18" s="45"/>
      <c r="R18" s="45"/>
      <c r="S18" s="53"/>
      <c r="T18" s="53"/>
      <c r="U18" s="53"/>
      <c r="V18" s="53"/>
      <c r="W18" s="53"/>
      <c r="X18" s="53"/>
      <c r="Y18" s="45"/>
      <c r="Z18" s="53"/>
      <c r="AA18" s="53"/>
      <c r="AB18" s="46">
        <f t="shared" si="1"/>
        <v>0</v>
      </c>
      <c r="AD18" s="19">
        <f>SUM(J18:K18)*2</f>
        <v>0</v>
      </c>
      <c r="AE18" s="48">
        <f>O18-AD18</f>
        <v>0</v>
      </c>
      <c r="AF18" s="48"/>
      <c r="AG18" s="48"/>
      <c r="AH18" s="48"/>
    </row>
    <row r="19" spans="1:34" ht="57.75" customHeight="1">
      <c r="A19" s="86" t="s">
        <v>86</v>
      </c>
      <c r="B19" s="86" t="s">
        <v>81</v>
      </c>
      <c r="C19" s="38" t="s">
        <v>82</v>
      </c>
      <c r="D19" s="38" t="s">
        <v>87</v>
      </c>
      <c r="E19" s="81" t="s">
        <v>88</v>
      </c>
      <c r="F19" s="68">
        <v>47682</v>
      </c>
      <c r="G19" s="63" t="str">
        <f t="shared" ca="1" si="4"/>
        <v>NO PRAZO</v>
      </c>
      <c r="H19" s="38"/>
      <c r="I19" s="84" t="s">
        <v>89</v>
      </c>
      <c r="J19" s="10">
        <v>4000</v>
      </c>
      <c r="K19" s="80"/>
      <c r="L19" s="267">
        <f>J19*12</f>
        <v>48000</v>
      </c>
      <c r="M19" s="263">
        <v>42484.67</v>
      </c>
      <c r="N19" s="270"/>
      <c r="O19" s="9">
        <f t="shared" si="5"/>
        <v>42484.67</v>
      </c>
      <c r="P19" s="53"/>
      <c r="Q19" s="45"/>
      <c r="R19" s="45"/>
      <c r="S19" s="53"/>
      <c r="T19" s="53"/>
      <c r="U19" s="53"/>
      <c r="V19" s="53"/>
      <c r="W19" s="53"/>
      <c r="X19" s="53"/>
      <c r="Y19" s="45"/>
      <c r="Z19" s="45"/>
      <c r="AA19" s="53"/>
      <c r="AB19" s="46">
        <f t="shared" si="1"/>
        <v>0</v>
      </c>
      <c r="AE19" s="48"/>
      <c r="AF19" s="48"/>
      <c r="AG19" s="48"/>
      <c r="AH19" s="48"/>
    </row>
    <row r="20" spans="1:34" ht="57.75" customHeight="1">
      <c r="A20" s="87" t="s">
        <v>90</v>
      </c>
      <c r="B20" s="86" t="s">
        <v>91</v>
      </c>
      <c r="C20" s="49" t="s">
        <v>82</v>
      </c>
      <c r="D20" s="49" t="s">
        <v>92</v>
      </c>
      <c r="E20" s="81" t="s">
        <v>93</v>
      </c>
      <c r="F20" s="68">
        <v>45106</v>
      </c>
      <c r="G20" s="63" t="str">
        <f t="shared" ca="1" si="4"/>
        <v>EXPIRADO</v>
      </c>
      <c r="H20" s="63"/>
      <c r="I20" s="84" t="s">
        <v>94</v>
      </c>
      <c r="J20" s="10"/>
      <c r="K20" s="80"/>
      <c r="L20" s="267">
        <v>225342</v>
      </c>
      <c r="M20" s="267"/>
      <c r="N20" s="271">
        <f>17567.67</f>
        <v>17567.669999999998</v>
      </c>
      <c r="O20" s="9">
        <f t="shared" si="5"/>
        <v>17567.669999999998</v>
      </c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46">
        <f t="shared" si="1"/>
        <v>0</v>
      </c>
      <c r="AC20" s="52"/>
      <c r="AE20" s="48"/>
      <c r="AF20" s="48"/>
      <c r="AG20" s="48"/>
      <c r="AH20" s="48"/>
    </row>
    <row r="21" spans="1:34" ht="54.75" customHeight="1">
      <c r="A21" s="86" t="s">
        <v>95</v>
      </c>
      <c r="B21" s="86" t="s">
        <v>81</v>
      </c>
      <c r="C21" s="49" t="s">
        <v>82</v>
      </c>
      <c r="D21" s="49" t="s">
        <v>92</v>
      </c>
      <c r="E21" s="81" t="s">
        <v>96</v>
      </c>
      <c r="F21" s="68">
        <v>46221</v>
      </c>
      <c r="G21" s="63" t="str">
        <f t="shared" ca="1" si="4"/>
        <v>NO PRAZO</v>
      </c>
      <c r="H21" s="63"/>
      <c r="I21" s="84" t="s">
        <v>97</v>
      </c>
      <c r="J21" s="10">
        <v>4000</v>
      </c>
      <c r="K21" s="80"/>
      <c r="L21" s="267">
        <f>J21*12</f>
        <v>48000</v>
      </c>
      <c r="M21" s="267">
        <v>11897.6</v>
      </c>
      <c r="N21" s="266">
        <v>102.4</v>
      </c>
      <c r="O21" s="9">
        <f t="shared" si="5"/>
        <v>12000</v>
      </c>
      <c r="P21" s="53"/>
      <c r="Q21" s="53"/>
      <c r="R21" s="45"/>
      <c r="S21" s="53"/>
      <c r="T21" s="53"/>
      <c r="U21" s="53"/>
      <c r="V21" s="65"/>
      <c r="W21" s="53"/>
      <c r="X21" s="53"/>
      <c r="Y21" s="10"/>
      <c r="Z21" s="53"/>
      <c r="AA21" s="53"/>
      <c r="AB21" s="46">
        <f t="shared" si="1"/>
        <v>0</v>
      </c>
      <c r="AC21" s="17"/>
      <c r="AD21" s="19">
        <f>SUM(J21:K21)*2</f>
        <v>8000</v>
      </c>
      <c r="AE21" s="48"/>
      <c r="AF21" s="48"/>
      <c r="AG21" s="48"/>
      <c r="AH21" s="48"/>
    </row>
    <row r="22" spans="1:34" ht="27" customHeight="1">
      <c r="A22" s="89" t="s">
        <v>98</v>
      </c>
      <c r="B22" s="86" t="s">
        <v>81</v>
      </c>
      <c r="C22" s="49" t="s">
        <v>99</v>
      </c>
      <c r="D22" s="49" t="s">
        <v>100</v>
      </c>
      <c r="E22" s="81" t="s">
        <v>101</v>
      </c>
      <c r="F22" s="68">
        <v>45989</v>
      </c>
      <c r="G22" s="63" t="str">
        <f t="shared" ca="1" si="4"/>
        <v>EM BREVE</v>
      </c>
      <c r="H22" s="38" t="s">
        <v>102</v>
      </c>
      <c r="I22" s="84" t="s">
        <v>103</v>
      </c>
      <c r="J22" s="10">
        <v>500</v>
      </c>
      <c r="K22" s="80"/>
      <c r="L22" s="267">
        <f>J22*12</f>
        <v>6000</v>
      </c>
      <c r="M22" s="266"/>
      <c r="N22" s="266">
        <v>57249.08</v>
      </c>
      <c r="O22" s="9">
        <f t="shared" si="5"/>
        <v>57249.08</v>
      </c>
      <c r="P22" s="53"/>
      <c r="Q22" s="53"/>
      <c r="R22" s="45"/>
      <c r="S22" s="53"/>
      <c r="T22" s="53"/>
      <c r="U22" s="53"/>
      <c r="V22" s="53"/>
      <c r="W22" s="53"/>
      <c r="X22" s="53"/>
      <c r="Y22" s="53"/>
      <c r="Z22" s="65"/>
      <c r="AA22" s="53"/>
      <c r="AB22" s="46">
        <f t="shared" si="1"/>
        <v>0</v>
      </c>
      <c r="AE22" s="48"/>
      <c r="AF22" s="48"/>
      <c r="AG22" s="48"/>
      <c r="AH22" s="48"/>
    </row>
    <row r="23" spans="1:34">
      <c r="A23" s="90" t="s">
        <v>104</v>
      </c>
      <c r="B23" s="86" t="s">
        <v>81</v>
      </c>
      <c r="C23" s="49" t="s">
        <v>33</v>
      </c>
      <c r="D23" s="49" t="s">
        <v>105</v>
      </c>
      <c r="E23" s="81" t="s">
        <v>106</v>
      </c>
      <c r="F23" s="68">
        <v>46086</v>
      </c>
      <c r="G23" s="63" t="str">
        <f t="shared" ca="1" si="4"/>
        <v>NO PRAZO</v>
      </c>
      <c r="H23" s="38"/>
      <c r="I23" s="81" t="s">
        <v>107</v>
      </c>
      <c r="J23" s="10">
        <v>3870</v>
      </c>
      <c r="K23" s="80"/>
      <c r="L23" s="267">
        <v>48000</v>
      </c>
      <c r="M23" s="272">
        <v>18060.8</v>
      </c>
      <c r="N23" s="266">
        <v>0</v>
      </c>
      <c r="O23" s="9">
        <f t="shared" si="5"/>
        <v>18060.8</v>
      </c>
      <c r="P23" s="53"/>
      <c r="Q23" s="70"/>
      <c r="R23" s="45"/>
      <c r="S23" s="53"/>
      <c r="T23" s="53"/>
      <c r="U23" s="53"/>
      <c r="V23" s="53"/>
      <c r="W23" s="53"/>
      <c r="X23" s="53"/>
      <c r="Y23" s="53"/>
      <c r="Z23" s="53"/>
      <c r="AA23" s="53"/>
      <c r="AB23" s="46">
        <f t="shared" si="1"/>
        <v>0</v>
      </c>
      <c r="AD23" s="26">
        <f>SUM(J23:K23)*2</f>
        <v>7740</v>
      </c>
      <c r="AE23" s="92"/>
      <c r="AF23" s="92"/>
      <c r="AG23" s="48"/>
      <c r="AH23" s="48"/>
    </row>
    <row r="24" spans="1:34" ht="69" customHeight="1">
      <c r="A24" s="75" t="s">
        <v>108</v>
      </c>
      <c r="B24" s="89" t="s">
        <v>109</v>
      </c>
      <c r="C24" s="94" t="s">
        <v>110</v>
      </c>
      <c r="D24" s="71" t="s">
        <v>111</v>
      </c>
      <c r="E24" s="81" t="s">
        <v>112</v>
      </c>
      <c r="F24" s="68">
        <v>46039</v>
      </c>
      <c r="G24" s="63" t="str">
        <f t="shared" ca="1" si="4"/>
        <v>EM BREVE</v>
      </c>
      <c r="H24" s="38"/>
      <c r="I24" s="81" t="s">
        <v>113</v>
      </c>
      <c r="J24" s="10">
        <v>4000</v>
      </c>
      <c r="K24" s="42"/>
      <c r="L24" s="263">
        <f>J24*12</f>
        <v>48000</v>
      </c>
      <c r="M24" s="266">
        <v>6981.19</v>
      </c>
      <c r="N24" s="266">
        <v>0</v>
      </c>
      <c r="O24" s="9">
        <f t="shared" si="5"/>
        <v>6981.19</v>
      </c>
      <c r="P24" s="53"/>
      <c r="Q24" s="45"/>
      <c r="R24" s="10">
        <f>J24-O24</f>
        <v>-2981.1899999999996</v>
      </c>
      <c r="S24" s="10">
        <f>J24-1948</f>
        <v>2052</v>
      </c>
      <c r="T24" s="53"/>
      <c r="U24" s="53"/>
      <c r="V24" s="53"/>
      <c r="W24" s="53"/>
      <c r="X24" s="53"/>
      <c r="Y24" s="53"/>
      <c r="Z24" s="45"/>
      <c r="AA24" s="10">
        <f>J24*2-O24</f>
        <v>1018.8100000000004</v>
      </c>
      <c r="AB24" s="46">
        <f t="shared" si="1"/>
        <v>1018.8100000000004</v>
      </c>
      <c r="AC24" s="95"/>
      <c r="AD24" s="19">
        <f>SUM(J24:K24)*2</f>
        <v>8000</v>
      </c>
      <c r="AE24" s="48">
        <f>O24-AD24</f>
        <v>-1018.8100000000004</v>
      </c>
      <c r="AF24" s="48"/>
      <c r="AG24" s="48"/>
      <c r="AH24" s="48"/>
    </row>
    <row r="25" spans="1:34" ht="69" customHeight="1">
      <c r="A25" s="96" t="s">
        <v>114</v>
      </c>
      <c r="B25" s="86" t="s">
        <v>115</v>
      </c>
      <c r="C25" s="49" t="s">
        <v>110</v>
      </c>
      <c r="D25" s="97">
        <v>7044248000101</v>
      </c>
      <c r="E25" s="38" t="s">
        <v>116</v>
      </c>
      <c r="F25" s="62">
        <v>45824</v>
      </c>
      <c r="G25" s="63" t="str">
        <f t="shared" ca="1" si="4"/>
        <v>EXPIRADO</v>
      </c>
      <c r="H25" s="38" t="s">
        <v>117</v>
      </c>
      <c r="I25" s="98" t="s">
        <v>118</v>
      </c>
      <c r="J25" s="10">
        <v>7000</v>
      </c>
      <c r="K25" s="80"/>
      <c r="L25" s="267">
        <f>J25*12</f>
        <v>84000</v>
      </c>
      <c r="M25" s="273">
        <v>3179.7</v>
      </c>
      <c r="N25" s="266"/>
      <c r="O25" s="9">
        <f t="shared" si="5"/>
        <v>3179.7</v>
      </c>
      <c r="P25" s="10"/>
      <c r="Q25" s="10"/>
      <c r="R25" s="10">
        <f>J25</f>
        <v>7000</v>
      </c>
      <c r="S25" s="53"/>
      <c r="T25" s="53"/>
      <c r="U25" s="65"/>
      <c r="V25" s="10"/>
      <c r="W25" s="10"/>
      <c r="X25" s="10"/>
      <c r="Y25" s="10"/>
      <c r="Z25" s="10"/>
      <c r="AA25" s="10"/>
      <c r="AB25" s="46">
        <f t="shared" si="1"/>
        <v>0</v>
      </c>
      <c r="AD25" s="19">
        <f>SUM(J25:K25)*2</f>
        <v>14000</v>
      </c>
      <c r="AE25" s="99"/>
      <c r="AF25" s="48">
        <f>-Z25</f>
        <v>0</v>
      </c>
      <c r="AG25" s="48">
        <f>(SUM(J25:K25)*2)-O25</f>
        <v>10820.3</v>
      </c>
      <c r="AH25" s="48"/>
    </row>
    <row r="26" spans="1:34" ht="28.5" customHeight="1">
      <c r="A26" s="96" t="s">
        <v>119</v>
      </c>
      <c r="B26" s="86" t="s">
        <v>115</v>
      </c>
      <c r="C26" s="49" t="s">
        <v>120</v>
      </c>
      <c r="D26" s="49" t="s">
        <v>121</v>
      </c>
      <c r="E26" s="38" t="s">
        <v>122</v>
      </c>
      <c r="F26" s="62">
        <v>46137</v>
      </c>
      <c r="G26" s="63" t="str">
        <f t="shared" ca="1" si="4"/>
        <v>NO PRAZO</v>
      </c>
      <c r="H26" s="38"/>
      <c r="I26" s="98" t="s">
        <v>123</v>
      </c>
      <c r="J26" s="10">
        <v>10000</v>
      </c>
      <c r="K26" s="80"/>
      <c r="L26" s="267">
        <v>187401.54</v>
      </c>
      <c r="M26" s="281">
        <v>159010.09</v>
      </c>
      <c r="N26" s="264">
        <v>38595.64</v>
      </c>
      <c r="O26" s="9">
        <f t="shared" si="5"/>
        <v>197605.72999999998</v>
      </c>
      <c r="P26" s="45"/>
      <c r="Q26" s="45"/>
      <c r="R26" s="53"/>
      <c r="S26" s="53"/>
      <c r="T26" s="53"/>
      <c r="U26" s="53"/>
      <c r="V26" s="53"/>
      <c r="W26" s="53"/>
      <c r="X26" s="53"/>
      <c r="Y26" s="53"/>
      <c r="Z26" s="45"/>
      <c r="AA26" s="53"/>
      <c r="AB26" s="46">
        <f t="shared" si="1"/>
        <v>0</v>
      </c>
      <c r="AC26" s="95"/>
      <c r="AD26" s="26">
        <f>SUM(J26:K26)*2</f>
        <v>20000</v>
      </c>
      <c r="AE26" s="92">
        <f>O26-AD26</f>
        <v>177605.72999999998</v>
      </c>
      <c r="AF26" s="92"/>
      <c r="AG26" s="48"/>
      <c r="AH26" s="48"/>
    </row>
    <row r="27" spans="1:34" ht="57.75" customHeight="1">
      <c r="A27" s="87" t="s">
        <v>124</v>
      </c>
      <c r="B27" s="86" t="s">
        <v>115</v>
      </c>
      <c r="C27" s="49" t="s">
        <v>125</v>
      </c>
      <c r="D27" s="49">
        <v>3506307000157</v>
      </c>
      <c r="E27" s="38" t="s">
        <v>126</v>
      </c>
      <c r="F27" s="62">
        <v>46270</v>
      </c>
      <c r="G27" s="63" t="str">
        <f t="shared" ca="1" si="4"/>
        <v>NO PRAZO</v>
      </c>
      <c r="H27" s="38"/>
      <c r="I27" s="38" t="s">
        <v>127</v>
      </c>
      <c r="J27" s="10">
        <v>80000</v>
      </c>
      <c r="K27" s="80"/>
      <c r="L27" s="267">
        <f>J27*12</f>
        <v>960000</v>
      </c>
      <c r="M27" s="264">
        <v>435769.35</v>
      </c>
      <c r="N27" s="264">
        <v>0</v>
      </c>
      <c r="O27" s="9">
        <f t="shared" si="5"/>
        <v>435769.35</v>
      </c>
      <c r="P27" s="45"/>
      <c r="Q27" s="45"/>
      <c r="R27" s="53"/>
      <c r="S27" s="53"/>
      <c r="T27" s="53"/>
      <c r="U27" s="53"/>
      <c r="V27" s="53"/>
      <c r="W27" s="10">
        <f>80000-12226</f>
        <v>67774</v>
      </c>
      <c r="X27" s="53"/>
      <c r="Y27" s="53"/>
      <c r="Z27" s="45"/>
      <c r="AA27" s="53"/>
      <c r="AB27" s="46">
        <f t="shared" si="1"/>
        <v>0</v>
      </c>
      <c r="AC27" s="95"/>
      <c r="AD27" s="26">
        <f>SUM(J27:K27)*2</f>
        <v>160000</v>
      </c>
      <c r="AE27" s="92"/>
      <c r="AF27" s="92">
        <f>O27-AD27</f>
        <v>275769.34999999998</v>
      </c>
      <c r="AG27" s="48"/>
      <c r="AH27" s="48"/>
    </row>
    <row r="28" spans="1:34" ht="27" customHeight="1">
      <c r="A28" s="96" t="s">
        <v>128</v>
      </c>
      <c r="B28" s="86" t="s">
        <v>115</v>
      </c>
      <c r="C28" s="49" t="s">
        <v>129</v>
      </c>
      <c r="D28" s="49" t="s">
        <v>130</v>
      </c>
      <c r="E28" s="38" t="s">
        <v>131</v>
      </c>
      <c r="F28" s="68">
        <v>45980</v>
      </c>
      <c r="G28" s="63" t="str">
        <f t="shared" ca="1" si="4"/>
        <v>EM BREVE</v>
      </c>
      <c r="H28" s="38" t="s">
        <v>132</v>
      </c>
      <c r="I28" s="49" t="s">
        <v>133</v>
      </c>
      <c r="J28" s="10">
        <f>L28/12</f>
        <v>65625.02</v>
      </c>
      <c r="K28" s="80"/>
      <c r="L28" s="267">
        <v>787500.24</v>
      </c>
      <c r="M28" s="264">
        <v>110567.4</v>
      </c>
      <c r="N28" s="264">
        <v>0</v>
      </c>
      <c r="O28" s="9">
        <f t="shared" si="5"/>
        <v>110567.4</v>
      </c>
      <c r="P28" s="45"/>
      <c r="Q28" s="45"/>
      <c r="R28" s="53"/>
      <c r="S28" s="53"/>
      <c r="T28" s="10">
        <f>J28-O28</f>
        <v>-44942.37999999999</v>
      </c>
      <c r="U28" s="10">
        <f>J28-60820</f>
        <v>4805.0200000000041</v>
      </c>
      <c r="V28" s="10">
        <f>J28-60820</f>
        <v>4805.0200000000041</v>
      </c>
      <c r="W28" s="53"/>
      <c r="X28" s="53"/>
      <c r="Y28" s="53"/>
      <c r="Z28" s="65"/>
      <c r="AA28" s="10">
        <f>J28</f>
        <v>65625.02</v>
      </c>
      <c r="AB28" s="46">
        <f t="shared" si="1"/>
        <v>65625.02</v>
      </c>
      <c r="AD28" s="100"/>
      <c r="AE28" s="101"/>
      <c r="AF28" s="101"/>
      <c r="AG28" s="48">
        <f>(SUM(J28:K28)*2)-O28</f>
        <v>20682.640000000014</v>
      </c>
      <c r="AH28" s="48"/>
    </row>
    <row r="29" spans="1:34" ht="48.75" customHeight="1">
      <c r="A29" s="87" t="s">
        <v>134</v>
      </c>
      <c r="B29" s="86" t="s">
        <v>115</v>
      </c>
      <c r="C29" s="49" t="s">
        <v>135</v>
      </c>
      <c r="D29" s="49" t="s">
        <v>136</v>
      </c>
      <c r="E29" s="81" t="s">
        <v>137</v>
      </c>
      <c r="F29" s="68">
        <v>46231</v>
      </c>
      <c r="G29" s="63" t="str">
        <f t="shared" ca="1" si="4"/>
        <v>NO PRAZO</v>
      </c>
      <c r="H29" s="38"/>
      <c r="I29" s="81" t="s">
        <v>138</v>
      </c>
      <c r="J29" s="10">
        <v>298000</v>
      </c>
      <c r="K29" s="80"/>
      <c r="L29" s="267">
        <v>3119907.74</v>
      </c>
      <c r="M29" s="264">
        <v>656695.86</v>
      </c>
      <c r="N29" s="264">
        <v>0</v>
      </c>
      <c r="O29" s="9">
        <f t="shared" si="5"/>
        <v>656695.86</v>
      </c>
      <c r="P29" s="45"/>
      <c r="Q29" s="70"/>
      <c r="R29" s="45"/>
      <c r="S29" s="51">
        <f>291576.42-21573</f>
        <v>270003.42</v>
      </c>
      <c r="T29" s="10">
        <f>J29-O29</f>
        <v>-358695.86</v>
      </c>
      <c r="U29" s="10">
        <f>J29</f>
        <v>298000</v>
      </c>
      <c r="V29" s="65">
        <f>J29-271060</f>
        <v>26940</v>
      </c>
      <c r="W29" s="53"/>
      <c r="X29" s="53"/>
      <c r="Y29" s="53"/>
      <c r="Z29" s="45"/>
      <c r="AA29" s="53"/>
      <c r="AB29" s="46">
        <f t="shared" si="1"/>
        <v>0</v>
      </c>
      <c r="AD29" s="100">
        <f>SUM(J29:K29)*2</f>
        <v>596000</v>
      </c>
      <c r="AE29" s="101">
        <f>O29-AD29</f>
        <v>60695.859999999986</v>
      </c>
      <c r="AF29" s="101"/>
      <c r="AG29" s="48">
        <f>(SUM(J29:K29)*2)-O29</f>
        <v>-60695.859999999986</v>
      </c>
      <c r="AH29" s="48"/>
    </row>
    <row r="30" spans="1:34" ht="36" customHeight="1">
      <c r="A30" s="87" t="s">
        <v>139</v>
      </c>
      <c r="B30" s="86" t="s">
        <v>115</v>
      </c>
      <c r="C30" s="81" t="s">
        <v>140</v>
      </c>
      <c r="D30" s="81" t="s">
        <v>141</v>
      </c>
      <c r="E30" s="81" t="s">
        <v>142</v>
      </c>
      <c r="F30" s="68">
        <v>46062</v>
      </c>
      <c r="G30" s="63" t="str">
        <f t="shared" ca="1" si="4"/>
        <v>NO PRAZO</v>
      </c>
      <c r="H30" s="38"/>
      <c r="I30" s="73" t="s">
        <v>143</v>
      </c>
      <c r="J30" s="10">
        <v>90000</v>
      </c>
      <c r="K30" s="80"/>
      <c r="L30" s="267">
        <f>J30*12</f>
        <v>1080000</v>
      </c>
      <c r="M30" s="264">
        <v>286227.56</v>
      </c>
      <c r="N30" s="266">
        <v>0</v>
      </c>
      <c r="O30" s="9">
        <f t="shared" si="5"/>
        <v>286227.56</v>
      </c>
      <c r="P30" s="10"/>
      <c r="Q30" s="65"/>
      <c r="R30" s="45"/>
      <c r="S30" s="53"/>
      <c r="T30" s="53"/>
      <c r="U30" s="53"/>
      <c r="V30" s="53"/>
      <c r="W30" s="53"/>
      <c r="X30" s="53"/>
      <c r="Y30" s="10"/>
      <c r="Z30" s="45"/>
      <c r="AA30" s="53"/>
      <c r="AB30" s="46">
        <f t="shared" si="1"/>
        <v>0</v>
      </c>
      <c r="AD30" s="19">
        <f>SUM(J30:K30)*2</f>
        <v>180000</v>
      </c>
      <c r="AE30" s="48"/>
      <c r="AF30" s="48"/>
      <c r="AG30" s="48">
        <f>(SUM(J30:K30)*2)-O30</f>
        <v>-106227.56</v>
      </c>
      <c r="AH30" s="48"/>
    </row>
    <row r="31" spans="1:34" ht="54.75" customHeight="1">
      <c r="A31" s="87" t="s">
        <v>144</v>
      </c>
      <c r="B31" s="86" t="s">
        <v>115</v>
      </c>
      <c r="C31" s="49" t="s">
        <v>145</v>
      </c>
      <c r="D31" s="102">
        <v>12859652000165</v>
      </c>
      <c r="E31" s="81" t="s">
        <v>146</v>
      </c>
      <c r="F31" s="68">
        <v>46123</v>
      </c>
      <c r="G31" s="63" t="str">
        <f t="shared" ca="1" si="4"/>
        <v>NO PRAZO</v>
      </c>
      <c r="H31" s="63"/>
      <c r="I31" s="73" t="s">
        <v>147</v>
      </c>
      <c r="J31" s="10"/>
      <c r="K31" s="80">
        <v>95000</v>
      </c>
      <c r="L31" s="267">
        <v>1173817.01</v>
      </c>
      <c r="M31" s="281">
        <v>193101.91</v>
      </c>
      <c r="N31" s="264">
        <v>0</v>
      </c>
      <c r="O31" s="9">
        <f t="shared" si="5"/>
        <v>193101.91</v>
      </c>
      <c r="P31" s="45"/>
      <c r="Q31" s="45"/>
      <c r="R31" s="45"/>
      <c r="S31" s="10">
        <f>95000-46623</f>
        <v>48377</v>
      </c>
      <c r="T31" s="53"/>
      <c r="U31" s="53"/>
      <c r="V31" s="53"/>
      <c r="W31" s="103"/>
      <c r="X31" s="53"/>
      <c r="Y31" s="53"/>
      <c r="Z31" s="45"/>
      <c r="AA31" s="53"/>
      <c r="AB31" s="46">
        <f t="shared" si="1"/>
        <v>0</v>
      </c>
      <c r="AC31" s="104"/>
      <c r="AD31" s="19">
        <f>SUM(J31:K31)*2</f>
        <v>190000</v>
      </c>
      <c r="AE31" s="48"/>
      <c r="AF31" s="48">
        <v>-143541.48833333299</v>
      </c>
      <c r="AG31" s="48"/>
      <c r="AH31" s="48"/>
    </row>
    <row r="32" spans="1:34">
      <c r="A32" s="87" t="s">
        <v>148</v>
      </c>
      <c r="B32" s="89" t="s">
        <v>115</v>
      </c>
      <c r="C32" s="94" t="s">
        <v>149</v>
      </c>
      <c r="D32" s="71" t="s">
        <v>150</v>
      </c>
      <c r="E32" s="81" t="s">
        <v>151</v>
      </c>
      <c r="F32" s="68">
        <v>46094</v>
      </c>
      <c r="G32" s="63" t="str">
        <f t="shared" ca="1" si="4"/>
        <v>NO PRAZO</v>
      </c>
      <c r="H32" s="105"/>
      <c r="I32" s="68" t="s">
        <v>152</v>
      </c>
      <c r="J32" s="10">
        <v>6000</v>
      </c>
      <c r="K32" s="80"/>
      <c r="L32" s="267">
        <f>J32*12</f>
        <v>72000</v>
      </c>
      <c r="M32" s="282">
        <v>47621.01</v>
      </c>
      <c r="N32" s="266">
        <v>0</v>
      </c>
      <c r="O32" s="9">
        <f t="shared" si="5"/>
        <v>47621.01</v>
      </c>
      <c r="P32" s="10"/>
      <c r="Q32" s="45"/>
      <c r="R32" s="45"/>
      <c r="S32" s="53"/>
      <c r="T32" s="53"/>
      <c r="U32" s="53"/>
      <c r="V32" s="53"/>
      <c r="W32" s="53"/>
      <c r="X32" s="53"/>
      <c r="Y32" s="53"/>
      <c r="Z32" s="45"/>
      <c r="AA32" s="53"/>
      <c r="AB32" s="46">
        <f t="shared" si="1"/>
        <v>0</v>
      </c>
      <c r="AD32" s="19">
        <f>SUM(J32:K32)*2</f>
        <v>12000</v>
      </c>
      <c r="AE32" s="48"/>
      <c r="AF32" s="48">
        <v>-2000</v>
      </c>
      <c r="AG32" s="48"/>
      <c r="AH32" s="48"/>
    </row>
    <row r="33" spans="1:34" ht="30">
      <c r="A33" s="87" t="s">
        <v>153</v>
      </c>
      <c r="B33" s="89" t="s">
        <v>115</v>
      </c>
      <c r="C33" s="71" t="s">
        <v>154</v>
      </c>
      <c r="D33" s="71" t="s">
        <v>155</v>
      </c>
      <c r="E33" s="67" t="s">
        <v>156</v>
      </c>
      <c r="F33" s="73">
        <v>46224</v>
      </c>
      <c r="G33" s="63" t="str">
        <f t="shared" ca="1" si="4"/>
        <v>NO PRAZO</v>
      </c>
      <c r="H33" s="38"/>
      <c r="I33" s="67" t="s">
        <v>157</v>
      </c>
      <c r="J33" s="43">
        <v>500000</v>
      </c>
      <c r="K33" s="42"/>
      <c r="L33" s="263">
        <f>J33*12</f>
        <v>6000000</v>
      </c>
      <c r="M33" s="264">
        <v>950140.51</v>
      </c>
      <c r="N33" s="264">
        <v>0</v>
      </c>
      <c r="O33" s="9">
        <f t="shared" si="5"/>
        <v>950140.51</v>
      </c>
      <c r="P33" s="45"/>
      <c r="Q33" s="45"/>
      <c r="R33" s="51">
        <f>500000-83593</f>
        <v>416407</v>
      </c>
      <c r="S33" s="51">
        <f>500000-83593</f>
        <v>416407</v>
      </c>
      <c r="T33" s="10">
        <v>500000</v>
      </c>
      <c r="U33" s="53"/>
      <c r="V33" s="108"/>
      <c r="W33" s="10">
        <f>500000-208156</f>
        <v>291844</v>
      </c>
      <c r="X33" s="53"/>
      <c r="Y33" s="53"/>
      <c r="Z33" s="45"/>
      <c r="AA33" s="109">
        <f>J33*2-O33</f>
        <v>49859.489999999991</v>
      </c>
      <c r="AB33" s="46">
        <f t="shared" si="1"/>
        <v>49859.489999999991</v>
      </c>
      <c r="AC33" s="54"/>
      <c r="AD33" s="19">
        <f>SUM(J33:K33)*2</f>
        <v>1000000</v>
      </c>
      <c r="AE33" s="48">
        <f>O33-AD33</f>
        <v>-49859.489999999991</v>
      </c>
      <c r="AF33" s="48"/>
      <c r="AG33" s="48">
        <f>(SUM(J33:K33)*2)-O33</f>
        <v>49859.489999999991</v>
      </c>
      <c r="AH33" s="48"/>
    </row>
    <row r="34" spans="1:34" ht="45">
      <c r="A34" s="87" t="s">
        <v>158</v>
      </c>
      <c r="B34" s="89" t="s">
        <v>115</v>
      </c>
      <c r="C34" s="71" t="s">
        <v>159</v>
      </c>
      <c r="D34" s="71" t="s">
        <v>160</v>
      </c>
      <c r="E34" s="67" t="s">
        <v>161</v>
      </c>
      <c r="F34" s="73">
        <v>46098</v>
      </c>
      <c r="G34" s="63" t="str">
        <f t="shared" ca="1" si="4"/>
        <v>NO PRAZO</v>
      </c>
      <c r="H34" s="38" t="s">
        <v>162</v>
      </c>
      <c r="I34" s="67" t="s">
        <v>163</v>
      </c>
      <c r="J34" s="43"/>
      <c r="K34" s="42"/>
      <c r="L34" s="263">
        <v>11456.99</v>
      </c>
      <c r="M34" s="267">
        <v>0</v>
      </c>
      <c r="N34" s="266"/>
      <c r="O34" s="9">
        <f t="shared" si="5"/>
        <v>0</v>
      </c>
      <c r="P34" s="45"/>
      <c r="Q34" s="45"/>
      <c r="R34" s="51"/>
      <c r="S34" s="51"/>
      <c r="T34" s="10"/>
      <c r="U34" s="53"/>
      <c r="V34" s="53"/>
      <c r="W34" s="53"/>
      <c r="X34" s="53"/>
      <c r="Y34" s="10"/>
      <c r="Z34" s="109"/>
      <c r="AA34" s="109"/>
      <c r="AB34" s="46">
        <f t="shared" si="1"/>
        <v>0</v>
      </c>
      <c r="AC34" s="54"/>
      <c r="AE34" s="48"/>
      <c r="AF34" s="48"/>
      <c r="AG34" s="48"/>
      <c r="AH34" s="48"/>
    </row>
    <row r="35" spans="1:34" ht="85.5" customHeight="1">
      <c r="A35" s="86" t="s">
        <v>164</v>
      </c>
      <c r="B35" s="89"/>
      <c r="C35" s="77" t="s">
        <v>165</v>
      </c>
      <c r="D35" s="71"/>
      <c r="E35" s="67" t="s">
        <v>166</v>
      </c>
      <c r="F35" s="73"/>
      <c r="G35" s="63"/>
      <c r="H35" s="63"/>
      <c r="I35" s="67"/>
      <c r="J35" s="43"/>
      <c r="K35" s="42"/>
      <c r="L35" s="263"/>
      <c r="M35" s="266"/>
      <c r="N35" s="266"/>
      <c r="O35" s="9"/>
      <c r="P35" s="45"/>
      <c r="Q35" s="45"/>
      <c r="R35" s="51"/>
      <c r="S35" s="10"/>
      <c r="T35" s="10"/>
      <c r="U35" s="10"/>
      <c r="V35" s="70"/>
      <c r="W35" s="10"/>
      <c r="X35" s="10"/>
      <c r="Y35" s="10"/>
      <c r="Z35" s="109"/>
      <c r="AA35" s="109"/>
      <c r="AB35" s="46">
        <f t="shared" si="1"/>
        <v>0</v>
      </c>
      <c r="AC35" s="54"/>
      <c r="AE35" s="48"/>
      <c r="AF35" s="48"/>
      <c r="AG35" s="48"/>
      <c r="AH35" s="48"/>
    </row>
    <row r="36" spans="1:34" ht="54.75" customHeight="1">
      <c r="A36" s="86" t="s">
        <v>167</v>
      </c>
      <c r="B36" s="86" t="s">
        <v>109</v>
      </c>
      <c r="C36" s="49" t="s">
        <v>168</v>
      </c>
      <c r="D36" s="49" t="s">
        <v>169</v>
      </c>
      <c r="E36" s="38" t="s">
        <v>170</v>
      </c>
      <c r="F36" s="111">
        <v>46127</v>
      </c>
      <c r="G36" s="63" t="str">
        <f t="shared" ref="G36:G65" ca="1" si="6">IF((F36-TODAY())&lt;0,"EXPIRADO", IF((F36-TODAY())&lt;=60,"EM BREVE","NO PRAZO"))</f>
        <v>NO PRAZO</v>
      </c>
      <c r="H36" s="38"/>
      <c r="I36" s="98" t="s">
        <v>171</v>
      </c>
      <c r="J36" s="10"/>
      <c r="K36" s="80">
        <f>12640.77</f>
        <v>12640.77</v>
      </c>
      <c r="L36" s="267">
        <f>K36*12</f>
        <v>151689.24</v>
      </c>
      <c r="M36" s="283">
        <v>25281.54</v>
      </c>
      <c r="N36" s="266">
        <v>0</v>
      </c>
      <c r="O36" s="9">
        <f t="shared" ref="O36:O60" si="7">SUM(M36:N36)</f>
        <v>25281.54</v>
      </c>
      <c r="P36" s="10"/>
      <c r="Q36" s="10"/>
      <c r="R36" s="45"/>
      <c r="S36" s="45"/>
      <c r="T36" s="10">
        <f>K36-536</f>
        <v>12104.77</v>
      </c>
      <c r="U36" s="53"/>
      <c r="V36" s="10">
        <f>K36</f>
        <v>12640.77</v>
      </c>
      <c r="W36" s="53"/>
      <c r="X36" s="53"/>
      <c r="Y36" s="53"/>
      <c r="Z36" s="45"/>
      <c r="AA36" s="53"/>
      <c r="AB36" s="46">
        <f t="shared" ref="AB36:AB67" si="8">SUM(Y36:AA36)</f>
        <v>0</v>
      </c>
      <c r="AD36" s="19">
        <f>SUM(J36:K36)*2</f>
        <v>25281.54</v>
      </c>
      <c r="AE36" s="48">
        <f>O36-AD36</f>
        <v>0</v>
      </c>
      <c r="AF36" s="48"/>
      <c r="AG36" s="48">
        <f>(SUM(J36:K36)*2)-O36</f>
        <v>0</v>
      </c>
      <c r="AH36" s="48"/>
    </row>
    <row r="37" spans="1:34" ht="54.75" customHeight="1">
      <c r="A37" s="60" t="s">
        <v>172</v>
      </c>
      <c r="B37" s="89" t="s">
        <v>109</v>
      </c>
      <c r="C37" s="94" t="s">
        <v>110</v>
      </c>
      <c r="D37" s="71" t="s">
        <v>173</v>
      </c>
      <c r="E37" s="81" t="s">
        <v>174</v>
      </c>
      <c r="F37" s="68">
        <v>46219</v>
      </c>
      <c r="G37" s="63" t="str">
        <f t="shared" ca="1" si="6"/>
        <v>NO PRAZO</v>
      </c>
      <c r="H37" s="38"/>
      <c r="I37" s="81" t="s">
        <v>175</v>
      </c>
      <c r="J37" s="10"/>
      <c r="K37" s="42">
        <f>L37/12</f>
        <v>22669.34</v>
      </c>
      <c r="L37" s="263">
        <v>272032.08</v>
      </c>
      <c r="M37" s="283">
        <v>63344.59</v>
      </c>
      <c r="N37" s="266">
        <v>0</v>
      </c>
      <c r="O37" s="9">
        <f t="shared" si="7"/>
        <v>63344.59</v>
      </c>
      <c r="P37" s="45"/>
      <c r="Q37" s="10"/>
      <c r="R37" s="45"/>
      <c r="S37" s="45"/>
      <c r="T37" s="10">
        <f>22669-1831.59</f>
        <v>20837.41</v>
      </c>
      <c r="U37" s="53"/>
      <c r="V37" s="65"/>
      <c r="W37" s="10">
        <f>K37-1000</f>
        <v>21669.34</v>
      </c>
      <c r="X37" s="53"/>
      <c r="Y37" s="53"/>
      <c r="Z37" s="45"/>
      <c r="AA37" s="53"/>
      <c r="AB37" s="46">
        <f t="shared" si="8"/>
        <v>0</v>
      </c>
      <c r="AD37" s="19">
        <f>SUM(J37:K37)*2</f>
        <v>45338.68</v>
      </c>
      <c r="AE37" s="48">
        <f>O37-AD37</f>
        <v>18005.909999999996</v>
      </c>
      <c r="AF37" s="48"/>
      <c r="AG37" s="48">
        <f>(SUM(J37:K37)*2)-O37</f>
        <v>-18005.909999999996</v>
      </c>
      <c r="AH37" s="48"/>
    </row>
    <row r="38" spans="1:34" ht="30" customHeight="1">
      <c r="A38" s="75" t="s">
        <v>176</v>
      </c>
      <c r="B38" s="89" t="s">
        <v>109</v>
      </c>
      <c r="C38" s="114" t="s">
        <v>177</v>
      </c>
      <c r="D38" s="49" t="s">
        <v>178</v>
      </c>
      <c r="E38" s="81" t="s">
        <v>179</v>
      </c>
      <c r="F38" s="68">
        <v>46131</v>
      </c>
      <c r="G38" s="63" t="str">
        <f t="shared" ca="1" si="6"/>
        <v>NO PRAZO</v>
      </c>
      <c r="H38" s="38"/>
      <c r="I38" s="81" t="s">
        <v>180</v>
      </c>
      <c r="J38" s="10"/>
      <c r="K38" s="80">
        <f>L38/12</f>
        <v>24316.78</v>
      </c>
      <c r="L38" s="267">
        <v>291801.36</v>
      </c>
      <c r="M38" s="266">
        <v>52521.99</v>
      </c>
      <c r="N38" s="266">
        <v>0</v>
      </c>
      <c r="O38" s="9">
        <f t="shared" si="7"/>
        <v>52521.99</v>
      </c>
      <c r="P38" s="45"/>
      <c r="Q38" s="10"/>
      <c r="R38" s="10">
        <v>865.66</v>
      </c>
      <c r="S38" s="65">
        <f>K38-2497</f>
        <v>21819.78</v>
      </c>
      <c r="T38" s="10">
        <f>K38-22360</f>
        <v>1956.7799999999988</v>
      </c>
      <c r="U38" s="10">
        <f>K38</f>
        <v>24316.78</v>
      </c>
      <c r="V38" s="53"/>
      <c r="W38" s="53"/>
      <c r="X38" s="53"/>
      <c r="Y38" s="53"/>
      <c r="Z38" s="45"/>
      <c r="AA38" s="53"/>
      <c r="AB38" s="46">
        <f t="shared" si="8"/>
        <v>0</v>
      </c>
      <c r="AD38" s="19">
        <f>SUM(J38:K38)*2</f>
        <v>48633.56</v>
      </c>
      <c r="AE38" s="48">
        <f>O38-AD38</f>
        <v>3888.4300000000003</v>
      </c>
      <c r="AF38" s="48"/>
      <c r="AG38" s="48">
        <f>(SUM(J38:K38)*2)-O38</f>
        <v>-3888.4300000000003</v>
      </c>
      <c r="AH38" s="48"/>
    </row>
    <row r="39" spans="1:34" ht="76.5" customHeight="1">
      <c r="A39" s="86" t="s">
        <v>181</v>
      </c>
      <c r="B39" s="89" t="s">
        <v>109</v>
      </c>
      <c r="C39" s="114" t="s">
        <v>182</v>
      </c>
      <c r="D39" s="49">
        <v>8220952000122</v>
      </c>
      <c r="E39" s="81" t="s">
        <v>183</v>
      </c>
      <c r="F39" s="68">
        <v>45929</v>
      </c>
      <c r="G39" s="63" t="str">
        <f t="shared" ca="1" si="6"/>
        <v>EXPIRADO</v>
      </c>
      <c r="H39" s="154" t="s">
        <v>184</v>
      </c>
      <c r="I39" s="81" t="s">
        <v>185</v>
      </c>
      <c r="J39" s="10"/>
      <c r="K39" s="80">
        <v>131667.49</v>
      </c>
      <c r="L39" s="267">
        <f t="shared" ref="L39:L48" si="9">K39*12</f>
        <v>1580009.88</v>
      </c>
      <c r="M39" s="274">
        <v>61444.83</v>
      </c>
      <c r="N39" s="266">
        <v>0</v>
      </c>
      <c r="O39" s="9">
        <f t="shared" si="7"/>
        <v>61444.83</v>
      </c>
      <c r="P39" s="45"/>
      <c r="Q39" s="10"/>
      <c r="R39" s="45"/>
      <c r="S39" s="10">
        <v>131667</v>
      </c>
      <c r="T39" s="45"/>
      <c r="U39" s="10">
        <f>K39</f>
        <v>131667.49</v>
      </c>
      <c r="V39" s="53"/>
      <c r="W39" s="53"/>
      <c r="X39" s="53"/>
      <c r="Y39" s="53"/>
      <c r="Z39" s="10">
        <f>K39-O39</f>
        <v>70222.659999999989</v>
      </c>
      <c r="AA39" s="10">
        <f>K39</f>
        <v>131667.49</v>
      </c>
      <c r="AB39" s="46">
        <f t="shared" si="8"/>
        <v>201890.14999999997</v>
      </c>
      <c r="AD39" s="19">
        <f>SUM(J39:K39)*2</f>
        <v>263334.98</v>
      </c>
      <c r="AE39" s="48">
        <f>O39-AD39</f>
        <v>-201890.14999999997</v>
      </c>
      <c r="AF39" s="48"/>
      <c r="AG39" s="48">
        <f>(SUM(J39:K39)*2)-O39</f>
        <v>201890.14999999997</v>
      </c>
      <c r="AH39" s="48"/>
    </row>
    <row r="40" spans="1:34" ht="76.5" customHeight="1">
      <c r="A40" s="86" t="s">
        <v>186</v>
      </c>
      <c r="B40" s="89" t="s">
        <v>109</v>
      </c>
      <c r="C40" s="114" t="s">
        <v>182</v>
      </c>
      <c r="D40" s="49" t="s">
        <v>187</v>
      </c>
      <c r="E40" s="81" t="s">
        <v>188</v>
      </c>
      <c r="F40" s="68">
        <v>46660</v>
      </c>
      <c r="G40" s="63" t="str">
        <f t="shared" ca="1" si="6"/>
        <v>NO PRAZO</v>
      </c>
      <c r="H40" s="38"/>
      <c r="I40" s="81" t="s">
        <v>189</v>
      </c>
      <c r="J40" s="10"/>
      <c r="K40" s="80">
        <v>155277.21</v>
      </c>
      <c r="L40" s="267">
        <f t="shared" si="9"/>
        <v>1863326.52</v>
      </c>
      <c r="M40" s="266">
        <v>465831.63</v>
      </c>
      <c r="N40" s="266"/>
      <c r="O40" s="9">
        <f t="shared" si="7"/>
        <v>465831.63</v>
      </c>
      <c r="P40" s="45"/>
      <c r="Q40" s="10"/>
      <c r="R40" s="65"/>
      <c r="S40" s="10"/>
      <c r="T40" s="45"/>
      <c r="U40" s="53"/>
      <c r="V40" s="53"/>
      <c r="W40" s="53"/>
      <c r="X40" s="53"/>
      <c r="Y40" s="70"/>
      <c r="Z40" s="45"/>
      <c r="AA40" s="45"/>
      <c r="AB40" s="46">
        <f t="shared" si="8"/>
        <v>0</v>
      </c>
      <c r="AE40" s="48"/>
      <c r="AF40" s="48"/>
      <c r="AG40" s="48"/>
      <c r="AH40" s="48"/>
    </row>
    <row r="41" spans="1:34" ht="38.25" customHeight="1">
      <c r="A41" s="86" t="s">
        <v>190</v>
      </c>
      <c r="B41" s="89" t="s">
        <v>109</v>
      </c>
      <c r="C41" s="114" t="s">
        <v>191</v>
      </c>
      <c r="D41" s="49" t="s">
        <v>192</v>
      </c>
      <c r="E41" s="81" t="s">
        <v>193</v>
      </c>
      <c r="F41" s="68">
        <v>45929</v>
      </c>
      <c r="G41" s="63" t="str">
        <f t="shared" ca="1" si="6"/>
        <v>EXPIRADO</v>
      </c>
      <c r="H41" s="154" t="s">
        <v>184</v>
      </c>
      <c r="I41" s="81" t="s">
        <v>194</v>
      </c>
      <c r="J41" s="10"/>
      <c r="K41" s="80">
        <v>183316.03</v>
      </c>
      <c r="L41" s="267">
        <f t="shared" si="9"/>
        <v>2199792.36</v>
      </c>
      <c r="M41" s="274">
        <v>0</v>
      </c>
      <c r="N41" s="266">
        <v>0</v>
      </c>
      <c r="O41" s="9">
        <f t="shared" si="7"/>
        <v>0</v>
      </c>
      <c r="P41" s="45"/>
      <c r="Q41" s="10"/>
      <c r="R41" s="65">
        <f>K41-O41</f>
        <v>183316.03</v>
      </c>
      <c r="S41" s="10">
        <f>K41</f>
        <v>183316.03</v>
      </c>
      <c r="T41" s="45"/>
      <c r="U41" s="53"/>
      <c r="V41" s="53"/>
      <c r="W41" s="53"/>
      <c r="X41" s="53"/>
      <c r="Y41" s="70"/>
      <c r="Z41" s="10"/>
      <c r="AA41" s="10"/>
      <c r="AB41" s="46">
        <f t="shared" si="8"/>
        <v>0</v>
      </c>
      <c r="AD41" s="19">
        <f>SUM(J41:K41)*2</f>
        <v>366632.06</v>
      </c>
      <c r="AE41" s="48">
        <f>O41-AD41</f>
        <v>-366632.06</v>
      </c>
      <c r="AF41" s="48"/>
      <c r="AG41" s="48">
        <f>(SUM(J41:K41)*2)-O41</f>
        <v>366632.06</v>
      </c>
      <c r="AH41" s="48"/>
    </row>
    <row r="42" spans="1:34" ht="38.25" customHeight="1">
      <c r="A42" s="86" t="s">
        <v>195</v>
      </c>
      <c r="B42" s="89" t="s">
        <v>109</v>
      </c>
      <c r="C42" s="114" t="s">
        <v>191</v>
      </c>
      <c r="D42" s="49" t="s">
        <v>187</v>
      </c>
      <c r="E42" s="81" t="s">
        <v>196</v>
      </c>
      <c r="F42" s="68">
        <v>46660</v>
      </c>
      <c r="G42" s="63" t="str">
        <f t="shared" ca="1" si="6"/>
        <v>NO PRAZO</v>
      </c>
      <c r="H42" s="38"/>
      <c r="I42" s="81" t="s">
        <v>197</v>
      </c>
      <c r="J42" s="10"/>
      <c r="K42" s="80">
        <v>258893.8</v>
      </c>
      <c r="L42" s="267">
        <f t="shared" si="9"/>
        <v>3106725.5999999996</v>
      </c>
      <c r="M42" s="266">
        <v>776619.27</v>
      </c>
      <c r="N42" s="266"/>
      <c r="O42" s="9">
        <f t="shared" si="7"/>
        <v>776619.27</v>
      </c>
      <c r="P42" s="45"/>
      <c r="Q42" s="10"/>
      <c r="R42" s="65"/>
      <c r="S42" s="10"/>
      <c r="T42" s="45"/>
      <c r="U42" s="53"/>
      <c r="V42" s="53"/>
      <c r="W42" s="53"/>
      <c r="X42" s="53"/>
      <c r="Y42" s="70"/>
      <c r="Z42" s="45"/>
      <c r="AA42" s="45"/>
      <c r="AB42" s="46">
        <f t="shared" si="8"/>
        <v>0</v>
      </c>
      <c r="AE42" s="48"/>
      <c r="AF42" s="48"/>
      <c r="AG42" s="48"/>
      <c r="AH42" s="48"/>
    </row>
    <row r="43" spans="1:34" ht="41.25" customHeight="1">
      <c r="A43" s="89" t="s">
        <v>198</v>
      </c>
      <c r="B43" s="86" t="s">
        <v>109</v>
      </c>
      <c r="C43" s="67" t="s">
        <v>199</v>
      </c>
      <c r="D43" s="67" t="s">
        <v>200</v>
      </c>
      <c r="E43" s="81" t="s">
        <v>201</v>
      </c>
      <c r="F43" s="111">
        <v>46267</v>
      </c>
      <c r="G43" s="63" t="str">
        <f t="shared" ca="1" si="6"/>
        <v>NO PRAZO</v>
      </c>
      <c r="H43" s="38"/>
      <c r="I43" s="81" t="s">
        <v>202</v>
      </c>
      <c r="J43" s="10"/>
      <c r="K43" s="80">
        <v>116248.37</v>
      </c>
      <c r="L43" s="267">
        <f t="shared" si="9"/>
        <v>1394980.44</v>
      </c>
      <c r="M43" s="267">
        <v>392151.9</v>
      </c>
      <c r="N43" s="266">
        <v>0</v>
      </c>
      <c r="O43" s="9">
        <f t="shared" si="7"/>
        <v>392151.9</v>
      </c>
      <c r="P43" s="45"/>
      <c r="Q43" s="10"/>
      <c r="R43" s="45"/>
      <c r="S43" s="10">
        <f>117871-49371</f>
        <v>68500</v>
      </c>
      <c r="T43" s="10">
        <f>K43-O43</f>
        <v>-275903.53000000003</v>
      </c>
      <c r="U43" s="10">
        <f>K43</f>
        <v>116248.37</v>
      </c>
      <c r="V43" s="53"/>
      <c r="W43" s="53"/>
      <c r="X43" s="53"/>
      <c r="Y43" s="53"/>
      <c r="Z43" s="45"/>
      <c r="AA43" s="53"/>
      <c r="AB43" s="46">
        <f t="shared" si="8"/>
        <v>0</v>
      </c>
      <c r="AD43" s="19">
        <f t="shared" ref="AD43:AD60" si="10">SUM(J43:K43)*2</f>
        <v>232496.74</v>
      </c>
      <c r="AE43" s="48"/>
      <c r="AF43" s="48">
        <v>-212997.86</v>
      </c>
      <c r="AG43" s="48">
        <f>(SUM(J43:K43)*2)-O43</f>
        <v>-159655.16000000003</v>
      </c>
      <c r="AH43" s="48"/>
    </row>
    <row r="44" spans="1:34" ht="18.75" customHeight="1">
      <c r="A44" s="75" t="s">
        <v>203</v>
      </c>
      <c r="B44" s="89" t="s">
        <v>109</v>
      </c>
      <c r="C44" s="94" t="s">
        <v>204</v>
      </c>
      <c r="D44" s="71" t="s">
        <v>205</v>
      </c>
      <c r="E44" s="81" t="s">
        <v>206</v>
      </c>
      <c r="F44" s="68">
        <v>46402</v>
      </c>
      <c r="G44" s="63" t="str">
        <f t="shared" ca="1" si="6"/>
        <v>NO PRAZO</v>
      </c>
      <c r="H44" s="63"/>
      <c r="I44" s="81" t="s">
        <v>207</v>
      </c>
      <c r="J44" s="10"/>
      <c r="K44" s="115">
        <v>1918496.1</v>
      </c>
      <c r="L44" s="267">
        <f t="shared" si="9"/>
        <v>23021953.200000003</v>
      </c>
      <c r="M44" s="266">
        <v>213422.1</v>
      </c>
      <c r="N44" s="275">
        <v>0</v>
      </c>
      <c r="O44" s="9">
        <f t="shared" si="7"/>
        <v>213422.1</v>
      </c>
      <c r="P44" s="45"/>
      <c r="Q44" s="45"/>
      <c r="R44" s="45"/>
      <c r="S44" s="10">
        <f>1882331-116567</f>
        <v>1765764</v>
      </c>
      <c r="T44" s="10">
        <f t="shared" ref="T44:X44" si="11">1882331-116567</f>
        <v>1765764</v>
      </c>
      <c r="U44" s="10">
        <f t="shared" si="11"/>
        <v>1765764</v>
      </c>
      <c r="V44" s="10">
        <f t="shared" si="11"/>
        <v>1765764</v>
      </c>
      <c r="W44" s="10">
        <f t="shared" si="11"/>
        <v>1765764</v>
      </c>
      <c r="X44" s="10">
        <f t="shared" si="11"/>
        <v>1765764</v>
      </c>
      <c r="Y44" s="10"/>
      <c r="Z44" s="10">
        <f>K44-O44</f>
        <v>1705074</v>
      </c>
      <c r="AA44" s="10">
        <f>K44</f>
        <v>1918496.1</v>
      </c>
      <c r="AB44" s="46">
        <f t="shared" si="8"/>
        <v>3623570.1</v>
      </c>
      <c r="AD44" s="19">
        <f t="shared" si="10"/>
        <v>3836992.2</v>
      </c>
      <c r="AE44" s="48"/>
      <c r="AF44" s="48">
        <f>O44-AD44</f>
        <v>-3623570.1</v>
      </c>
      <c r="AG44" s="48"/>
      <c r="AH44" s="48"/>
    </row>
    <row r="45" spans="1:34" ht="41.25" customHeight="1">
      <c r="A45" s="86" t="s">
        <v>208</v>
      </c>
      <c r="B45" s="89" t="s">
        <v>109</v>
      </c>
      <c r="C45" s="94" t="s">
        <v>209</v>
      </c>
      <c r="D45" s="71" t="s">
        <v>210</v>
      </c>
      <c r="E45" s="81" t="s">
        <v>211</v>
      </c>
      <c r="F45" s="68">
        <v>46097</v>
      </c>
      <c r="G45" s="63" t="str">
        <f t="shared" ca="1" si="6"/>
        <v>NO PRAZO</v>
      </c>
      <c r="H45" s="38"/>
      <c r="I45" s="81" t="s">
        <v>212</v>
      </c>
      <c r="J45" s="10"/>
      <c r="K45" s="80">
        <v>1617878.59</v>
      </c>
      <c r="L45" s="263">
        <f t="shared" si="9"/>
        <v>19414543.080000002</v>
      </c>
      <c r="M45" s="266">
        <v>3235757.18</v>
      </c>
      <c r="N45" s="276">
        <v>0</v>
      </c>
      <c r="O45" s="9">
        <f t="shared" si="7"/>
        <v>3235757.18</v>
      </c>
      <c r="P45" s="45"/>
      <c r="Q45" s="45"/>
      <c r="R45" s="45"/>
      <c r="S45" s="10">
        <f>K45</f>
        <v>1617878.59</v>
      </c>
      <c r="T45" s="45"/>
      <c r="U45" s="10">
        <f>K45</f>
        <v>1617878.59</v>
      </c>
      <c r="V45" s="53"/>
      <c r="W45" s="53"/>
      <c r="X45" s="53"/>
      <c r="Y45" s="45"/>
      <c r="Z45" s="45"/>
      <c r="AA45" s="53"/>
      <c r="AB45" s="46">
        <f t="shared" si="8"/>
        <v>0</v>
      </c>
      <c r="AD45" s="19">
        <f t="shared" si="10"/>
        <v>3235757.18</v>
      </c>
      <c r="AE45" s="48"/>
      <c r="AF45" s="48">
        <f>O45-AD45</f>
        <v>0</v>
      </c>
      <c r="AG45" s="48">
        <f t="shared" ref="AG45:AG50" si="12">(SUM(J45:K45)*2)-O45</f>
        <v>0</v>
      </c>
      <c r="AH45" s="48"/>
    </row>
    <row r="46" spans="1:34" ht="41.25" customHeight="1">
      <c r="A46" s="75" t="s">
        <v>213</v>
      </c>
      <c r="B46" s="89" t="s">
        <v>109</v>
      </c>
      <c r="C46" s="94" t="s">
        <v>214</v>
      </c>
      <c r="D46" s="71" t="s">
        <v>215</v>
      </c>
      <c r="E46" s="81" t="s">
        <v>216</v>
      </c>
      <c r="F46" s="68">
        <v>46020</v>
      </c>
      <c r="G46" s="63" t="str">
        <f t="shared" ca="1" si="6"/>
        <v>EM BREVE</v>
      </c>
      <c r="H46" s="63"/>
      <c r="I46" s="81" t="s">
        <v>217</v>
      </c>
      <c r="J46" s="10"/>
      <c r="K46" s="80">
        <f>1412211.24</f>
        <v>1412211.24</v>
      </c>
      <c r="L46" s="263">
        <f t="shared" si="9"/>
        <v>16946534.879999999</v>
      </c>
      <c r="M46" s="266">
        <v>1022222.73</v>
      </c>
      <c r="N46" s="266">
        <v>0</v>
      </c>
      <c r="O46" s="9">
        <f t="shared" si="7"/>
        <v>1022222.73</v>
      </c>
      <c r="P46" s="45"/>
      <c r="Q46" s="10"/>
      <c r="R46" s="10">
        <f>K46-N46</f>
        <v>1412211.24</v>
      </c>
      <c r="S46" s="10">
        <f>1238299-555</f>
        <v>1237744</v>
      </c>
      <c r="T46" s="45"/>
      <c r="U46" s="10">
        <f>K46</f>
        <v>1412211.24</v>
      </c>
      <c r="V46" s="53"/>
      <c r="W46" s="53"/>
      <c r="X46" s="53"/>
      <c r="Y46" s="10"/>
      <c r="Z46" s="10">
        <f>K46-O46</f>
        <v>389988.51</v>
      </c>
      <c r="AA46" s="65">
        <f>K46</f>
        <v>1412211.24</v>
      </c>
      <c r="AB46" s="46">
        <f t="shared" si="8"/>
        <v>1802199.75</v>
      </c>
      <c r="AD46" s="19">
        <f t="shared" si="10"/>
        <v>2824422.48</v>
      </c>
      <c r="AE46" s="48"/>
      <c r="AF46" s="48">
        <f>O46-AD46</f>
        <v>-1802199.75</v>
      </c>
      <c r="AG46" s="48">
        <f t="shared" si="12"/>
        <v>1802199.75</v>
      </c>
      <c r="AH46" s="48"/>
    </row>
    <row r="47" spans="1:34" ht="27" customHeight="1">
      <c r="A47" s="75" t="s">
        <v>218</v>
      </c>
      <c r="B47" s="89" t="s">
        <v>109</v>
      </c>
      <c r="C47" s="94" t="s">
        <v>219</v>
      </c>
      <c r="D47" s="71" t="s">
        <v>215</v>
      </c>
      <c r="E47" s="81" t="s">
        <v>220</v>
      </c>
      <c r="F47" s="68">
        <v>46166</v>
      </c>
      <c r="G47" s="63" t="str">
        <f t="shared" ca="1" si="6"/>
        <v>NO PRAZO</v>
      </c>
      <c r="H47" s="38"/>
      <c r="I47" s="81" t="s">
        <v>221</v>
      </c>
      <c r="J47" s="118"/>
      <c r="K47" s="42">
        <v>236438.33100000001</v>
      </c>
      <c r="L47" s="263">
        <f t="shared" si="9"/>
        <v>2837259.9720000001</v>
      </c>
      <c r="M47" s="266">
        <v>489644.02</v>
      </c>
      <c r="N47" s="266">
        <v>0</v>
      </c>
      <c r="O47" s="9">
        <f t="shared" si="7"/>
        <v>489644.02</v>
      </c>
      <c r="P47" s="45"/>
      <c r="Q47" s="10"/>
      <c r="R47" s="45"/>
      <c r="S47" s="10">
        <v>190000</v>
      </c>
      <c r="T47" s="45"/>
      <c r="U47" s="10">
        <f>K47-171405</f>
        <v>65033.331000000006</v>
      </c>
      <c r="V47" s="53"/>
      <c r="W47" s="53"/>
      <c r="X47" s="53"/>
      <c r="Y47" s="45"/>
      <c r="Z47" s="45"/>
      <c r="AA47" s="53"/>
      <c r="AB47" s="46">
        <f t="shared" si="8"/>
        <v>0</v>
      </c>
      <c r="AD47" s="19">
        <f t="shared" si="10"/>
        <v>472876.66200000001</v>
      </c>
      <c r="AE47" s="48">
        <f>O47-AD47</f>
        <v>16767.358000000007</v>
      </c>
      <c r="AF47" s="48"/>
      <c r="AG47" s="48">
        <f t="shared" si="12"/>
        <v>-16767.358000000007</v>
      </c>
      <c r="AH47" s="48"/>
    </row>
    <row r="48" spans="1:34" ht="45">
      <c r="A48" s="86" t="s">
        <v>222</v>
      </c>
      <c r="B48" s="89" t="s">
        <v>109</v>
      </c>
      <c r="C48" s="119" t="s">
        <v>223</v>
      </c>
      <c r="D48" s="71" t="s">
        <v>224</v>
      </c>
      <c r="E48" s="81" t="s">
        <v>225</v>
      </c>
      <c r="F48" s="68">
        <v>46221</v>
      </c>
      <c r="G48" s="63" t="str">
        <f t="shared" ca="1" si="6"/>
        <v>NO PRAZO</v>
      </c>
      <c r="H48" s="63"/>
      <c r="I48" s="81" t="s">
        <v>226</v>
      </c>
      <c r="J48" s="10"/>
      <c r="K48" s="80">
        <v>163496.79999999999</v>
      </c>
      <c r="L48" s="267">
        <f t="shared" si="9"/>
        <v>1961961.5999999999</v>
      </c>
      <c r="M48" s="266">
        <v>163496.79999999999</v>
      </c>
      <c r="N48" s="266">
        <v>0</v>
      </c>
      <c r="O48" s="9">
        <f t="shared" si="7"/>
        <v>163496.79999999999</v>
      </c>
      <c r="P48" s="45"/>
      <c r="Q48" s="10"/>
      <c r="R48" s="45"/>
      <c r="S48" s="45"/>
      <c r="T48" s="65"/>
      <c r="U48" s="53"/>
      <c r="V48" s="10">
        <f>K48</f>
        <v>163496.79999999999</v>
      </c>
      <c r="W48" s="10">
        <f>K48</f>
        <v>163496.79999999999</v>
      </c>
      <c r="X48" s="70"/>
      <c r="Y48" s="70"/>
      <c r="Z48" s="45"/>
      <c r="AA48" s="10">
        <f>K48</f>
        <v>163496.79999999999</v>
      </c>
      <c r="AB48" s="46">
        <f t="shared" si="8"/>
        <v>163496.79999999999</v>
      </c>
      <c r="AC48" s="47"/>
      <c r="AD48" s="19">
        <f t="shared" si="10"/>
        <v>326993.59999999998</v>
      </c>
      <c r="AE48" s="48">
        <f>O48-AD48</f>
        <v>-163496.79999999999</v>
      </c>
      <c r="AF48" s="48"/>
      <c r="AG48" s="48">
        <f t="shared" si="12"/>
        <v>163496.79999999999</v>
      </c>
      <c r="AH48" s="48"/>
    </row>
    <row r="49" spans="1:34" ht="76.5" customHeight="1">
      <c r="A49" s="120" t="s">
        <v>227</v>
      </c>
      <c r="B49" s="89" t="s">
        <v>109</v>
      </c>
      <c r="C49" s="94" t="s">
        <v>228</v>
      </c>
      <c r="D49" s="71" t="s">
        <v>229</v>
      </c>
      <c r="E49" s="81" t="s">
        <v>230</v>
      </c>
      <c r="F49" s="68">
        <v>46114</v>
      </c>
      <c r="G49" s="63" t="str">
        <f t="shared" ca="1" si="6"/>
        <v>NO PRAZO</v>
      </c>
      <c r="H49" s="38"/>
      <c r="I49" s="81" t="s">
        <v>231</v>
      </c>
      <c r="J49" s="10">
        <v>1600000</v>
      </c>
      <c r="K49" s="42"/>
      <c r="L49" s="263">
        <f>J49*12</f>
        <v>19200000</v>
      </c>
      <c r="M49" s="266">
        <v>435887.47</v>
      </c>
      <c r="N49" s="266">
        <v>0</v>
      </c>
      <c r="O49" s="9">
        <f t="shared" si="7"/>
        <v>435887.47</v>
      </c>
      <c r="P49" s="45"/>
      <c r="Q49" s="45"/>
      <c r="R49" s="45"/>
      <c r="S49" s="45"/>
      <c r="T49" s="45"/>
      <c r="U49" s="10">
        <f>J49-836351</f>
        <v>763649</v>
      </c>
      <c r="V49" s="70">
        <f>J49-1393762</f>
        <v>206238</v>
      </c>
      <c r="W49" s="10">
        <f>J49-460192</f>
        <v>1139808</v>
      </c>
      <c r="X49" s="53"/>
      <c r="Y49" s="10"/>
      <c r="Z49" s="109">
        <f>J49-O49</f>
        <v>1164112.53</v>
      </c>
      <c r="AA49" s="109">
        <v>1998000</v>
      </c>
      <c r="AB49" s="46">
        <f t="shared" si="8"/>
        <v>3162112.5300000003</v>
      </c>
      <c r="AD49" s="19">
        <f t="shared" si="10"/>
        <v>3200000</v>
      </c>
      <c r="AE49" s="48"/>
      <c r="AF49" s="48">
        <v>-419070</v>
      </c>
      <c r="AG49" s="48">
        <f t="shared" si="12"/>
        <v>2764112.5300000003</v>
      </c>
      <c r="AH49" s="48"/>
    </row>
    <row r="50" spans="1:34" ht="76.5" customHeight="1">
      <c r="A50" s="75" t="s">
        <v>232</v>
      </c>
      <c r="B50" s="89" t="s">
        <v>109</v>
      </c>
      <c r="C50" s="94" t="s">
        <v>233</v>
      </c>
      <c r="D50" s="71" t="s">
        <v>229</v>
      </c>
      <c r="E50" s="81" t="s">
        <v>234</v>
      </c>
      <c r="F50" s="68">
        <v>46022</v>
      </c>
      <c r="G50" s="63" t="str">
        <f t="shared" ca="1" si="6"/>
        <v>EM BREVE</v>
      </c>
      <c r="H50" s="38" t="s">
        <v>235</v>
      </c>
      <c r="I50" s="38" t="s">
        <v>236</v>
      </c>
      <c r="J50" s="10">
        <f>L50/12</f>
        <v>1924342.125</v>
      </c>
      <c r="K50" s="42"/>
      <c r="L50" s="263">
        <f>8383552.34+14708553.16</f>
        <v>23092105.5</v>
      </c>
      <c r="M50" s="267">
        <v>33.64</v>
      </c>
      <c r="N50" s="266"/>
      <c r="O50" s="9">
        <f t="shared" si="7"/>
        <v>33.64</v>
      </c>
      <c r="P50" s="45"/>
      <c r="Q50" s="45"/>
      <c r="R50" s="45"/>
      <c r="S50" s="45"/>
      <c r="T50" s="45"/>
      <c r="U50" s="10">
        <f>J50-O50</f>
        <v>1924308.4850000001</v>
      </c>
      <c r="V50" s="45"/>
      <c r="W50" s="10">
        <f>1924342-1832108</f>
        <v>92234</v>
      </c>
      <c r="X50" s="53"/>
      <c r="Y50" s="109"/>
      <c r="Z50" s="109">
        <f>J50</f>
        <v>1924342.125</v>
      </c>
      <c r="AA50" s="121"/>
      <c r="AB50" s="46">
        <f t="shared" si="8"/>
        <v>1924342.125</v>
      </c>
      <c r="AD50" s="19">
        <f t="shared" si="10"/>
        <v>3848684.25</v>
      </c>
      <c r="AE50" s="48"/>
      <c r="AF50" s="48">
        <f>-AB50</f>
        <v>-1924342.125</v>
      </c>
      <c r="AG50" s="48">
        <f t="shared" si="12"/>
        <v>3848650.61</v>
      </c>
      <c r="AH50" s="48"/>
    </row>
    <row r="51" spans="1:34" ht="76.5" customHeight="1">
      <c r="A51" s="280" t="s">
        <v>237</v>
      </c>
      <c r="B51" s="89" t="s">
        <v>109</v>
      </c>
      <c r="C51" s="94" t="s">
        <v>228</v>
      </c>
      <c r="D51" s="71" t="s">
        <v>238</v>
      </c>
      <c r="E51" s="81" t="s">
        <v>239</v>
      </c>
      <c r="F51" s="68">
        <v>46146</v>
      </c>
      <c r="G51" s="63" t="str">
        <f t="shared" ca="1" si="6"/>
        <v>NO PRAZO</v>
      </c>
      <c r="H51" s="38"/>
      <c r="I51" s="81" t="s">
        <v>240</v>
      </c>
      <c r="J51" s="10">
        <v>145000</v>
      </c>
      <c r="K51" s="42"/>
      <c r="L51" s="263">
        <f>J51*12</f>
        <v>1740000</v>
      </c>
      <c r="M51" s="266">
        <v>297407.39</v>
      </c>
      <c r="N51" s="266"/>
      <c r="O51" s="9">
        <f t="shared" si="7"/>
        <v>297407.39</v>
      </c>
      <c r="P51" s="45"/>
      <c r="Q51" s="45"/>
      <c r="R51" s="45"/>
      <c r="S51" s="45"/>
      <c r="T51" s="45"/>
      <c r="U51" s="45"/>
      <c r="V51" s="45"/>
      <c r="W51" s="45"/>
      <c r="X51" s="45"/>
      <c r="Y51" s="109"/>
      <c r="Z51" s="45"/>
      <c r="AA51" s="45"/>
      <c r="AB51" s="46">
        <f t="shared" si="8"/>
        <v>0</v>
      </c>
      <c r="AD51" s="19">
        <f t="shared" si="10"/>
        <v>290000</v>
      </c>
      <c r="AE51" s="48">
        <f>O51-AD51</f>
        <v>7407.390000000014</v>
      </c>
      <c r="AF51" s="48"/>
      <c r="AG51" s="48"/>
      <c r="AH51" s="48"/>
    </row>
    <row r="52" spans="1:34" ht="40.5" customHeight="1">
      <c r="A52" s="86" t="s">
        <v>241</v>
      </c>
      <c r="B52" s="89" t="s">
        <v>109</v>
      </c>
      <c r="C52" s="71" t="s">
        <v>242</v>
      </c>
      <c r="D52" s="71" t="s">
        <v>243</v>
      </c>
      <c r="E52" s="81" t="s">
        <v>244</v>
      </c>
      <c r="F52" s="68">
        <v>46097</v>
      </c>
      <c r="G52" s="63" t="str">
        <f t="shared" ca="1" si="6"/>
        <v>NO PRAZO</v>
      </c>
      <c r="H52" s="38"/>
      <c r="I52" s="81" t="s">
        <v>245</v>
      </c>
      <c r="J52" s="10"/>
      <c r="K52" s="42">
        <v>484202.15</v>
      </c>
      <c r="L52" s="263">
        <f>K52*12</f>
        <v>5810425.8000000007</v>
      </c>
      <c r="M52" s="266">
        <v>917231.82</v>
      </c>
      <c r="N52" s="266"/>
      <c r="O52" s="9">
        <f t="shared" si="7"/>
        <v>917231.82</v>
      </c>
      <c r="P52" s="45"/>
      <c r="Q52" s="10"/>
      <c r="R52" s="10">
        <f>K52-N52</f>
        <v>484202.15</v>
      </c>
      <c r="S52" s="45"/>
      <c r="T52" s="45"/>
      <c r="U52" s="10">
        <f>K52</f>
        <v>484202.15</v>
      </c>
      <c r="V52" s="45"/>
      <c r="W52" s="45"/>
      <c r="X52" s="45"/>
      <c r="Y52" s="45"/>
      <c r="Z52" s="45"/>
      <c r="AA52" s="109">
        <f>K52*2-O52</f>
        <v>51172.480000000098</v>
      </c>
      <c r="AB52" s="46">
        <f t="shared" si="8"/>
        <v>51172.480000000098</v>
      </c>
      <c r="AD52" s="19">
        <f t="shared" si="10"/>
        <v>968404.3</v>
      </c>
      <c r="AE52" s="48">
        <f>O52-AD52</f>
        <v>-51172.480000000098</v>
      </c>
      <c r="AF52" s="48"/>
      <c r="AG52" s="48">
        <f>(SUM(J52:K52)*2)-O52</f>
        <v>51172.480000000098</v>
      </c>
      <c r="AH52" s="48"/>
    </row>
    <row r="53" spans="1:34" ht="24.75" customHeight="1">
      <c r="A53" s="86" t="s">
        <v>246</v>
      </c>
      <c r="B53" s="86" t="s">
        <v>109</v>
      </c>
      <c r="C53" s="38" t="s">
        <v>247</v>
      </c>
      <c r="D53" s="38" t="s">
        <v>248</v>
      </c>
      <c r="E53" s="38" t="s">
        <v>249</v>
      </c>
      <c r="F53" s="68">
        <v>46266</v>
      </c>
      <c r="G53" s="63" t="str">
        <f t="shared" ca="1" si="6"/>
        <v>NO PRAZO</v>
      </c>
      <c r="H53" s="38"/>
      <c r="I53" s="98" t="s">
        <v>250</v>
      </c>
      <c r="J53" s="10">
        <v>100</v>
      </c>
      <c r="K53" s="80"/>
      <c r="L53" s="267">
        <f>J53*12</f>
        <v>1200</v>
      </c>
      <c r="M53" s="283">
        <v>7572</v>
      </c>
      <c r="N53" s="266">
        <v>139</v>
      </c>
      <c r="O53" s="9">
        <f t="shared" si="7"/>
        <v>7711</v>
      </c>
      <c r="P53" s="10"/>
      <c r="Q53" s="10"/>
      <c r="R53" s="10">
        <f>J53</f>
        <v>100</v>
      </c>
      <c r="S53" s="45"/>
      <c r="T53" s="45"/>
      <c r="U53" s="45"/>
      <c r="V53" s="45"/>
      <c r="W53" s="45"/>
      <c r="X53" s="45"/>
      <c r="Y53" s="45"/>
      <c r="Z53" s="45"/>
      <c r="AA53" s="45"/>
      <c r="AB53" s="46">
        <f t="shared" si="8"/>
        <v>0</v>
      </c>
      <c r="AD53" s="19">
        <f t="shared" si="10"/>
        <v>200</v>
      </c>
      <c r="AE53" s="48"/>
      <c r="AF53" s="48"/>
      <c r="AG53" s="48">
        <f>(SUM(J53:K53)*2)-O53</f>
        <v>-7511</v>
      </c>
      <c r="AH53" s="48"/>
    </row>
    <row r="54" spans="1:34" ht="22.5" customHeight="1">
      <c r="A54" s="86" t="s">
        <v>251</v>
      </c>
      <c r="B54" s="86" t="s">
        <v>109</v>
      </c>
      <c r="C54" s="38" t="s">
        <v>247</v>
      </c>
      <c r="D54" s="38" t="s">
        <v>252</v>
      </c>
      <c r="E54" s="38" t="s">
        <v>249</v>
      </c>
      <c r="F54" s="68">
        <v>46266</v>
      </c>
      <c r="G54" s="63" t="str">
        <f t="shared" ca="1" si="6"/>
        <v>NO PRAZO</v>
      </c>
      <c r="H54" s="38"/>
      <c r="I54" s="98" t="s">
        <v>253</v>
      </c>
      <c r="J54" s="10">
        <v>15000</v>
      </c>
      <c r="K54" s="80"/>
      <c r="L54" s="267">
        <f>J54*12</f>
        <v>180000</v>
      </c>
      <c r="M54" s="283">
        <v>31000</v>
      </c>
      <c r="N54" s="266">
        <v>0</v>
      </c>
      <c r="O54" s="9">
        <f t="shared" si="7"/>
        <v>31000</v>
      </c>
      <c r="P54" s="10"/>
      <c r="Q54" s="45"/>
      <c r="R54" s="51">
        <f>J54</f>
        <v>15000</v>
      </c>
      <c r="S54" s="45"/>
      <c r="T54" s="45"/>
      <c r="U54" s="45"/>
      <c r="V54" s="45"/>
      <c r="W54" s="45"/>
      <c r="X54" s="122"/>
      <c r="Y54" s="45"/>
      <c r="Z54" s="45"/>
      <c r="AA54" s="45"/>
      <c r="AB54" s="46">
        <f t="shared" si="8"/>
        <v>0</v>
      </c>
      <c r="AD54" s="19">
        <f t="shared" si="10"/>
        <v>30000</v>
      </c>
      <c r="AE54" s="48"/>
      <c r="AF54" s="48"/>
      <c r="AG54" s="48"/>
      <c r="AH54" s="48"/>
    </row>
    <row r="55" spans="1:34" ht="41.25" customHeight="1">
      <c r="A55" s="86" t="s">
        <v>254</v>
      </c>
      <c r="B55" s="123" t="s">
        <v>47</v>
      </c>
      <c r="C55" s="71" t="s">
        <v>255</v>
      </c>
      <c r="D55" s="71" t="s">
        <v>256</v>
      </c>
      <c r="E55" s="81" t="s">
        <v>257</v>
      </c>
      <c r="F55" s="68">
        <v>46254</v>
      </c>
      <c r="G55" s="63" t="str">
        <f t="shared" ca="1" si="6"/>
        <v>NO PRAZO</v>
      </c>
      <c r="H55" s="38"/>
      <c r="I55" s="81" t="s">
        <v>258</v>
      </c>
      <c r="J55" s="10"/>
      <c r="K55" s="80">
        <v>5954.2</v>
      </c>
      <c r="L55" s="267">
        <v>63975.839999999997</v>
      </c>
      <c r="M55" s="266">
        <v>16913.07</v>
      </c>
      <c r="N55" s="266">
        <v>0</v>
      </c>
      <c r="O55" s="9">
        <f t="shared" si="7"/>
        <v>16913.07</v>
      </c>
      <c r="P55" s="45"/>
      <c r="Q55" s="45"/>
      <c r="R55" s="10">
        <f>K55-O55</f>
        <v>-10958.869999999999</v>
      </c>
      <c r="S55" s="10">
        <f>K55-4688</f>
        <v>1266.1999999999998</v>
      </c>
      <c r="T55" s="45"/>
      <c r="U55" s="10">
        <f>5331-O55</f>
        <v>-11582.07</v>
      </c>
      <c r="V55" s="70">
        <f>K55-4396</f>
        <v>1558.1999999999998</v>
      </c>
      <c r="W55" s="65">
        <f>K55</f>
        <v>5954.2</v>
      </c>
      <c r="X55" s="45"/>
      <c r="Y55" s="45"/>
      <c r="Z55" s="45"/>
      <c r="AA55" s="45"/>
      <c r="AB55" s="46">
        <f t="shared" si="8"/>
        <v>0</v>
      </c>
      <c r="AD55" s="19">
        <f t="shared" si="10"/>
        <v>11908.4</v>
      </c>
      <c r="AE55" s="48"/>
      <c r="AF55" s="48">
        <v>-643.349999999999</v>
      </c>
      <c r="AG55" s="48">
        <f>(SUM(J55:K55)*2)-O55</f>
        <v>-5004.67</v>
      </c>
      <c r="AH55" s="48"/>
    </row>
    <row r="56" spans="1:34" ht="38.25" customHeight="1">
      <c r="A56" s="90" t="s">
        <v>259</v>
      </c>
      <c r="B56" s="123" t="s">
        <v>47</v>
      </c>
      <c r="C56" s="94" t="s">
        <v>209</v>
      </c>
      <c r="D56" s="71" t="s">
        <v>260</v>
      </c>
      <c r="E56" s="81" t="s">
        <v>261</v>
      </c>
      <c r="F56" s="68">
        <v>46303</v>
      </c>
      <c r="G56" s="63" t="str">
        <f t="shared" ca="1" si="6"/>
        <v>NO PRAZO</v>
      </c>
      <c r="H56" s="38"/>
      <c r="I56" s="81" t="s">
        <v>262</v>
      </c>
      <c r="J56" s="10"/>
      <c r="K56" s="80">
        <v>23452.22</v>
      </c>
      <c r="L56" s="267">
        <f>K56*12</f>
        <v>281426.64</v>
      </c>
      <c r="M56" s="277">
        <v>1000</v>
      </c>
      <c r="N56" s="266">
        <v>0</v>
      </c>
      <c r="O56" s="9">
        <f t="shared" si="7"/>
        <v>1000</v>
      </c>
      <c r="P56" s="53"/>
      <c r="Q56" s="10"/>
      <c r="R56" s="45"/>
      <c r="S56" s="45"/>
      <c r="T56" s="45"/>
      <c r="U56" s="70">
        <f>K56</f>
        <v>23452.22</v>
      </c>
      <c r="V56" s="45"/>
      <c r="W56" s="45"/>
      <c r="X56" s="45"/>
      <c r="Y56" s="65"/>
      <c r="Z56" s="10">
        <f>K56-O56</f>
        <v>22452.22</v>
      </c>
      <c r="AA56" s="10">
        <f>K56</f>
        <v>23452.22</v>
      </c>
      <c r="AB56" s="46">
        <f t="shared" si="8"/>
        <v>45904.44</v>
      </c>
      <c r="AD56" s="19">
        <f t="shared" si="10"/>
        <v>46904.44</v>
      </c>
      <c r="AE56" s="48"/>
      <c r="AF56" s="48">
        <v>-46904.36</v>
      </c>
      <c r="AG56" s="48">
        <f>(SUM(J56:K56)*2)-O56</f>
        <v>45904.44</v>
      </c>
      <c r="AH56" s="48"/>
    </row>
    <row r="57" spans="1:34" ht="41.25" customHeight="1">
      <c r="A57" s="86" t="s">
        <v>263</v>
      </c>
      <c r="B57" s="123" t="s">
        <v>47</v>
      </c>
      <c r="C57" s="71" t="s">
        <v>135</v>
      </c>
      <c r="D57" s="71" t="s">
        <v>264</v>
      </c>
      <c r="E57" s="81" t="s">
        <v>265</v>
      </c>
      <c r="F57" s="68">
        <v>46309</v>
      </c>
      <c r="G57" s="63" t="str">
        <f t="shared" ca="1" si="6"/>
        <v>NO PRAZO</v>
      </c>
      <c r="H57" s="38"/>
      <c r="I57" s="81" t="s">
        <v>266</v>
      </c>
      <c r="J57" s="10">
        <f>L57/12</f>
        <v>4106.25</v>
      </c>
      <c r="K57" s="42"/>
      <c r="L57" s="263">
        <v>49275</v>
      </c>
      <c r="M57" s="277">
        <v>7891.86</v>
      </c>
      <c r="N57" s="266">
        <v>0</v>
      </c>
      <c r="O57" s="9">
        <f t="shared" si="7"/>
        <v>7891.86</v>
      </c>
      <c r="P57" s="53"/>
      <c r="Q57" s="10"/>
      <c r="R57" s="45"/>
      <c r="S57" s="45"/>
      <c r="T57" s="45"/>
      <c r="U57" s="45"/>
      <c r="V57" s="45"/>
      <c r="W57" s="45"/>
      <c r="X57" s="45"/>
      <c r="Y57" s="10"/>
      <c r="Z57" s="45"/>
      <c r="AA57" s="10">
        <f>J57*2-O57</f>
        <v>320.64000000000033</v>
      </c>
      <c r="AB57" s="46">
        <f t="shared" si="8"/>
        <v>320.64000000000033</v>
      </c>
      <c r="AD57" s="19">
        <f t="shared" si="10"/>
        <v>8212.5</v>
      </c>
      <c r="AE57" s="48"/>
      <c r="AF57" s="48">
        <f>-Y57*2</f>
        <v>0</v>
      </c>
      <c r="AG57" s="48"/>
      <c r="AH57" s="48"/>
    </row>
    <row r="58" spans="1:34" ht="60">
      <c r="A58" s="86" t="s">
        <v>267</v>
      </c>
      <c r="B58" s="123" t="s">
        <v>47</v>
      </c>
      <c r="C58" s="71" t="s">
        <v>223</v>
      </c>
      <c r="D58" s="71" t="s">
        <v>268</v>
      </c>
      <c r="E58" s="81" t="s">
        <v>269</v>
      </c>
      <c r="F58" s="68">
        <v>46068</v>
      </c>
      <c r="G58" s="63" t="str">
        <f t="shared" ca="1" si="6"/>
        <v>NO PRAZO</v>
      </c>
      <c r="H58" s="154" t="s">
        <v>270</v>
      </c>
      <c r="I58" s="81" t="s">
        <v>271</v>
      </c>
      <c r="J58" s="10"/>
      <c r="K58" s="42">
        <f>L58/12</f>
        <v>4290.91</v>
      </c>
      <c r="L58" s="263">
        <v>51490.92</v>
      </c>
      <c r="M58" s="284">
        <f>30036.37+4537.93</f>
        <v>34574.300000000003</v>
      </c>
      <c r="N58" s="266">
        <v>0</v>
      </c>
      <c r="O58" s="9">
        <f t="shared" si="7"/>
        <v>34574.300000000003</v>
      </c>
      <c r="P58" s="53"/>
      <c r="Q58" s="10"/>
      <c r="R58" s="45"/>
      <c r="S58" s="45"/>
      <c r="T58" s="45"/>
      <c r="U58" s="10">
        <f>K58</f>
        <v>4290.91</v>
      </c>
      <c r="V58" s="45"/>
      <c r="W58" s="45"/>
      <c r="X58" s="45"/>
      <c r="Y58" s="45"/>
      <c r="Z58" s="45"/>
      <c r="AA58" s="45"/>
      <c r="AB58" s="46">
        <f t="shared" si="8"/>
        <v>0</v>
      </c>
      <c r="AD58" s="19">
        <f t="shared" si="10"/>
        <v>8581.82</v>
      </c>
      <c r="AE58" s="48">
        <f>O58-AD58</f>
        <v>25992.480000000003</v>
      </c>
      <c r="AF58" s="48"/>
      <c r="AG58" s="48">
        <f t="shared" ref="AG58:AG63" si="13">(SUM(J58:K58)*2)-O58</f>
        <v>-25992.480000000003</v>
      </c>
      <c r="AH58" s="48"/>
    </row>
    <row r="59" spans="1:34" ht="27" customHeight="1">
      <c r="A59" s="126" t="s">
        <v>272</v>
      </c>
      <c r="B59" s="127" t="s">
        <v>273</v>
      </c>
      <c r="C59" s="129" t="s">
        <v>274</v>
      </c>
      <c r="D59" s="129" t="s">
        <v>275</v>
      </c>
      <c r="E59" s="81" t="s">
        <v>276</v>
      </c>
      <c r="F59" s="68">
        <v>46434</v>
      </c>
      <c r="G59" s="63" t="str">
        <f t="shared" ca="1" si="6"/>
        <v>NO PRAZO</v>
      </c>
      <c r="H59" s="63"/>
      <c r="I59" s="130" t="s">
        <v>277</v>
      </c>
      <c r="J59" s="10"/>
      <c r="K59" s="80">
        <v>382896.8</v>
      </c>
      <c r="L59" s="267">
        <f>K59*12</f>
        <v>4594761.5999999996</v>
      </c>
      <c r="M59" s="266">
        <v>767128.85</v>
      </c>
      <c r="N59" s="266">
        <v>0</v>
      </c>
      <c r="O59" s="9">
        <f t="shared" si="7"/>
        <v>767128.85</v>
      </c>
      <c r="P59" s="53"/>
      <c r="Q59" s="53"/>
      <c r="R59" s="10">
        <f>K59-O59</f>
        <v>-384232.05</v>
      </c>
      <c r="S59" s="45"/>
      <c r="T59" s="45"/>
      <c r="U59" s="10">
        <f>K59-O59</f>
        <v>-384232.05</v>
      </c>
      <c r="V59" s="45"/>
      <c r="W59" s="45"/>
      <c r="X59" s="45"/>
      <c r="Y59" s="45"/>
      <c r="Z59" s="45"/>
      <c r="AA59" s="45"/>
      <c r="AB59" s="46">
        <f t="shared" si="8"/>
        <v>0</v>
      </c>
      <c r="AD59" s="19">
        <f t="shared" si="10"/>
        <v>765793.6</v>
      </c>
      <c r="AE59" s="48">
        <f>O59-AD59</f>
        <v>1335.25</v>
      </c>
      <c r="AF59" s="48"/>
      <c r="AG59" s="48">
        <f t="shared" si="13"/>
        <v>-1335.25</v>
      </c>
      <c r="AH59" s="48"/>
    </row>
    <row r="60" spans="1:34" ht="14.25" customHeight="1">
      <c r="A60" s="126" t="s">
        <v>278</v>
      </c>
      <c r="B60" s="127" t="s">
        <v>273</v>
      </c>
      <c r="C60" s="129" t="s">
        <v>279</v>
      </c>
      <c r="D60" s="129" t="s">
        <v>280</v>
      </c>
      <c r="E60" s="81" t="s">
        <v>281</v>
      </c>
      <c r="F60" s="68">
        <v>46462</v>
      </c>
      <c r="G60" s="63" t="str">
        <f t="shared" ca="1" si="6"/>
        <v>NO PRAZO</v>
      </c>
      <c r="H60" s="63"/>
      <c r="I60" s="130" t="s">
        <v>282</v>
      </c>
      <c r="J60" s="10"/>
      <c r="K60" s="80">
        <v>193823.77</v>
      </c>
      <c r="L60" s="267">
        <f>K60*12</f>
        <v>2325885.2399999998</v>
      </c>
      <c r="M60" s="266">
        <v>388647.54</v>
      </c>
      <c r="N60" s="266">
        <v>0</v>
      </c>
      <c r="O60" s="9">
        <f t="shared" si="7"/>
        <v>388647.54</v>
      </c>
      <c r="P60" s="53"/>
      <c r="Q60" s="53"/>
      <c r="R60" s="45"/>
      <c r="S60" s="10">
        <f>K60</f>
        <v>193823.77</v>
      </c>
      <c r="T60" s="45"/>
      <c r="U60" s="10">
        <f>K60</f>
        <v>193823.77</v>
      </c>
      <c r="V60" s="65"/>
      <c r="W60" s="45"/>
      <c r="X60" s="45"/>
      <c r="Y60" s="45"/>
      <c r="Z60" s="45"/>
      <c r="AA60" s="45"/>
      <c r="AB60" s="46">
        <f t="shared" si="8"/>
        <v>0</v>
      </c>
      <c r="AD60" s="19">
        <f t="shared" si="10"/>
        <v>387647.54</v>
      </c>
      <c r="AE60" s="48">
        <f>O60-AD60</f>
        <v>1000</v>
      </c>
      <c r="AF60" s="48"/>
      <c r="AG60" s="48">
        <f t="shared" si="13"/>
        <v>-1000</v>
      </c>
      <c r="AH60" s="48"/>
    </row>
    <row r="61" spans="1:34" ht="66" customHeight="1">
      <c r="A61" s="131" t="s">
        <v>283</v>
      </c>
      <c r="B61" s="127" t="s">
        <v>273</v>
      </c>
      <c r="C61" s="129" t="s">
        <v>284</v>
      </c>
      <c r="D61" s="129" t="s">
        <v>285</v>
      </c>
      <c r="E61" s="81" t="s">
        <v>286</v>
      </c>
      <c r="F61" s="68">
        <v>46035</v>
      </c>
      <c r="G61" s="63" t="str">
        <f t="shared" ca="1" si="6"/>
        <v>EM BREVE</v>
      </c>
      <c r="H61" s="63"/>
      <c r="I61" s="67" t="s">
        <v>287</v>
      </c>
      <c r="J61" s="291">
        <v>309551</v>
      </c>
      <c r="K61" s="132"/>
      <c r="L61" s="267">
        <v>6773741.9900000002</v>
      </c>
      <c r="M61" s="266">
        <v>590994.48</v>
      </c>
      <c r="N61" s="266"/>
      <c r="O61" s="292">
        <f>SUM(M61:N62)</f>
        <v>590994.48</v>
      </c>
      <c r="P61" s="293"/>
      <c r="Q61" s="294"/>
      <c r="R61" s="293">
        <f>J61-M61</f>
        <v>-281443.48</v>
      </c>
      <c r="S61" s="295"/>
      <c r="T61" s="296"/>
      <c r="U61" s="297"/>
      <c r="V61" s="298"/>
      <c r="W61" s="298"/>
      <c r="X61" s="296"/>
      <c r="Y61" s="297"/>
      <c r="Z61" s="301"/>
      <c r="AA61" s="291">
        <f>J61*2-O61</f>
        <v>28107.520000000019</v>
      </c>
      <c r="AB61" s="46">
        <f t="shared" si="8"/>
        <v>28107.520000000019</v>
      </c>
      <c r="AC61" s="303"/>
      <c r="AD61" s="299">
        <f>J61*2</f>
        <v>619102</v>
      </c>
      <c r="AE61" s="300">
        <f>O61-AD61</f>
        <v>-28107.520000000019</v>
      </c>
      <c r="AF61" s="133"/>
      <c r="AG61" s="48">
        <f t="shared" si="13"/>
        <v>28107.520000000019</v>
      </c>
      <c r="AH61" s="48"/>
    </row>
    <row r="62" spans="1:34" ht="41.25" customHeight="1">
      <c r="A62" s="131" t="s">
        <v>288</v>
      </c>
      <c r="B62" s="127" t="s">
        <v>273</v>
      </c>
      <c r="C62" s="129" t="s">
        <v>284</v>
      </c>
      <c r="D62" s="129" t="s">
        <v>285</v>
      </c>
      <c r="E62" s="81" t="s">
        <v>289</v>
      </c>
      <c r="F62" s="68">
        <v>46079</v>
      </c>
      <c r="G62" s="63" t="str">
        <f t="shared" ca="1" si="6"/>
        <v>NO PRAZO</v>
      </c>
      <c r="H62" s="38"/>
      <c r="I62" s="67" t="s">
        <v>290</v>
      </c>
      <c r="J62" s="291"/>
      <c r="K62" s="132"/>
      <c r="L62" s="267">
        <v>5164500</v>
      </c>
      <c r="M62" s="266">
        <v>0</v>
      </c>
      <c r="N62" s="266"/>
      <c r="O62" s="292"/>
      <c r="P62" s="293"/>
      <c r="Q62" s="294"/>
      <c r="R62" s="293"/>
      <c r="S62" s="295"/>
      <c r="T62" s="296"/>
      <c r="U62" s="297"/>
      <c r="V62" s="298"/>
      <c r="W62" s="298"/>
      <c r="X62" s="296"/>
      <c r="Y62" s="297"/>
      <c r="Z62" s="302"/>
      <c r="AA62" s="291"/>
      <c r="AB62" s="46">
        <f t="shared" si="8"/>
        <v>0</v>
      </c>
      <c r="AC62" s="303"/>
      <c r="AD62" s="299"/>
      <c r="AE62" s="300"/>
      <c r="AF62" s="48"/>
      <c r="AG62" s="48">
        <f t="shared" si="13"/>
        <v>0</v>
      </c>
      <c r="AH62" s="48"/>
    </row>
    <row r="63" spans="1:34" ht="82.5" customHeight="1">
      <c r="A63" s="134" t="s">
        <v>291</v>
      </c>
      <c r="B63" s="135" t="s">
        <v>273</v>
      </c>
      <c r="C63" s="136" t="s">
        <v>292</v>
      </c>
      <c r="D63" s="137" t="s">
        <v>293</v>
      </c>
      <c r="E63" s="81" t="s">
        <v>294</v>
      </c>
      <c r="F63" s="68">
        <v>46340</v>
      </c>
      <c r="G63" s="63" t="str">
        <f t="shared" ca="1" si="6"/>
        <v>NO PRAZO</v>
      </c>
      <c r="H63" s="38"/>
      <c r="I63" s="81" t="s">
        <v>295</v>
      </c>
      <c r="J63" s="10">
        <f>L63/12</f>
        <v>7018</v>
      </c>
      <c r="K63" s="42"/>
      <c r="L63" s="263">
        <v>84216</v>
      </c>
      <c r="M63" s="281">
        <v>4754</v>
      </c>
      <c r="N63" s="264">
        <v>726</v>
      </c>
      <c r="O63" s="9">
        <f t="shared" ref="O63:O84" si="14">SUM(M63:N63)</f>
        <v>5480</v>
      </c>
      <c r="P63" s="53"/>
      <c r="Q63" s="53"/>
      <c r="R63" s="45"/>
      <c r="S63" s="45"/>
      <c r="T63" s="45"/>
      <c r="U63" s="45"/>
      <c r="V63" s="45"/>
      <c r="W63" s="45"/>
      <c r="X63" s="45"/>
      <c r="Y63" s="45"/>
      <c r="Z63" s="10">
        <f>J63-O63</f>
        <v>1538</v>
      </c>
      <c r="AA63" s="10">
        <f>J63</f>
        <v>7018</v>
      </c>
      <c r="AB63" s="46">
        <f t="shared" si="8"/>
        <v>8556</v>
      </c>
      <c r="AE63" s="48"/>
      <c r="AF63" s="48"/>
      <c r="AG63" s="48">
        <f t="shared" si="13"/>
        <v>8556</v>
      </c>
      <c r="AH63" s="48"/>
    </row>
    <row r="64" spans="1:34" ht="41.25" customHeight="1">
      <c r="A64" s="138" t="s">
        <v>296</v>
      </c>
      <c r="B64" s="127" t="s">
        <v>273</v>
      </c>
      <c r="C64" s="129" t="s">
        <v>297</v>
      </c>
      <c r="D64" s="129" t="s">
        <v>298</v>
      </c>
      <c r="E64" s="38" t="s">
        <v>299</v>
      </c>
      <c r="F64" s="68">
        <v>46331</v>
      </c>
      <c r="G64" s="63" t="str">
        <f t="shared" ca="1" si="6"/>
        <v>NO PRAZO</v>
      </c>
      <c r="H64" s="38"/>
      <c r="I64" s="279" t="s">
        <v>300</v>
      </c>
      <c r="J64" s="10">
        <f>L64/12</f>
        <v>1241.6666666666667</v>
      </c>
      <c r="K64" s="80"/>
      <c r="L64" s="267">
        <v>14900</v>
      </c>
      <c r="M64" s="283">
        <v>3725</v>
      </c>
      <c r="N64" s="266">
        <v>0</v>
      </c>
      <c r="O64" s="9">
        <f t="shared" si="14"/>
        <v>3725</v>
      </c>
      <c r="P64" s="53"/>
      <c r="Q64" s="45"/>
      <c r="R64" s="45"/>
      <c r="S64" s="45"/>
      <c r="T64" s="45"/>
      <c r="U64" s="45"/>
      <c r="V64" s="45"/>
      <c r="W64" s="45"/>
      <c r="X64" s="45"/>
      <c r="Y64" s="70"/>
      <c r="Z64" s="45"/>
      <c r="AA64" s="45"/>
      <c r="AB64" s="46">
        <f t="shared" si="8"/>
        <v>0</v>
      </c>
      <c r="AE64" s="48"/>
      <c r="AF64" s="48"/>
      <c r="AG64" s="48"/>
      <c r="AH64" s="48"/>
    </row>
    <row r="65" spans="1:34" ht="35.25" customHeight="1">
      <c r="A65" s="138" t="s">
        <v>301</v>
      </c>
      <c r="B65" s="127" t="s">
        <v>273</v>
      </c>
      <c r="C65" s="129" t="s">
        <v>297</v>
      </c>
      <c r="D65" s="129" t="s">
        <v>302</v>
      </c>
      <c r="E65" s="38" t="s">
        <v>303</v>
      </c>
      <c r="F65" s="68">
        <v>46327</v>
      </c>
      <c r="G65" s="63" t="str">
        <f t="shared" ca="1" si="6"/>
        <v>NO PRAZO</v>
      </c>
      <c r="H65" s="63"/>
      <c r="I65" s="279" t="s">
        <v>304</v>
      </c>
      <c r="J65" s="10">
        <f>L65/12</f>
        <v>832.5</v>
      </c>
      <c r="K65" s="80"/>
      <c r="L65" s="267">
        <v>9990</v>
      </c>
      <c r="M65" s="283">
        <v>1638</v>
      </c>
      <c r="N65" s="266">
        <v>0</v>
      </c>
      <c r="O65" s="9">
        <f t="shared" si="14"/>
        <v>1638</v>
      </c>
      <c r="P65" s="45"/>
      <c r="Q65" s="45"/>
      <c r="R65" s="70">
        <f>J65-O65</f>
        <v>-805.5</v>
      </c>
      <c r="S65" s="70">
        <f>J65-27</f>
        <v>805.5</v>
      </c>
      <c r="T65" s="70">
        <f>J65</f>
        <v>832.5</v>
      </c>
      <c r="U65" s="45"/>
      <c r="V65" s="45"/>
      <c r="W65" s="45"/>
      <c r="X65" s="45"/>
      <c r="Y65" s="45"/>
      <c r="Z65" s="45"/>
      <c r="AA65" s="10">
        <f>J65*2-O65</f>
        <v>27</v>
      </c>
      <c r="AB65" s="46">
        <f t="shared" si="8"/>
        <v>27</v>
      </c>
      <c r="AE65" s="48"/>
      <c r="AF65" s="48"/>
      <c r="AG65" s="48"/>
      <c r="AH65" s="48"/>
    </row>
    <row r="66" spans="1:34" ht="27" customHeight="1">
      <c r="A66" s="126" t="s">
        <v>305</v>
      </c>
      <c r="B66" s="127" t="s">
        <v>273</v>
      </c>
      <c r="C66" s="129" t="s">
        <v>306</v>
      </c>
      <c r="D66" s="129" t="s">
        <v>307</v>
      </c>
      <c r="E66" s="81" t="s">
        <v>308</v>
      </c>
      <c r="F66" s="68">
        <v>45920</v>
      </c>
      <c r="G66" s="63" t="str">
        <f ca="1">IF((F66-TODAY())&lt;0,"EXPIRADO", IF((F66-TODAY())&lt;=60,"EM BREVE","NO PRAZO"))</f>
        <v>EXPIRADO</v>
      </c>
      <c r="H66" s="154" t="s">
        <v>184</v>
      </c>
      <c r="I66" s="81" t="s">
        <v>309</v>
      </c>
      <c r="J66" s="10"/>
      <c r="K66" s="80">
        <f>L66/12</f>
        <v>39124.22</v>
      </c>
      <c r="L66" s="267">
        <v>469490.64</v>
      </c>
      <c r="M66" s="284">
        <v>34750.019999999997</v>
      </c>
      <c r="N66" s="266"/>
      <c r="O66" s="9">
        <f t="shared" si="14"/>
        <v>34750.019999999997</v>
      </c>
      <c r="P66" s="10"/>
      <c r="Q66" s="10"/>
      <c r="R66" s="45"/>
      <c r="S66" s="45"/>
      <c r="T66" s="45"/>
      <c r="U66" s="45"/>
      <c r="V66" s="45"/>
      <c r="W66" s="45"/>
      <c r="X66" s="108"/>
      <c r="Y66" s="70"/>
      <c r="Z66" s="10">
        <f>K66-O66</f>
        <v>4374.2000000000044</v>
      </c>
      <c r="AA66" s="10">
        <f>K66</f>
        <v>39124.22</v>
      </c>
      <c r="AB66" s="46">
        <f t="shared" si="8"/>
        <v>43498.420000000006</v>
      </c>
      <c r="AD66" s="19">
        <f>SUM(J66:K66)*2</f>
        <v>78248.44</v>
      </c>
      <c r="AE66" s="48">
        <f>O66-AD66</f>
        <v>-43498.420000000006</v>
      </c>
      <c r="AF66" s="48"/>
      <c r="AG66" s="48">
        <f>(SUM(J66:K66)*2)-O66</f>
        <v>43498.420000000006</v>
      </c>
      <c r="AH66" s="48"/>
    </row>
    <row r="67" spans="1:34" ht="22.5" customHeight="1">
      <c r="A67" s="139" t="s">
        <v>310</v>
      </c>
      <c r="B67" s="86" t="s">
        <v>273</v>
      </c>
      <c r="C67" s="38" t="s">
        <v>306</v>
      </c>
      <c r="D67" s="38" t="s">
        <v>311</v>
      </c>
      <c r="E67" s="81" t="s">
        <v>312</v>
      </c>
      <c r="F67" s="68">
        <v>47436</v>
      </c>
      <c r="G67" s="63" t="str">
        <f ca="1">IF((F67-TODAY())&lt;0,"EXPIRADO", IF((F67-TODAY())&lt;=60,"EM BREVE","NO PRAZO"))</f>
        <v>NO PRAZO</v>
      </c>
      <c r="H67" s="38"/>
      <c r="I67" s="63" t="s">
        <v>313</v>
      </c>
      <c r="J67" s="10">
        <f>L67/12</f>
        <v>339678</v>
      </c>
      <c r="K67" s="80"/>
      <c r="L67" s="266">
        <f>20380680/5</f>
        <v>4076136</v>
      </c>
      <c r="M67" s="266"/>
      <c r="N67" s="266">
        <v>2995835</v>
      </c>
      <c r="O67" s="9">
        <f t="shared" si="14"/>
        <v>2995835</v>
      </c>
      <c r="P67" s="45"/>
      <c r="Q67" s="53"/>
      <c r="R67" s="45"/>
      <c r="S67" s="53"/>
      <c r="T67" s="53"/>
      <c r="U67" s="53"/>
      <c r="V67" s="53"/>
      <c r="W67" s="53"/>
      <c r="X67" s="53"/>
      <c r="Y67" s="53"/>
      <c r="Z67" s="45"/>
      <c r="AA67" s="53"/>
      <c r="AB67" s="46">
        <f t="shared" si="8"/>
        <v>0</v>
      </c>
      <c r="AE67" s="48"/>
      <c r="AF67" s="48"/>
      <c r="AG67" s="48"/>
      <c r="AH67" s="48"/>
    </row>
    <row r="68" spans="1:34" ht="18.75" customHeight="1">
      <c r="A68" s="138" t="s">
        <v>314</v>
      </c>
      <c r="B68" s="127" t="s">
        <v>273</v>
      </c>
      <c r="C68" s="129" t="s">
        <v>41</v>
      </c>
      <c r="D68" s="129" t="s">
        <v>315</v>
      </c>
      <c r="E68" s="38"/>
      <c r="F68" s="38"/>
      <c r="G68" s="63"/>
      <c r="H68" s="63"/>
      <c r="I68" s="38"/>
      <c r="J68" s="10">
        <v>40000</v>
      </c>
      <c r="K68" s="80"/>
      <c r="L68" s="267">
        <f>J68*12</f>
        <v>480000</v>
      </c>
      <c r="M68" s="278">
        <v>88000.42</v>
      </c>
      <c r="N68" s="278">
        <v>2965.4</v>
      </c>
      <c r="O68" s="9">
        <f t="shared" si="14"/>
        <v>90965.819999999992</v>
      </c>
      <c r="P68" s="10"/>
      <c r="Q68" s="10"/>
      <c r="R68" s="45"/>
      <c r="S68" s="70">
        <f>40000-12743</f>
        <v>27257</v>
      </c>
      <c r="T68" s="53"/>
      <c r="U68" s="70">
        <f>J68-23261</f>
        <v>16739</v>
      </c>
      <c r="V68" s="53"/>
      <c r="W68" s="53"/>
      <c r="X68" s="53"/>
      <c r="Y68" s="53"/>
      <c r="Z68" s="45"/>
      <c r="AA68" s="53"/>
      <c r="AB68" s="46">
        <f t="shared" ref="AB68:AB83" si="15">SUM(Y68:AA68)</f>
        <v>0</v>
      </c>
      <c r="AD68" s="19">
        <f>J68*2</f>
        <v>80000</v>
      </c>
      <c r="AE68" s="48">
        <f>O68-AD68</f>
        <v>10965.819999999992</v>
      </c>
      <c r="AF68" s="48"/>
      <c r="AG68" s="48">
        <f>(SUM(J68:K68)*2)-O68</f>
        <v>-10965.819999999992</v>
      </c>
      <c r="AH68" s="48"/>
    </row>
    <row r="69" spans="1:34" ht="14.25" customHeight="1">
      <c r="A69" s="138" t="s">
        <v>316</v>
      </c>
      <c r="B69" s="127" t="s">
        <v>273</v>
      </c>
      <c r="C69" s="129" t="s">
        <v>45</v>
      </c>
      <c r="D69" s="129" t="s">
        <v>317</v>
      </c>
      <c r="E69" s="38"/>
      <c r="F69" s="38"/>
      <c r="G69" s="63"/>
      <c r="H69" s="63"/>
      <c r="I69" s="38"/>
      <c r="J69" s="10">
        <v>136350</v>
      </c>
      <c r="K69" s="80"/>
      <c r="L69" s="267">
        <f>J69*12</f>
        <v>1636200</v>
      </c>
      <c r="M69" s="266">
        <v>251998.44</v>
      </c>
      <c r="N69" s="266">
        <v>0</v>
      </c>
      <c r="O69" s="9">
        <f t="shared" si="14"/>
        <v>251998.44</v>
      </c>
      <c r="P69" s="51"/>
      <c r="Q69" s="10"/>
      <c r="R69" s="70">
        <f>J69-O69</f>
        <v>-115648.44</v>
      </c>
      <c r="S69" s="70">
        <f>J69</f>
        <v>136350</v>
      </c>
      <c r="T69" s="53"/>
      <c r="U69" s="53"/>
      <c r="V69" s="70">
        <f>J69-1163</f>
        <v>135187</v>
      </c>
      <c r="W69" s="53"/>
      <c r="X69" s="53"/>
      <c r="Y69" s="10"/>
      <c r="Z69" s="45"/>
      <c r="AA69" s="10">
        <f>J69*2-O69</f>
        <v>20701.559999999998</v>
      </c>
      <c r="AB69" s="46">
        <f t="shared" si="15"/>
        <v>20701.559999999998</v>
      </c>
      <c r="AD69" s="19">
        <f>J69*2</f>
        <v>272700</v>
      </c>
      <c r="AE69" s="48">
        <f>O69-AD69</f>
        <v>-20701.559999999998</v>
      </c>
      <c r="AF69" s="48"/>
      <c r="AG69" s="48"/>
      <c r="AH69" s="48"/>
    </row>
    <row r="70" spans="1:34" ht="14.25" customHeight="1">
      <c r="A70" s="138" t="s">
        <v>318</v>
      </c>
      <c r="B70" s="127" t="s">
        <v>273</v>
      </c>
      <c r="C70" s="129" t="s">
        <v>319</v>
      </c>
      <c r="D70" s="129"/>
      <c r="E70" s="38" t="s">
        <v>320</v>
      </c>
      <c r="F70" s="38"/>
      <c r="G70" s="63"/>
      <c r="H70" s="63"/>
      <c r="I70" s="38"/>
      <c r="J70" s="10">
        <v>245000</v>
      </c>
      <c r="K70" s="80"/>
      <c r="L70" s="267">
        <f>J70*12</f>
        <v>2940000</v>
      </c>
      <c r="M70" s="266">
        <v>240888.51</v>
      </c>
      <c r="N70" s="266">
        <v>0</v>
      </c>
      <c r="O70" s="9">
        <f t="shared" si="14"/>
        <v>240888.51</v>
      </c>
      <c r="P70" s="45"/>
      <c r="Q70" s="45"/>
      <c r="R70" s="70">
        <f>J70-O70</f>
        <v>4111.4899999999907</v>
      </c>
      <c r="S70" s="53"/>
      <c r="T70" s="70">
        <f>J70-8976</f>
        <v>236024</v>
      </c>
      <c r="U70" s="70">
        <f>J70-49349</f>
        <v>195651</v>
      </c>
      <c r="V70" s="53"/>
      <c r="W70" s="53"/>
      <c r="X70" s="53"/>
      <c r="Y70" s="10"/>
      <c r="Z70" s="10">
        <f>J70-O70</f>
        <v>4111.4899999999907</v>
      </c>
      <c r="AA70" s="10">
        <f>J70</f>
        <v>245000</v>
      </c>
      <c r="AB70" s="46">
        <f t="shared" si="15"/>
        <v>249111.49</v>
      </c>
      <c r="AD70" s="19">
        <f>J70*2</f>
        <v>490000</v>
      </c>
      <c r="AE70" s="48">
        <f>O70-AD70</f>
        <v>-249111.49</v>
      </c>
      <c r="AF70" s="48"/>
      <c r="AG70" s="48">
        <f t="shared" ref="AG70:AG77" si="16">(SUM(J70:K70)*2)-O70</f>
        <v>249111.49</v>
      </c>
      <c r="AH70" s="48"/>
    </row>
    <row r="71" spans="1:34" ht="27" customHeight="1">
      <c r="A71" s="86" t="s">
        <v>321</v>
      </c>
      <c r="B71" s="86" t="s">
        <v>322</v>
      </c>
      <c r="C71" s="49" t="s">
        <v>323</v>
      </c>
      <c r="D71" s="49" t="s">
        <v>324</v>
      </c>
      <c r="E71" s="81" t="s">
        <v>325</v>
      </c>
      <c r="F71" s="140">
        <v>46274</v>
      </c>
      <c r="G71" s="63" t="str">
        <f ca="1">IF((F71-TODAY())&lt;0,"EXPIRADO", IF((F71-TODAY())&lt;=60,"EM BREVE","NO PRAZO"))</f>
        <v>NO PRAZO</v>
      </c>
      <c r="H71" s="38"/>
      <c r="I71" s="84" t="s">
        <v>326</v>
      </c>
      <c r="J71" s="10">
        <f>L71/12</f>
        <v>1500933.5674999999</v>
      </c>
      <c r="K71" s="141"/>
      <c r="L71" s="267">
        <v>18011202.809999999</v>
      </c>
      <c r="M71" s="266">
        <v>1726196.09</v>
      </c>
      <c r="N71" s="266">
        <v>0</v>
      </c>
      <c r="O71" s="9">
        <f t="shared" si="14"/>
        <v>1726196.09</v>
      </c>
      <c r="P71" s="10"/>
      <c r="Q71" s="10"/>
      <c r="R71" s="45"/>
      <c r="S71" s="53"/>
      <c r="T71" s="53"/>
      <c r="U71" s="70">
        <f>'DRU 25'!J10</f>
        <v>1791326.86</v>
      </c>
      <c r="V71" s="53"/>
      <c r="W71" s="53"/>
      <c r="X71" s="53"/>
      <c r="Y71" s="70"/>
      <c r="Z71" s="51">
        <f>1791326.86-O71</f>
        <v>65130.770000000019</v>
      </c>
      <c r="AA71" s="10">
        <v>1506537.91</v>
      </c>
      <c r="AB71" s="46">
        <f t="shared" si="15"/>
        <v>1571668.68</v>
      </c>
      <c r="AC71" s="142"/>
      <c r="AD71" s="19">
        <f>Y71+Z71</f>
        <v>65130.770000000019</v>
      </c>
      <c r="AE71" s="48"/>
      <c r="AF71" s="48"/>
      <c r="AG71" s="48">
        <f t="shared" si="16"/>
        <v>1275671.0449999997</v>
      </c>
      <c r="AH71" s="48"/>
    </row>
    <row r="72" spans="1:34" ht="27" customHeight="1">
      <c r="A72" s="143" t="s">
        <v>327</v>
      </c>
      <c r="B72" s="86" t="s">
        <v>328</v>
      </c>
      <c r="C72" s="38" t="s">
        <v>329</v>
      </c>
      <c r="D72" s="38"/>
      <c r="E72" s="38"/>
      <c r="F72" s="62"/>
      <c r="G72" s="63"/>
      <c r="H72" s="63"/>
      <c r="I72" s="38"/>
      <c r="J72" s="10"/>
      <c r="K72" s="80"/>
      <c r="L72" s="267"/>
      <c r="M72" s="266"/>
      <c r="N72" s="266"/>
      <c r="O72" s="9">
        <f t="shared" si="14"/>
        <v>0</v>
      </c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46">
        <f t="shared" si="15"/>
        <v>0</v>
      </c>
      <c r="AE72" s="48"/>
      <c r="AF72" s="48"/>
      <c r="AG72" s="48">
        <f t="shared" si="16"/>
        <v>0</v>
      </c>
      <c r="AH72" s="48"/>
    </row>
    <row r="73" spans="1:34" ht="52.5" customHeight="1">
      <c r="A73" s="89" t="s">
        <v>330</v>
      </c>
      <c r="B73" s="86" t="s">
        <v>328</v>
      </c>
      <c r="C73" s="38" t="s">
        <v>331</v>
      </c>
      <c r="D73" s="38"/>
      <c r="E73" s="38" t="s">
        <v>332</v>
      </c>
      <c r="F73" s="38"/>
      <c r="G73" s="63"/>
      <c r="H73" s="63"/>
      <c r="I73" s="38"/>
      <c r="J73" s="10">
        <v>73000</v>
      </c>
      <c r="K73" s="80"/>
      <c r="L73" s="267">
        <f>11086.47+11086.47+11086.47+11086.47+8622.81+8622.81+3695.49+3695.49+2463.66</f>
        <v>71446.14</v>
      </c>
      <c r="M73" s="266">
        <v>0</v>
      </c>
      <c r="N73" s="266"/>
      <c r="O73" s="9">
        <f t="shared" si="14"/>
        <v>0</v>
      </c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46">
        <f t="shared" si="15"/>
        <v>0</v>
      </c>
      <c r="AE73" s="48"/>
      <c r="AF73" s="48"/>
      <c r="AG73" s="48">
        <f t="shared" si="16"/>
        <v>146000</v>
      </c>
      <c r="AH73" s="48"/>
    </row>
    <row r="74" spans="1:34" ht="173.25" customHeight="1">
      <c r="A74" s="262" t="s">
        <v>333</v>
      </c>
      <c r="B74" s="86" t="s">
        <v>328</v>
      </c>
      <c r="C74" s="38" t="s">
        <v>334</v>
      </c>
      <c r="D74" s="38"/>
      <c r="E74" s="38" t="s">
        <v>335</v>
      </c>
      <c r="F74" s="38" t="s">
        <v>336</v>
      </c>
      <c r="G74" s="63"/>
      <c r="H74" s="63"/>
      <c r="I74" s="79"/>
      <c r="J74" s="145">
        <v>285000</v>
      </c>
      <c r="K74" s="80"/>
      <c r="L74" s="267">
        <f t="shared" ref="L74:L81" si="17">J74*12</f>
        <v>3420000</v>
      </c>
      <c r="M74" s="266">
        <f>569765.43+50000</f>
        <v>619765.43000000005</v>
      </c>
      <c r="N74" s="266">
        <v>0</v>
      </c>
      <c r="O74" s="9">
        <f t="shared" si="14"/>
        <v>619765.43000000005</v>
      </c>
      <c r="P74" s="53"/>
      <c r="Q74" s="145"/>
      <c r="R74" s="45"/>
      <c r="S74" s="53"/>
      <c r="T74" s="53"/>
      <c r="U74" s="145">
        <f>285000-O74</f>
        <v>-334765.43000000005</v>
      </c>
      <c r="V74" s="53"/>
      <c r="W74" s="53"/>
      <c r="X74" s="10"/>
      <c r="Y74" s="10"/>
      <c r="Z74" s="53"/>
      <c r="AA74" s="53"/>
      <c r="AB74" s="46">
        <f t="shared" si="15"/>
        <v>0</v>
      </c>
      <c r="AC74" s="95"/>
      <c r="AD74" s="146"/>
      <c r="AE74" s="48"/>
      <c r="AF74" s="48"/>
      <c r="AG74" s="48">
        <f t="shared" si="16"/>
        <v>-49765.430000000051</v>
      </c>
      <c r="AH74" s="48"/>
    </row>
    <row r="75" spans="1:34" ht="219.75" customHeight="1">
      <c r="A75" s="147" t="s">
        <v>337</v>
      </c>
      <c r="B75" s="86" t="s">
        <v>328</v>
      </c>
      <c r="C75" s="38" t="s">
        <v>334</v>
      </c>
      <c r="D75" s="38"/>
      <c r="E75" s="148" t="s">
        <v>338</v>
      </c>
      <c r="F75" s="38" t="s">
        <v>339</v>
      </c>
      <c r="G75" s="63"/>
      <c r="H75" s="63"/>
      <c r="I75" s="79"/>
      <c r="J75" s="145">
        <v>28500</v>
      </c>
      <c r="K75" s="80"/>
      <c r="L75" s="267">
        <f t="shared" si="17"/>
        <v>342000</v>
      </c>
      <c r="M75" s="266">
        <f>62424.84+28500+24893</f>
        <v>115817.84</v>
      </c>
      <c r="N75" s="266">
        <v>0</v>
      </c>
      <c r="O75" s="9">
        <f t="shared" si="14"/>
        <v>115817.84</v>
      </c>
      <c r="P75" s="53"/>
      <c r="Q75" s="145"/>
      <c r="R75" s="45"/>
      <c r="S75" s="53"/>
      <c r="T75" s="53"/>
      <c r="U75" s="145">
        <f>28500-24893</f>
        <v>3607</v>
      </c>
      <c r="V75" s="53"/>
      <c r="W75" s="53"/>
      <c r="X75" s="53"/>
      <c r="Y75" s="53"/>
      <c r="Z75" s="53"/>
      <c r="AA75" s="53"/>
      <c r="AB75" s="46">
        <f t="shared" si="15"/>
        <v>0</v>
      </c>
      <c r="AC75" s="95"/>
      <c r="AD75" s="146"/>
      <c r="AE75" s="48"/>
      <c r="AF75" s="48"/>
      <c r="AG75" s="48">
        <f t="shared" si="16"/>
        <v>-58817.84</v>
      </c>
      <c r="AH75" s="48"/>
    </row>
    <row r="76" spans="1:34" ht="193.5" customHeight="1">
      <c r="A76" s="147" t="s">
        <v>340</v>
      </c>
      <c r="B76" s="86" t="s">
        <v>328</v>
      </c>
      <c r="C76" s="38" t="s">
        <v>334</v>
      </c>
      <c r="D76" s="38"/>
      <c r="E76" s="148" t="s">
        <v>341</v>
      </c>
      <c r="F76" s="38" t="s">
        <v>342</v>
      </c>
      <c r="G76" s="63"/>
      <c r="H76" s="63"/>
      <c r="I76" s="79"/>
      <c r="J76" s="145">
        <v>22500</v>
      </c>
      <c r="K76" s="80"/>
      <c r="L76" s="267">
        <f t="shared" si="17"/>
        <v>270000</v>
      </c>
      <c r="M76" s="266">
        <f>45348.61+74289.29+7373</f>
        <v>127010.9</v>
      </c>
      <c r="N76" s="266">
        <v>0</v>
      </c>
      <c r="O76" s="9">
        <f t="shared" si="14"/>
        <v>127010.9</v>
      </c>
      <c r="P76" s="53"/>
      <c r="Q76" s="145"/>
      <c r="R76" s="45"/>
      <c r="S76" s="53"/>
      <c r="T76" s="53"/>
      <c r="U76" s="53"/>
      <c r="V76" s="53"/>
      <c r="W76" s="53"/>
      <c r="X76" s="53"/>
      <c r="Y76" s="53"/>
      <c r="Z76" s="53"/>
      <c r="AA76" s="53"/>
      <c r="AB76" s="46">
        <f t="shared" si="15"/>
        <v>0</v>
      </c>
      <c r="AC76" s="95"/>
      <c r="AD76" s="146"/>
      <c r="AE76" s="48"/>
      <c r="AF76" s="48"/>
      <c r="AG76" s="48">
        <f t="shared" si="16"/>
        <v>-82010.899999999994</v>
      </c>
      <c r="AH76" s="48"/>
    </row>
    <row r="77" spans="1:34" ht="27" customHeight="1">
      <c r="A77" s="86" t="s">
        <v>343</v>
      </c>
      <c r="B77" s="86" t="s">
        <v>328</v>
      </c>
      <c r="C77" s="149" t="s">
        <v>344</v>
      </c>
      <c r="D77" s="150"/>
      <c r="E77" s="38"/>
      <c r="F77" s="38"/>
      <c r="G77" s="63"/>
      <c r="H77" s="63"/>
      <c r="I77" s="38"/>
      <c r="J77" s="10">
        <v>20000</v>
      </c>
      <c r="K77" s="80"/>
      <c r="L77" s="267">
        <f t="shared" si="17"/>
        <v>240000</v>
      </c>
      <c r="M77" s="266">
        <v>0</v>
      </c>
      <c r="N77" s="266">
        <v>0</v>
      </c>
      <c r="O77" s="9">
        <f t="shared" si="14"/>
        <v>0</v>
      </c>
      <c r="P77" s="70"/>
      <c r="Q77" s="70"/>
      <c r="R77" s="70">
        <f>J77</f>
        <v>20000</v>
      </c>
      <c r="S77" s="70">
        <f>J77</f>
        <v>20000</v>
      </c>
      <c r="T77" s="70">
        <f>J77</f>
        <v>20000</v>
      </c>
      <c r="U77" s="70">
        <f>J77</f>
        <v>20000</v>
      </c>
      <c r="V77" s="70">
        <f>J77</f>
        <v>20000</v>
      </c>
      <c r="W77" s="70">
        <f>J77</f>
        <v>20000</v>
      </c>
      <c r="X77" s="70"/>
      <c r="Y77" s="70"/>
      <c r="Z77" s="10">
        <f>J77</f>
        <v>20000</v>
      </c>
      <c r="AA77" s="10">
        <f>J77</f>
        <v>20000</v>
      </c>
      <c r="AB77" s="46">
        <f t="shared" si="15"/>
        <v>40000</v>
      </c>
      <c r="AE77" s="48"/>
      <c r="AF77" s="48"/>
      <c r="AG77" s="48">
        <f t="shared" si="16"/>
        <v>40000</v>
      </c>
      <c r="AH77" s="48"/>
    </row>
    <row r="78" spans="1:34" ht="14.25" customHeight="1">
      <c r="A78" s="151" t="s">
        <v>345</v>
      </c>
      <c r="B78" s="86" t="s">
        <v>346</v>
      </c>
      <c r="C78" s="49" t="s">
        <v>347</v>
      </c>
      <c r="D78" s="49"/>
      <c r="E78" s="81" t="s">
        <v>348</v>
      </c>
      <c r="F78" s="81"/>
      <c r="G78" s="63"/>
      <c r="H78" s="63"/>
      <c r="I78" s="84"/>
      <c r="J78" s="10">
        <v>70000</v>
      </c>
      <c r="K78" s="80"/>
      <c r="L78" s="267">
        <f t="shared" si="17"/>
        <v>840000</v>
      </c>
      <c r="M78" s="266">
        <v>101505.99</v>
      </c>
      <c r="N78" s="266">
        <v>25585.25</v>
      </c>
      <c r="O78" s="9">
        <f t="shared" si="14"/>
        <v>127091.24</v>
      </c>
      <c r="P78" s="53"/>
      <c r="Q78" s="53"/>
      <c r="R78" s="45"/>
      <c r="S78" s="53"/>
      <c r="T78" s="70">
        <f>J78-7000</f>
        <v>63000</v>
      </c>
      <c r="U78" s="70">
        <f>J78</f>
        <v>70000</v>
      </c>
      <c r="V78" s="53"/>
      <c r="W78" s="53"/>
      <c r="X78" s="53"/>
      <c r="Y78" s="53"/>
      <c r="Z78" s="45"/>
      <c r="AA78" s="10">
        <f>J78*2-N78</f>
        <v>114414.75</v>
      </c>
      <c r="AB78" s="46">
        <f t="shared" si="15"/>
        <v>114414.75</v>
      </c>
      <c r="AD78" s="19">
        <f>J78*2</f>
        <v>140000</v>
      </c>
      <c r="AE78" s="48">
        <f>O78-AD78-N78</f>
        <v>-38494.009999999995</v>
      </c>
      <c r="AF78" s="48"/>
      <c r="AG78" s="48"/>
      <c r="AH78" s="48"/>
    </row>
    <row r="79" spans="1:34" ht="82.5" customHeight="1">
      <c r="A79" s="152" t="s">
        <v>349</v>
      </c>
      <c r="B79" s="90" t="s">
        <v>350</v>
      </c>
      <c r="C79" s="38" t="s">
        <v>351</v>
      </c>
      <c r="D79" s="153">
        <v>18284407000153</v>
      </c>
      <c r="E79" s="81" t="s">
        <v>352</v>
      </c>
      <c r="F79" s="68">
        <v>46441</v>
      </c>
      <c r="G79" s="63" t="str">
        <f t="shared" ref="G79:G84" ca="1" si="18">IF((F79-TODAY())&lt;0,"EXPIRADO", IF((F79-TODAY())&lt;=60,"EM BREVE","NO PRAZO"))</f>
        <v>NO PRAZO</v>
      </c>
      <c r="H79" s="63"/>
      <c r="I79" s="84" t="s">
        <v>353</v>
      </c>
      <c r="J79" s="10">
        <v>44033.82</v>
      </c>
      <c r="K79" s="80"/>
      <c r="L79" s="267">
        <f t="shared" si="17"/>
        <v>528405.84</v>
      </c>
      <c r="M79" s="266">
        <v>447943.29</v>
      </c>
      <c r="N79" s="266">
        <v>0</v>
      </c>
      <c r="O79" s="9">
        <f t="shared" si="14"/>
        <v>447943.29</v>
      </c>
      <c r="P79" s="70"/>
      <c r="Q79" s="53"/>
      <c r="R79" s="45"/>
      <c r="S79" s="53"/>
      <c r="T79" s="53"/>
      <c r="U79" s="53"/>
      <c r="V79" s="53"/>
      <c r="W79" s="53"/>
      <c r="X79" s="53"/>
      <c r="Y79" s="53"/>
      <c r="Z79" s="45"/>
      <c r="AA79" s="53"/>
      <c r="AB79" s="46">
        <f t="shared" si="15"/>
        <v>0</v>
      </c>
      <c r="AD79" s="19">
        <f>J79*2</f>
        <v>88067.64</v>
      </c>
      <c r="AE79" s="48"/>
      <c r="AF79" s="48">
        <v>-88067.64</v>
      </c>
      <c r="AG79" s="48">
        <f>(SUM(J79:K79)*2)-O79</f>
        <v>-359875.64999999997</v>
      </c>
      <c r="AH79" s="48"/>
    </row>
    <row r="80" spans="1:34" ht="96" customHeight="1">
      <c r="A80" s="152" t="s">
        <v>354</v>
      </c>
      <c r="B80" s="90" t="s">
        <v>350</v>
      </c>
      <c r="C80" s="49" t="s">
        <v>355</v>
      </c>
      <c r="D80" s="153">
        <v>18284407000153</v>
      </c>
      <c r="E80" s="67" t="s">
        <v>356</v>
      </c>
      <c r="F80" s="68">
        <v>46734</v>
      </c>
      <c r="G80" s="63" t="str">
        <f t="shared" ca="1" si="18"/>
        <v>NO PRAZO</v>
      </c>
      <c r="H80" s="63"/>
      <c r="I80" s="84" t="s">
        <v>357</v>
      </c>
      <c r="J80" s="10">
        <v>280000</v>
      </c>
      <c r="K80" s="42"/>
      <c r="L80" s="263">
        <f t="shared" si="17"/>
        <v>3360000</v>
      </c>
      <c r="M80" s="264">
        <v>42971.08</v>
      </c>
      <c r="N80" s="264">
        <v>320755.17</v>
      </c>
      <c r="O80" s="9">
        <f t="shared" si="14"/>
        <v>363726.25</v>
      </c>
      <c r="P80" s="53"/>
      <c r="Q80" s="45"/>
      <c r="R80" s="45"/>
      <c r="S80" s="53"/>
      <c r="T80" s="53"/>
      <c r="U80" s="53"/>
      <c r="V80" s="53"/>
      <c r="W80" s="53"/>
      <c r="X80" s="53"/>
      <c r="Y80" s="53"/>
      <c r="Z80" s="45"/>
      <c r="AA80" s="10">
        <f>J80*2-O80</f>
        <v>196273.75</v>
      </c>
      <c r="AB80" s="46">
        <f t="shared" si="15"/>
        <v>196273.75</v>
      </c>
      <c r="AC80" s="54"/>
      <c r="AD80" s="19">
        <f>J80*2</f>
        <v>560000</v>
      </c>
      <c r="AE80" s="48"/>
      <c r="AF80" s="48"/>
      <c r="AG80" s="48"/>
      <c r="AH80" s="48"/>
    </row>
    <row r="81" spans="1:34" ht="41.25" customHeight="1">
      <c r="A81" s="90" t="s">
        <v>358</v>
      </c>
      <c r="B81" s="90" t="s">
        <v>328</v>
      </c>
      <c r="C81" s="49" t="s">
        <v>359</v>
      </c>
      <c r="D81" s="49" t="s">
        <v>360</v>
      </c>
      <c r="E81" s="67" t="s">
        <v>361</v>
      </c>
      <c r="F81" s="68">
        <v>46327</v>
      </c>
      <c r="G81" s="63" t="str">
        <f t="shared" ca="1" si="18"/>
        <v>NO PRAZO</v>
      </c>
      <c r="H81" s="38"/>
      <c r="I81" s="69" t="s">
        <v>362</v>
      </c>
      <c r="J81" s="10">
        <v>17000</v>
      </c>
      <c r="K81" s="42"/>
      <c r="L81" s="263">
        <f t="shared" si="17"/>
        <v>204000</v>
      </c>
      <c r="M81" s="266">
        <v>37677.33</v>
      </c>
      <c r="N81" s="266">
        <v>0</v>
      </c>
      <c r="O81" s="9">
        <f t="shared" si="14"/>
        <v>37677.33</v>
      </c>
      <c r="P81" s="70"/>
      <c r="Q81" s="70"/>
      <c r="R81" s="45"/>
      <c r="S81" s="45"/>
      <c r="T81" s="70">
        <v>17000</v>
      </c>
      <c r="U81" s="70">
        <f>J81</f>
        <v>17000</v>
      </c>
      <c r="V81" s="70">
        <f>J81-14992</f>
        <v>2008</v>
      </c>
      <c r="W81" s="70">
        <f>J81-14992</f>
        <v>2008</v>
      </c>
      <c r="X81" s="53"/>
      <c r="Y81" s="53"/>
      <c r="Z81" s="45"/>
      <c r="AA81" s="53"/>
      <c r="AB81" s="46">
        <f t="shared" si="15"/>
        <v>0</v>
      </c>
      <c r="AC81" s="54"/>
      <c r="AD81" s="19">
        <f>J81*2</f>
        <v>34000</v>
      </c>
      <c r="AE81" s="48"/>
      <c r="AF81" s="48">
        <v>-31532.95</v>
      </c>
      <c r="AG81" s="48">
        <f>(SUM(J81:K81)*2)-O81</f>
        <v>-3677.3300000000017</v>
      </c>
      <c r="AH81" s="48"/>
    </row>
    <row r="82" spans="1:34" ht="27" customHeight="1">
      <c r="A82" s="86" t="s">
        <v>363</v>
      </c>
      <c r="B82" s="86" t="s">
        <v>328</v>
      </c>
      <c r="C82" s="38" t="s">
        <v>364</v>
      </c>
      <c r="D82" s="38" t="s">
        <v>365</v>
      </c>
      <c r="E82" s="81" t="s">
        <v>366</v>
      </c>
      <c r="F82" s="111">
        <v>45682</v>
      </c>
      <c r="G82" s="63" t="str">
        <f t="shared" ca="1" si="18"/>
        <v>EXPIRADO</v>
      </c>
      <c r="H82" s="154" t="s">
        <v>367</v>
      </c>
      <c r="I82" s="81" t="s">
        <v>368</v>
      </c>
      <c r="J82" s="10"/>
      <c r="K82" s="80"/>
      <c r="L82" s="267">
        <v>45000</v>
      </c>
      <c r="M82" s="266">
        <v>0</v>
      </c>
      <c r="N82" s="266">
        <v>0</v>
      </c>
      <c r="O82" s="9">
        <f t="shared" si="14"/>
        <v>0</v>
      </c>
      <c r="P82" s="10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46">
        <f t="shared" si="15"/>
        <v>0</v>
      </c>
      <c r="AE82" s="48"/>
      <c r="AF82" s="48"/>
      <c r="AG82" s="48">
        <f>(SUM(J82:K82)*2)-O82</f>
        <v>0</v>
      </c>
      <c r="AH82" s="48"/>
    </row>
    <row r="83" spans="1:34" ht="27" customHeight="1">
      <c r="A83" s="155" t="s">
        <v>369</v>
      </c>
      <c r="B83" s="86" t="s">
        <v>328</v>
      </c>
      <c r="C83" s="77" t="s">
        <v>370</v>
      </c>
      <c r="D83" s="77" t="s">
        <v>256</v>
      </c>
      <c r="E83" s="81" t="s">
        <v>371</v>
      </c>
      <c r="F83" s="111">
        <v>45844</v>
      </c>
      <c r="G83" s="63" t="str">
        <f t="shared" ca="1" si="18"/>
        <v>EXPIRADO</v>
      </c>
      <c r="H83" s="154" t="s">
        <v>372</v>
      </c>
      <c r="I83" s="84" t="s">
        <v>373</v>
      </c>
      <c r="J83" s="10"/>
      <c r="K83" s="80">
        <f>L83/12</f>
        <v>5039.3474999999999</v>
      </c>
      <c r="L83" s="267">
        <v>60472.17</v>
      </c>
      <c r="M83" s="266">
        <v>23684.51</v>
      </c>
      <c r="N83" s="266">
        <v>0</v>
      </c>
      <c r="O83" s="9">
        <f t="shared" si="14"/>
        <v>23684.51</v>
      </c>
      <c r="P83" s="10"/>
      <c r="Q83" s="10"/>
      <c r="R83" s="45"/>
      <c r="S83" s="45"/>
      <c r="T83" s="10">
        <f>K83-166.38</f>
        <v>4872.9674999999997</v>
      </c>
      <c r="U83" s="70">
        <f>K83</f>
        <v>5039.3474999999999</v>
      </c>
      <c r="V83" s="108"/>
      <c r="W83" s="70">
        <f>K83-1512</f>
        <v>3527.3474999999999</v>
      </c>
      <c r="X83" s="70"/>
      <c r="Y83" s="53"/>
      <c r="Z83" s="45"/>
      <c r="AA83" s="53"/>
      <c r="AB83" s="46">
        <f t="shared" si="15"/>
        <v>0</v>
      </c>
      <c r="AD83" s="19">
        <f>K83*2</f>
        <v>10078.695</v>
      </c>
      <c r="AE83" s="48"/>
      <c r="AF83" s="48"/>
      <c r="AG83" s="48">
        <f>(SUM(J83:K83)*2)-O83</f>
        <v>-13605.814999999999</v>
      </c>
      <c r="AH83" s="48"/>
    </row>
    <row r="84" spans="1:34" ht="27" customHeight="1">
      <c r="A84" s="155" t="s">
        <v>374</v>
      </c>
      <c r="B84" s="86" t="s">
        <v>328</v>
      </c>
      <c r="C84" s="77" t="s">
        <v>370</v>
      </c>
      <c r="D84" s="77">
        <v>27072369000166</v>
      </c>
      <c r="E84" s="81" t="s">
        <v>375</v>
      </c>
      <c r="F84" s="111">
        <v>46331</v>
      </c>
      <c r="G84" s="63" t="str">
        <f t="shared" ca="1" si="18"/>
        <v>NO PRAZO</v>
      </c>
      <c r="H84" s="63"/>
      <c r="I84" s="84" t="s">
        <v>376</v>
      </c>
      <c r="J84" s="10"/>
      <c r="K84" s="80">
        <f>L84/12</f>
        <v>5901.2750000000005</v>
      </c>
      <c r="L84" s="267">
        <v>70815.3</v>
      </c>
      <c r="M84" s="266">
        <v>999.2</v>
      </c>
      <c r="N84" s="266"/>
      <c r="O84" s="9">
        <f t="shared" si="14"/>
        <v>999.2</v>
      </c>
      <c r="P84" s="10"/>
      <c r="Q84" s="10"/>
      <c r="R84" s="45"/>
      <c r="S84" s="45"/>
      <c r="T84" s="10"/>
      <c r="U84" s="70"/>
      <c r="V84" s="108"/>
      <c r="W84" s="70"/>
      <c r="X84" s="70"/>
      <c r="Y84" s="53"/>
      <c r="Z84" s="10">
        <f>K84-O84</f>
        <v>4902.0750000000007</v>
      </c>
      <c r="AA84" s="10">
        <f>K84</f>
        <v>5901.2750000000005</v>
      </c>
      <c r="AB84" s="46"/>
      <c r="AE84" s="48"/>
      <c r="AF84" s="48"/>
      <c r="AG84" s="48"/>
      <c r="AH84" s="48"/>
    </row>
    <row r="85" spans="1:34" ht="39" customHeight="1">
      <c r="A85" s="75" t="s">
        <v>377</v>
      </c>
      <c r="B85" s="86" t="s">
        <v>328</v>
      </c>
      <c r="C85" s="71" t="s">
        <v>378</v>
      </c>
      <c r="D85" s="71"/>
      <c r="E85" s="81" t="s">
        <v>379</v>
      </c>
      <c r="F85" s="62"/>
      <c r="G85" s="63" t="str">
        <f t="shared" ref="G85:G91" ca="1" si="19">IF((F85-TODAY())&lt;0,"EXPIRADO", IF((F85-TODAY())&lt;=60,"EM BREVE","NO PRAZO"))</f>
        <v>EXPIRADO</v>
      </c>
      <c r="H85" s="38"/>
      <c r="I85" s="156" t="s">
        <v>380</v>
      </c>
      <c r="J85" s="10"/>
      <c r="K85" s="80"/>
      <c r="L85" s="267">
        <v>561085.01</v>
      </c>
      <c r="M85" s="266"/>
      <c r="N85" s="266"/>
      <c r="O85" s="9">
        <f t="shared" ref="O85:O91" si="20">SUM(M85:N85)</f>
        <v>0</v>
      </c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10"/>
      <c r="AA85" s="10"/>
      <c r="AB85" s="46">
        <f t="shared" ref="AB85:AB91" si="21">SUM(Y85:AA85)</f>
        <v>0</v>
      </c>
      <c r="AE85" s="48"/>
      <c r="AF85" s="48">
        <v>-561085.01</v>
      </c>
      <c r="AG85" s="48"/>
    </row>
    <row r="86" spans="1:34" ht="35.25" customHeight="1">
      <c r="A86" s="157" t="s">
        <v>381</v>
      </c>
      <c r="B86" s="157" t="s">
        <v>382</v>
      </c>
      <c r="C86" s="49" t="s">
        <v>383</v>
      </c>
      <c r="D86" s="49" t="s">
        <v>384</v>
      </c>
      <c r="E86" s="158" t="s">
        <v>385</v>
      </c>
      <c r="F86" s="62">
        <v>46792</v>
      </c>
      <c r="G86" s="63" t="str">
        <f t="shared" ca="1" si="19"/>
        <v>NO PRAZO</v>
      </c>
      <c r="H86" s="63"/>
      <c r="I86" s="159" t="s">
        <v>386</v>
      </c>
      <c r="J86" s="10">
        <v>3000</v>
      </c>
      <c r="K86" s="80"/>
      <c r="L86" s="267">
        <f t="shared" ref="L86:L91" si="22">J86*12</f>
        <v>36000</v>
      </c>
      <c r="M86" s="266">
        <v>12684.44</v>
      </c>
      <c r="N86" s="266">
        <v>0</v>
      </c>
      <c r="O86" s="9">
        <f t="shared" si="20"/>
        <v>12684.44</v>
      </c>
      <c r="P86" s="10"/>
      <c r="Q86" s="10"/>
      <c r="R86" s="45"/>
      <c r="S86" s="45"/>
      <c r="T86" s="45"/>
      <c r="U86" s="45"/>
      <c r="V86" s="45"/>
      <c r="W86" s="45"/>
      <c r="X86" s="160"/>
      <c r="Y86" s="53"/>
      <c r="Z86" s="45"/>
      <c r="AA86" s="53"/>
      <c r="AB86" s="46">
        <f t="shared" si="21"/>
        <v>0</v>
      </c>
      <c r="AD86" s="19">
        <f t="shared" ref="AD86:AD91" si="23">J86*2</f>
        <v>6000</v>
      </c>
      <c r="AE86" s="48"/>
      <c r="AF86" s="48">
        <v>-642</v>
      </c>
      <c r="AG86" s="48">
        <f>(SUM(J86:K86)*2)-O86</f>
        <v>-6684.4400000000005</v>
      </c>
      <c r="AH86" s="48"/>
    </row>
    <row r="87" spans="1:34" ht="14.25" customHeight="1">
      <c r="A87" s="157" t="s">
        <v>387</v>
      </c>
      <c r="B87" s="157" t="s">
        <v>382</v>
      </c>
      <c r="C87" s="49" t="s">
        <v>388</v>
      </c>
      <c r="D87" s="49"/>
      <c r="E87" s="38" t="s">
        <v>389</v>
      </c>
      <c r="F87" s="62">
        <v>46001</v>
      </c>
      <c r="G87" s="63" t="str">
        <f t="shared" ca="1" si="19"/>
        <v>EM BREVE</v>
      </c>
      <c r="H87" s="63"/>
      <c r="I87" s="38" t="s">
        <v>390</v>
      </c>
      <c r="J87" s="10">
        <v>2000</v>
      </c>
      <c r="K87" s="80"/>
      <c r="L87" s="267">
        <f t="shared" si="22"/>
        <v>24000</v>
      </c>
      <c r="M87" s="266">
        <v>5227.45</v>
      </c>
      <c r="N87" s="266">
        <v>0</v>
      </c>
      <c r="O87" s="9">
        <f t="shared" si="20"/>
        <v>5227.45</v>
      </c>
      <c r="P87" s="53"/>
      <c r="Q87" s="45"/>
      <c r="R87" s="45"/>
      <c r="S87" s="45"/>
      <c r="T87" s="10">
        <f>J87-307</f>
        <v>1693</v>
      </c>
      <c r="U87" s="45"/>
      <c r="V87" s="45"/>
      <c r="W87" s="45"/>
      <c r="X87" s="160"/>
      <c r="Y87" s="160"/>
      <c r="Z87" s="45"/>
      <c r="AA87" s="65"/>
      <c r="AB87" s="46">
        <f t="shared" si="21"/>
        <v>0</v>
      </c>
      <c r="AD87" s="19">
        <f t="shared" si="23"/>
        <v>4000</v>
      </c>
      <c r="AE87" s="48">
        <f>O87-AD87</f>
        <v>1227.4499999999998</v>
      </c>
      <c r="AF87" s="48"/>
      <c r="AG87" s="48">
        <f>(SUM(J87:K87)*2)-O87</f>
        <v>-1227.4499999999998</v>
      </c>
      <c r="AH87" s="48"/>
    </row>
    <row r="88" spans="1:34" ht="69" customHeight="1">
      <c r="A88" s="90" t="s">
        <v>391</v>
      </c>
      <c r="B88" s="86" t="s">
        <v>392</v>
      </c>
      <c r="C88" s="38" t="s">
        <v>393</v>
      </c>
      <c r="D88" s="38" t="s">
        <v>394</v>
      </c>
      <c r="E88" s="81" t="s">
        <v>395</v>
      </c>
      <c r="F88" s="68">
        <v>45638</v>
      </c>
      <c r="G88" s="63" t="str">
        <f t="shared" ca="1" si="19"/>
        <v>EXPIRADO</v>
      </c>
      <c r="H88" s="154" t="s">
        <v>396</v>
      </c>
      <c r="I88" s="84" t="s">
        <v>397</v>
      </c>
      <c r="J88" s="10">
        <v>33000</v>
      </c>
      <c r="K88" s="80"/>
      <c r="L88" s="267">
        <f t="shared" si="22"/>
        <v>396000</v>
      </c>
      <c r="M88" s="267"/>
      <c r="N88" s="266">
        <v>4308.4799999999996</v>
      </c>
      <c r="O88" s="9">
        <f t="shared" si="20"/>
        <v>4308.4799999999996</v>
      </c>
      <c r="P88" s="10"/>
      <c r="Q88" s="10"/>
      <c r="R88" s="10">
        <f>J88-O88</f>
        <v>28691.52</v>
      </c>
      <c r="S88" s="10">
        <f>J88-4308</f>
        <v>28692</v>
      </c>
      <c r="T88" s="10">
        <f>J88</f>
        <v>33000</v>
      </c>
      <c r="U88" s="10">
        <f>J88-4308</f>
        <v>28692</v>
      </c>
      <c r="V88" s="10">
        <f>J88-4308</f>
        <v>28692</v>
      </c>
      <c r="W88" s="10">
        <v>30000</v>
      </c>
      <c r="X88" s="10"/>
      <c r="Y88" s="10"/>
      <c r="Z88" s="10">
        <f>J88-O88</f>
        <v>28691.52</v>
      </c>
      <c r="AA88" s="10">
        <f>J88</f>
        <v>33000</v>
      </c>
      <c r="AB88" s="46">
        <f t="shared" si="21"/>
        <v>61691.520000000004</v>
      </c>
      <c r="AC88" s="95"/>
      <c r="AD88" s="19">
        <f t="shared" si="23"/>
        <v>66000</v>
      </c>
      <c r="AE88" s="48">
        <f>O88-AD88</f>
        <v>-61691.520000000004</v>
      </c>
      <c r="AF88" s="48"/>
      <c r="AG88" s="48"/>
      <c r="AH88" s="48"/>
    </row>
    <row r="89" spans="1:34" ht="56.25" customHeight="1">
      <c r="A89" s="86" t="s">
        <v>398</v>
      </c>
      <c r="B89" s="86" t="s">
        <v>392</v>
      </c>
      <c r="C89" s="49" t="s">
        <v>393</v>
      </c>
      <c r="D89" s="49" t="s">
        <v>399</v>
      </c>
      <c r="E89" s="38" t="s">
        <v>400</v>
      </c>
      <c r="F89" s="68">
        <v>46311</v>
      </c>
      <c r="G89" s="63" t="str">
        <f t="shared" ca="1" si="19"/>
        <v>NO PRAZO</v>
      </c>
      <c r="H89" s="38"/>
      <c r="I89" s="161" t="s">
        <v>401</v>
      </c>
      <c r="J89" s="43">
        <v>10500</v>
      </c>
      <c r="K89" s="42"/>
      <c r="L89" s="263">
        <f t="shared" si="22"/>
        <v>126000</v>
      </c>
      <c r="M89" s="264">
        <v>121064.37</v>
      </c>
      <c r="N89" s="264">
        <v>797</v>
      </c>
      <c r="O89" s="9">
        <f t="shared" si="20"/>
        <v>121861.37</v>
      </c>
      <c r="P89" s="53"/>
      <c r="Q89" s="53"/>
      <c r="R89" s="45"/>
      <c r="S89" s="45"/>
      <c r="T89" s="10">
        <f>J89-3210</f>
        <v>7290</v>
      </c>
      <c r="U89" s="65"/>
      <c r="V89" s="45"/>
      <c r="W89" s="45"/>
      <c r="X89" s="45"/>
      <c r="Y89" s="45"/>
      <c r="Z89" s="45"/>
      <c r="AA89" s="53"/>
      <c r="AB89" s="46">
        <f t="shared" si="21"/>
        <v>0</v>
      </c>
      <c r="AC89" s="162"/>
      <c r="AD89" s="19">
        <f t="shared" si="23"/>
        <v>21000</v>
      </c>
      <c r="AE89" s="48">
        <f>O89-AD89-N89</f>
        <v>100064.37</v>
      </c>
      <c r="AF89" s="48"/>
      <c r="AG89" s="48"/>
      <c r="AH89" s="48"/>
    </row>
    <row r="90" spans="1:34" ht="27" customHeight="1">
      <c r="A90" s="86" t="s">
        <v>402</v>
      </c>
      <c r="B90" s="86" t="s">
        <v>392</v>
      </c>
      <c r="C90" s="49" t="s">
        <v>393</v>
      </c>
      <c r="D90" s="163" t="s">
        <v>403</v>
      </c>
      <c r="E90" s="38" t="s">
        <v>404</v>
      </c>
      <c r="F90" s="68">
        <v>46136</v>
      </c>
      <c r="G90" s="63" t="str">
        <f t="shared" ca="1" si="19"/>
        <v>NO PRAZO</v>
      </c>
      <c r="H90" s="63"/>
      <c r="I90" s="164" t="s">
        <v>405</v>
      </c>
      <c r="J90" s="43">
        <v>500</v>
      </c>
      <c r="K90" s="42"/>
      <c r="L90" s="263">
        <f t="shared" si="22"/>
        <v>6000</v>
      </c>
      <c r="M90" s="266">
        <v>11233.4</v>
      </c>
      <c r="N90" s="266">
        <v>0</v>
      </c>
      <c r="O90" s="9">
        <f t="shared" si="20"/>
        <v>11233.4</v>
      </c>
      <c r="P90" s="53"/>
      <c r="Q90" s="53"/>
      <c r="R90" s="45"/>
      <c r="S90" s="65"/>
      <c r="T90" s="45"/>
      <c r="U90" s="45"/>
      <c r="V90" s="45"/>
      <c r="W90" s="45"/>
      <c r="X90" s="45"/>
      <c r="Y90" s="45"/>
      <c r="Z90" s="45"/>
      <c r="AA90" s="45"/>
      <c r="AB90" s="46">
        <f t="shared" si="21"/>
        <v>0</v>
      </c>
      <c r="AC90" s="162"/>
      <c r="AD90" s="19">
        <f t="shared" si="23"/>
        <v>1000</v>
      </c>
      <c r="AE90" s="48">
        <f>O90-AD90-N90</f>
        <v>10233.4</v>
      </c>
      <c r="AF90" s="48"/>
      <c r="AG90" s="48"/>
      <c r="AH90" s="48"/>
    </row>
    <row r="91" spans="1:34" ht="54.75" customHeight="1">
      <c r="A91" s="75" t="s">
        <v>406</v>
      </c>
      <c r="B91" s="36" t="s">
        <v>407</v>
      </c>
      <c r="C91" s="71" t="s">
        <v>408</v>
      </c>
      <c r="D91" s="71" t="s">
        <v>409</v>
      </c>
      <c r="E91" s="67" t="s">
        <v>410</v>
      </c>
      <c r="F91" s="68">
        <v>46022</v>
      </c>
      <c r="G91" s="63" t="str">
        <f t="shared" ca="1" si="19"/>
        <v>EM BREVE</v>
      </c>
      <c r="H91" s="63"/>
      <c r="I91" s="69" t="s">
        <v>411</v>
      </c>
      <c r="J91" s="43">
        <f>62000*104.4%</f>
        <v>64728</v>
      </c>
      <c r="K91" s="42"/>
      <c r="L91" s="263">
        <f t="shared" si="22"/>
        <v>776736</v>
      </c>
      <c r="M91" s="266">
        <v>33015.440000000002</v>
      </c>
      <c r="N91" s="266">
        <v>0</v>
      </c>
      <c r="O91" s="9">
        <f t="shared" si="20"/>
        <v>33015.440000000002</v>
      </c>
      <c r="P91" s="10"/>
      <c r="Q91" s="10"/>
      <c r="R91" s="45"/>
      <c r="S91" s="45"/>
      <c r="T91" s="45"/>
      <c r="U91" s="45"/>
      <c r="V91" s="45"/>
      <c r="W91" s="45"/>
      <c r="X91" s="45"/>
      <c r="Y91" s="45"/>
      <c r="Z91" s="10">
        <f>J91-O91</f>
        <v>31712.559999999998</v>
      </c>
      <c r="AA91" s="10">
        <f>J91</f>
        <v>64728</v>
      </c>
      <c r="AB91" s="46">
        <f t="shared" si="21"/>
        <v>96440.56</v>
      </c>
      <c r="AD91" s="19">
        <f t="shared" si="23"/>
        <v>129456</v>
      </c>
      <c r="AE91" s="48"/>
      <c r="AF91" s="48">
        <v>-60500.4</v>
      </c>
      <c r="AG91" s="48">
        <f>(SUM(J91:K91)*2)-O91</f>
        <v>96440.56</v>
      </c>
      <c r="AH91" s="48"/>
    </row>
    <row r="92" spans="1:34">
      <c r="A92" s="165"/>
      <c r="B92" s="165"/>
      <c r="C92" s="165"/>
      <c r="D92" s="165"/>
      <c r="E92" s="166"/>
      <c r="F92" s="165"/>
      <c r="G92" s="165"/>
      <c r="H92" s="165"/>
      <c r="I92" s="165"/>
      <c r="J92" s="167"/>
      <c r="K92" s="168"/>
      <c r="L92" s="167"/>
      <c r="M92" s="167"/>
      <c r="N92" s="165"/>
      <c r="O92" s="169"/>
      <c r="V92" s="170"/>
      <c r="AB92" s="46"/>
      <c r="AE92" s="48"/>
      <c r="AF92" s="133"/>
      <c r="AG92" s="48">
        <f>(SUM(J92:K92)*3)-O92</f>
        <v>0</v>
      </c>
      <c r="AH92" s="48"/>
    </row>
    <row r="93" spans="1:34">
      <c r="A93" s="171" t="s">
        <v>412</v>
      </c>
      <c r="B93" s="171"/>
      <c r="C93" s="171"/>
      <c r="D93" s="171"/>
      <c r="E93" s="172"/>
      <c r="F93" s="171"/>
      <c r="G93" s="171"/>
      <c r="H93" s="171"/>
      <c r="I93" s="171"/>
      <c r="J93" s="173">
        <f t="shared" ref="J93:AB93" si="24">SUM(J4:J91)</f>
        <v>11712225.529166665</v>
      </c>
      <c r="K93" s="174">
        <f t="shared" si="24"/>
        <v>8045226.6635000007</v>
      </c>
      <c r="L93" s="173">
        <f t="shared" si="24"/>
        <v>245370741.20199996</v>
      </c>
      <c r="M93" s="173">
        <f t="shared" si="24"/>
        <v>24044920.859999999</v>
      </c>
      <c r="N93" s="173">
        <f t="shared" si="24"/>
        <v>13251386.930000003</v>
      </c>
      <c r="O93" s="173">
        <f t="shared" si="24"/>
        <v>37296307.789999999</v>
      </c>
      <c r="P93" s="173">
        <f t="shared" si="24"/>
        <v>0</v>
      </c>
      <c r="Q93" s="173">
        <f t="shared" si="24"/>
        <v>0</v>
      </c>
      <c r="R93" s="173">
        <f t="shared" si="24"/>
        <v>2205538.48</v>
      </c>
      <c r="S93" s="173">
        <f t="shared" si="24"/>
        <v>6455723.29</v>
      </c>
      <c r="T93" s="173">
        <f t="shared" si="24"/>
        <v>2318023.6574999997</v>
      </c>
      <c r="U93" s="173">
        <f t="shared" si="24"/>
        <v>11586275.043500001</v>
      </c>
      <c r="V93" s="173">
        <f t="shared" si="24"/>
        <v>3177329.79</v>
      </c>
      <c r="W93" s="173">
        <f t="shared" si="24"/>
        <v>3604767.6875</v>
      </c>
      <c r="X93" s="173">
        <f t="shared" si="24"/>
        <v>1765764</v>
      </c>
      <c r="Y93" s="173">
        <f t="shared" si="24"/>
        <v>0</v>
      </c>
      <c r="Z93" s="173">
        <f t="shared" si="24"/>
        <v>5673596.1099999994</v>
      </c>
      <c r="AA93" s="173">
        <f t="shared" si="24"/>
        <v>8525720.5549999997</v>
      </c>
      <c r="AB93" s="173">
        <f t="shared" si="24"/>
        <v>14188513.314999999</v>
      </c>
      <c r="AD93" s="173">
        <f>SUM(AD4:AD91)</f>
        <v>30782385.977000006</v>
      </c>
      <c r="AE93" s="173">
        <f>SUM(AE4:AE91)</f>
        <v>179547.60799999934</v>
      </c>
      <c r="AF93" s="173">
        <f>SUM(AF4:AF91)</f>
        <v>-6549485.4533333322</v>
      </c>
      <c r="AG93" s="175">
        <f>SUM(AG4:AG91)</f>
        <v>9716111.2920000013</v>
      </c>
      <c r="AH93" s="48"/>
    </row>
    <row r="94" spans="1:34">
      <c r="A94" s="165"/>
      <c r="B94" s="165"/>
      <c r="C94" s="165"/>
      <c r="D94" s="165"/>
      <c r="E94" s="166"/>
      <c r="F94" s="165"/>
      <c r="G94" s="165"/>
      <c r="H94" s="165"/>
      <c r="I94" s="165"/>
      <c r="J94" s="167"/>
      <c r="K94" s="168"/>
      <c r="L94" s="167"/>
      <c r="M94" s="167"/>
      <c r="N94" s="165"/>
      <c r="O94" s="169"/>
    </row>
    <row r="95" spans="1:34">
      <c r="L95" s="23"/>
      <c r="N95" s="19"/>
      <c r="AF95" s="19">
        <f>AF50</f>
        <v>-1924342.125</v>
      </c>
      <c r="AG95" s="19"/>
      <c r="AH95" s="19"/>
    </row>
    <row r="96" spans="1:34">
      <c r="N96" s="19"/>
      <c r="AF96" s="19">
        <v>-6000000</v>
      </c>
      <c r="AG96" s="19"/>
      <c r="AH96" s="19"/>
    </row>
    <row r="97" spans="8:34">
      <c r="N97" s="19"/>
      <c r="AF97" s="19">
        <v>-1280820.8600000001</v>
      </c>
      <c r="AG97" s="19"/>
      <c r="AH97" s="19"/>
    </row>
    <row r="98" spans="8:34" ht="16">
      <c r="H98" s="285"/>
      <c r="N98" s="19"/>
      <c r="AG98" s="19"/>
      <c r="AH98" s="19"/>
    </row>
    <row r="99" spans="8:34">
      <c r="H99" s="286"/>
      <c r="N99" s="19"/>
      <c r="AF99" s="19">
        <f>SUM(AF95:AF96)</f>
        <v>-7924342.125</v>
      </c>
      <c r="AG99" s="19"/>
      <c r="AH99" s="19"/>
    </row>
    <row r="100" spans="8:34">
      <c r="AF100" s="19" t="e">
        <f>AF99+#REF!</f>
        <v>#REF!</v>
      </c>
    </row>
    <row r="101" spans="8:34">
      <c r="AG101" s="19"/>
      <c r="AH101" s="19"/>
    </row>
    <row r="103" spans="8:34">
      <c r="AG103" s="19"/>
      <c r="AH103" s="19"/>
    </row>
    <row r="104" spans="8:34">
      <c r="AG104" s="19"/>
      <c r="AH104" s="19"/>
    </row>
    <row r="106" spans="8:34">
      <c r="AG106" s="19"/>
      <c r="AH106" s="19"/>
    </row>
  </sheetData>
  <autoFilter ref="A3:O91" xr:uid="{00000000-0009-0000-0000-000000000000}"/>
  <mergeCells count="17">
    <mergeCell ref="AD61:AD62"/>
    <mergeCell ref="AE61:AE62"/>
    <mergeCell ref="X61:X62"/>
    <mergeCell ref="Y61:Y62"/>
    <mergeCell ref="Z61:Z62"/>
    <mergeCell ref="AA61:AA62"/>
    <mergeCell ref="AC61:AC62"/>
    <mergeCell ref="S61:S62"/>
    <mergeCell ref="T61:T62"/>
    <mergeCell ref="U61:U62"/>
    <mergeCell ref="V61:V62"/>
    <mergeCell ref="W61:W62"/>
    <mergeCell ref="J61:J62"/>
    <mergeCell ref="O61:O62"/>
    <mergeCell ref="P61:P62"/>
    <mergeCell ref="Q61:Q62"/>
    <mergeCell ref="R61:R62"/>
  </mergeCells>
  <conditionalFormatting sqref="G12:H91">
    <cfRule type="cellIs" dxfId="79" priority="2" operator="equal">
      <formula>"EXPIRADO"</formula>
    </cfRule>
    <cfRule type="cellIs" dxfId="78" priority="3" operator="equal">
      <formula>"NO PRAZO"</formula>
    </cfRule>
    <cfRule type="cellIs" dxfId="77" priority="4" operator="equal">
      <formula>"EM BREVE"</formula>
    </cfRule>
    <cfRule type="cellIs" dxfId="76" priority="5" operator="equal">
      <formula>0</formula>
    </cfRule>
  </conditionalFormatting>
  <conditionalFormatting sqref="I50">
    <cfRule type="cellIs" dxfId="75" priority="10" operator="equal">
      <formula>"EXPIRADO"</formula>
    </cfRule>
    <cfRule type="cellIs" dxfId="74" priority="11" operator="equal">
      <formula>"NO PRAZO"</formula>
    </cfRule>
    <cfRule type="cellIs" dxfId="73" priority="12" operator="equal">
      <formula>"EM BREVE"</formula>
    </cfRule>
    <cfRule type="cellIs" dxfId="72" priority="13" operator="equal">
      <formula>0</formula>
    </cfRule>
  </conditionalFormatting>
  <conditionalFormatting sqref="I67">
    <cfRule type="cellIs" dxfId="71" priority="6" operator="equal">
      <formula>"EXPIRADO"</formula>
    </cfRule>
    <cfRule type="cellIs" dxfId="70" priority="7" operator="equal">
      <formula>"NO PRAZO"</formula>
    </cfRule>
    <cfRule type="cellIs" dxfId="69" priority="8" operator="equal">
      <formula>"EM BREVE"</formula>
    </cfRule>
    <cfRule type="cellIs" dxfId="68" priority="9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CD8D-19A2-4C5A-8483-409333A96350}">
  <sheetPr>
    <tabColor rgb="FFD99694"/>
  </sheetPr>
  <dimension ref="A1:XDN50"/>
  <sheetViews>
    <sheetView zoomScale="85" zoomScaleNormal="85" workbookViewId="0">
      <pane xSplit="3" ySplit="3" topLeftCell="H11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9.1640625" style="12" customWidth="1"/>
    <col min="4" max="4" width="24.83203125" style="12" customWidth="1"/>
    <col min="5" max="5" width="26.1640625" style="12" customWidth="1"/>
    <col min="6" max="6" width="16.33203125" style="12" customWidth="1"/>
    <col min="7" max="7" width="13" style="12" customWidth="1"/>
    <col min="8" max="8" width="17.1640625" style="12" customWidth="1"/>
    <col min="9" max="9" width="12.33203125" style="12" customWidth="1"/>
    <col min="10" max="10" width="14.6640625" style="13" customWidth="1"/>
    <col min="11" max="11" width="15.33203125" style="14" customWidth="1"/>
    <col min="12" max="12" width="14.33203125" style="13" customWidth="1"/>
    <col min="13" max="13" width="15.1640625" style="13" customWidth="1"/>
    <col min="14" max="14" width="17" style="11" customWidth="1"/>
    <col min="15" max="15" width="15.5" style="11" customWidth="1"/>
    <col min="16" max="17" width="13.6640625" style="11" hidden="1" customWidth="1"/>
    <col min="18" max="21" width="13.6640625" style="15" hidden="1" customWidth="1"/>
    <col min="22" max="22" width="15.33203125" style="16" hidden="1" customWidth="1"/>
    <col min="23" max="25" width="13.6640625" style="15" hidden="1" customWidth="1"/>
    <col min="26" max="27" width="13.6640625" style="15" customWidth="1"/>
    <col min="28" max="28" width="16.6640625" style="17" customWidth="1"/>
    <col min="29" max="29" width="25.33203125" style="18" customWidth="1"/>
    <col min="30" max="31" width="16.5" style="19" hidden="1" customWidth="1"/>
    <col min="32" max="33" width="16.5" style="11" hidden="1" customWidth="1"/>
    <col min="34" max="35" width="16.5" style="11" customWidth="1"/>
    <col min="36" max="16342" width="9.1640625" style="11"/>
    <col min="16343" max="16384" width="11.5" customWidth="1"/>
  </cols>
  <sheetData>
    <row r="1" spans="1:34" ht="18">
      <c r="A1" s="20" t="s">
        <v>0</v>
      </c>
      <c r="B1" s="21"/>
      <c r="C1" s="21"/>
      <c r="J1" s="22"/>
      <c r="L1" s="23"/>
      <c r="M1" s="24"/>
      <c r="N1" s="25"/>
      <c r="S1" s="19"/>
      <c r="T1" s="19"/>
      <c r="AA1" s="15" t="s">
        <v>1</v>
      </c>
      <c r="AB1" s="17" t="e">
        <f>#REF!+#REF!+AB4+AB5+#REF!+AB6+#REF!+AB9+SUM(AB14:AB18)+AB21+#REF!+AB22+#REF!+#REF!+#REF!</f>
        <v>#REF!</v>
      </c>
      <c r="AC1" s="18" t="s">
        <v>2</v>
      </c>
      <c r="AE1" s="26" t="s">
        <v>3</v>
      </c>
      <c r="AH1" s="19">
        <f>SUM(AB24:AB29)</f>
        <v>350001.99</v>
      </c>
    </row>
    <row r="2" spans="1:34" ht="18.75" customHeight="1">
      <c r="A2" s="11" t="s">
        <v>4</v>
      </c>
      <c r="B2" s="21"/>
      <c r="J2" s="22"/>
      <c r="K2" s="27"/>
      <c r="L2" s="23"/>
      <c r="AB2" s="17" t="e">
        <f>AB5+#REF!+AB9+#REF!+#REF!+AB14+#REF!+#REF!+AB15+AB16+AB17+#REF!+AB18+AB21+#REF!+AB22+#REF!+#REF!+#REF!</f>
        <v>#REF!</v>
      </c>
      <c r="AC2" s="18" t="s">
        <v>5</v>
      </c>
      <c r="AE2" s="28" t="s">
        <v>6</v>
      </c>
      <c r="AH2" s="19" t="e">
        <f>#REF!+AB6+AB7+AB10+#REF!+AB11+#REF!+#REF!+#REF!+#REF!+AB12+#REF!+#REF!+#REF!+#REF!+#REF!+AB13+#REF!+#REF!+AB23+AB32+AB33+AB34+#REF!+#REF!+#REF!+#REF!+#REF!+AB35</f>
        <v>#REF!</v>
      </c>
    </row>
    <row r="3" spans="1:34" ht="4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29" t="s">
        <v>16</v>
      </c>
      <c r="K3" s="30" t="s">
        <v>17</v>
      </c>
      <c r="L3" s="31" t="s">
        <v>18</v>
      </c>
      <c r="M3" s="31" t="s">
        <v>19</v>
      </c>
      <c r="N3" s="31" t="s">
        <v>20</v>
      </c>
      <c r="O3" s="32" t="s">
        <v>21</v>
      </c>
      <c r="P3" s="31">
        <v>45658</v>
      </c>
      <c r="Q3" s="31">
        <v>45689</v>
      </c>
      <c r="R3" s="31">
        <v>45717</v>
      </c>
      <c r="S3" s="31">
        <v>45748</v>
      </c>
      <c r="T3" s="31">
        <v>45778</v>
      </c>
      <c r="U3" s="31">
        <v>45809</v>
      </c>
      <c r="V3" s="31">
        <v>45839</v>
      </c>
      <c r="W3" s="31">
        <v>45870</v>
      </c>
      <c r="X3" s="31">
        <v>45901</v>
      </c>
      <c r="Y3" s="31">
        <v>45931</v>
      </c>
      <c r="Z3" s="31">
        <v>45962</v>
      </c>
      <c r="AA3" s="31">
        <v>45992</v>
      </c>
      <c r="AB3" s="31" t="s">
        <v>22</v>
      </c>
      <c r="AC3" s="33" t="s">
        <v>23</v>
      </c>
      <c r="AD3" s="31" t="s">
        <v>24</v>
      </c>
      <c r="AE3" s="31" t="s">
        <v>25</v>
      </c>
      <c r="AF3" s="31" t="s">
        <v>26</v>
      </c>
      <c r="AG3" s="34" t="s">
        <v>27</v>
      </c>
      <c r="AH3" s="35" t="e">
        <f>#REF!+#REF!+#REF!</f>
        <v>#REF!</v>
      </c>
    </row>
    <row r="4" spans="1:34" ht="14.25" customHeight="1">
      <c r="A4" s="36" t="s">
        <v>35</v>
      </c>
      <c r="B4" s="36" t="s">
        <v>36</v>
      </c>
      <c r="C4" s="49" t="s">
        <v>37</v>
      </c>
      <c r="D4" s="49"/>
      <c r="E4" s="39"/>
      <c r="F4" s="39"/>
      <c r="G4" s="40"/>
      <c r="H4" s="40"/>
      <c r="I4" s="39"/>
      <c r="J4" s="41">
        <v>49000</v>
      </c>
      <c r="K4" s="42"/>
      <c r="L4" s="263">
        <f>48891*13.33</f>
        <v>651717.03</v>
      </c>
      <c r="M4" s="264">
        <v>90145.45</v>
      </c>
      <c r="N4" s="265"/>
      <c r="O4" s="9">
        <f t="shared" ref="O4:O7" si="0">SUM(M4:N4)</f>
        <v>90145.45</v>
      </c>
      <c r="P4" s="10"/>
      <c r="Q4" s="45"/>
      <c r="R4" s="45"/>
      <c r="S4" s="45"/>
      <c r="T4" s="45"/>
      <c r="U4" s="45"/>
      <c r="V4" s="45"/>
      <c r="W4" s="45"/>
      <c r="X4" s="45"/>
      <c r="Y4" s="45"/>
      <c r="Z4" s="45"/>
      <c r="AA4" s="51">
        <f>J4*2-O4</f>
        <v>7854.5500000000029</v>
      </c>
      <c r="AB4" s="46">
        <f t="shared" ref="AB4:AB27" si="1">SUM(Y4:AA4)</f>
        <v>7854.5500000000029</v>
      </c>
      <c r="AC4" s="52" t="s">
        <v>38</v>
      </c>
      <c r="AE4" s="48"/>
      <c r="AF4" s="48"/>
      <c r="AG4" s="48"/>
      <c r="AH4" s="48">
        <f>AB30</f>
        <v>1571668.68</v>
      </c>
    </row>
    <row r="5" spans="1:34" ht="27" customHeight="1">
      <c r="A5" s="36" t="s">
        <v>39</v>
      </c>
      <c r="B5" s="36" t="s">
        <v>29</v>
      </c>
      <c r="C5" s="38" t="s">
        <v>37</v>
      </c>
      <c r="D5" s="49"/>
      <c r="E5" s="39"/>
      <c r="F5" s="39"/>
      <c r="G5" s="40"/>
      <c r="H5" s="40"/>
      <c r="I5" s="39"/>
      <c r="J5" s="43">
        <v>810000</v>
      </c>
      <c r="K5" s="42"/>
      <c r="L5" s="263">
        <f t="shared" ref="L5:L7" si="2">J5*12</f>
        <v>9720000</v>
      </c>
      <c r="M5" s="264">
        <v>1492474.47</v>
      </c>
      <c r="N5" s="264">
        <v>0</v>
      </c>
      <c r="O5" s="9">
        <f t="shared" si="0"/>
        <v>1492474.47</v>
      </c>
      <c r="P5" s="10"/>
      <c r="Q5" s="10"/>
      <c r="R5" s="45"/>
      <c r="S5" s="53"/>
      <c r="T5" s="10">
        <f>810000-556810</f>
        <v>253190</v>
      </c>
      <c r="U5" s="10">
        <f>J5</f>
        <v>810000</v>
      </c>
      <c r="V5" s="10">
        <f>J5</f>
        <v>810000</v>
      </c>
      <c r="W5" s="45"/>
      <c r="X5" s="45"/>
      <c r="Y5" s="45"/>
      <c r="Z5" s="45"/>
      <c r="AA5" s="51">
        <f>J5*2-O5</f>
        <v>127525.53000000003</v>
      </c>
      <c r="AB5" s="46">
        <f t="shared" si="1"/>
        <v>127525.53000000003</v>
      </c>
      <c r="AC5" s="54"/>
      <c r="AD5" s="19">
        <f>SUM(J5:K5)*2</f>
        <v>1620000</v>
      </c>
      <c r="AE5" s="48">
        <f>O5-AD5</f>
        <v>-127525.53000000003</v>
      </c>
      <c r="AF5" s="48"/>
      <c r="AG5" s="48">
        <f>(SUM(J5:K5)*2)-O5</f>
        <v>127525.53000000003</v>
      </c>
      <c r="AH5" s="48" t="e">
        <f>AB2+AH1+AH2+AH3+#REF!+#REF!+AH4</f>
        <v>#REF!</v>
      </c>
    </row>
    <row r="6" spans="1:34" ht="54.75" customHeight="1">
      <c r="A6" s="58" t="s">
        <v>49</v>
      </c>
      <c r="B6" s="36" t="s">
        <v>47</v>
      </c>
      <c r="C6" s="49" t="s">
        <v>41</v>
      </c>
      <c r="D6" s="49">
        <v>1543032000104</v>
      </c>
      <c r="E6" s="49" t="s">
        <v>50</v>
      </c>
      <c r="F6" s="55"/>
      <c r="G6" s="40"/>
      <c r="H6" s="40"/>
      <c r="I6" s="49" t="s">
        <v>51</v>
      </c>
      <c r="J6" s="43">
        <v>1585.03</v>
      </c>
      <c r="K6" s="42"/>
      <c r="L6" s="263">
        <f t="shared" si="2"/>
        <v>19020.36</v>
      </c>
      <c r="M6" s="264">
        <f>570.63+124.47</f>
        <v>695.1</v>
      </c>
      <c r="N6" s="264">
        <v>41.48</v>
      </c>
      <c r="O6" s="9">
        <f t="shared" si="0"/>
        <v>736.58</v>
      </c>
      <c r="P6" s="45"/>
      <c r="Q6" s="51"/>
      <c r="R6" s="45"/>
      <c r="S6" s="45"/>
      <c r="T6" s="45"/>
      <c r="U6" s="10">
        <f>J6-324</f>
        <v>1261.03</v>
      </c>
      <c r="V6" s="45"/>
      <c r="W6" s="51">
        <f>1585-1230</f>
        <v>355</v>
      </c>
      <c r="X6" s="53"/>
      <c r="Y6" s="45"/>
      <c r="Z6" s="10">
        <f>J6-O6</f>
        <v>848.44999999999993</v>
      </c>
      <c r="AA6" s="10">
        <f>J6</f>
        <v>1585.03</v>
      </c>
      <c r="AB6" s="46">
        <f t="shared" si="1"/>
        <v>2433.48</v>
      </c>
      <c r="AD6" s="19">
        <f>SUM(J6:K6)*2</f>
        <v>3170.06</v>
      </c>
      <c r="AE6" s="48">
        <f>O6-AD6</f>
        <v>-2433.48</v>
      </c>
      <c r="AF6" s="48"/>
      <c r="AG6" s="48">
        <f t="shared" ref="AG6:AG9" si="3">(SUM(J6:K6)*2)-O6</f>
        <v>2433.48</v>
      </c>
      <c r="AH6" s="48"/>
    </row>
    <row r="7" spans="1:34" ht="14.25" customHeight="1">
      <c r="A7" s="36" t="s">
        <v>52</v>
      </c>
      <c r="B7" s="60" t="s">
        <v>53</v>
      </c>
      <c r="C7" s="49" t="s">
        <v>54</v>
      </c>
      <c r="D7" s="49" t="s">
        <v>55</v>
      </c>
      <c r="E7" s="38" t="s">
        <v>56</v>
      </c>
      <c r="F7" s="62">
        <v>46247</v>
      </c>
      <c r="G7" s="63" t="str">
        <f ca="1">IF((F7-TODAY())&lt;0,"EXPIRADO", IF((F7-TODAY())&lt;=60,"EM BREVE","NO PRAZO"))</f>
        <v>NO PRAZO</v>
      </c>
      <c r="H7" s="38"/>
      <c r="I7" s="64" t="s">
        <v>57</v>
      </c>
      <c r="J7" s="43">
        <v>60000</v>
      </c>
      <c r="K7" s="42"/>
      <c r="L7" s="263">
        <f t="shared" si="2"/>
        <v>720000</v>
      </c>
      <c r="M7" s="268">
        <v>105024.66</v>
      </c>
      <c r="N7" s="269">
        <v>0</v>
      </c>
      <c r="O7" s="9">
        <f t="shared" si="0"/>
        <v>105024.66</v>
      </c>
      <c r="P7" s="10"/>
      <c r="Q7" s="10"/>
      <c r="R7" s="10">
        <f>J7</f>
        <v>60000</v>
      </c>
      <c r="S7" s="10">
        <f>J7</f>
        <v>60000</v>
      </c>
      <c r="T7" s="10">
        <f>J7</f>
        <v>60000</v>
      </c>
      <c r="U7" s="45"/>
      <c r="V7" s="45"/>
      <c r="W7" s="65"/>
      <c r="X7" s="53"/>
      <c r="Y7" s="10"/>
      <c r="Z7" s="45"/>
      <c r="AA7" s="10">
        <f>J7*2-O7</f>
        <v>14975.339999999997</v>
      </c>
      <c r="AB7" s="46">
        <f t="shared" si="1"/>
        <v>14975.339999999997</v>
      </c>
      <c r="AD7" s="19">
        <f>SUM(J7:K7)*2</f>
        <v>120000</v>
      </c>
      <c r="AE7" s="48">
        <f>O7-AD7</f>
        <v>-14975.339999999997</v>
      </c>
      <c r="AF7" s="48">
        <f>-Y7-Z7</f>
        <v>0</v>
      </c>
      <c r="AG7" s="48">
        <f t="shared" si="3"/>
        <v>14975.339999999997</v>
      </c>
      <c r="AH7" s="48"/>
    </row>
    <row r="8" spans="1:34" s="11" customFormat="1" ht="27" customHeight="1">
      <c r="A8" s="75" t="s">
        <v>67</v>
      </c>
      <c r="B8" s="75" t="s">
        <v>53</v>
      </c>
      <c r="C8" s="77" t="s">
        <v>63</v>
      </c>
      <c r="D8" s="77" t="s">
        <v>68</v>
      </c>
      <c r="E8" s="78" t="s">
        <v>69</v>
      </c>
      <c r="F8" s="68">
        <v>46147</v>
      </c>
      <c r="G8" s="63" t="str">
        <f t="shared" ref="G8:G13" ca="1" si="4">IF((F8-TODAY())&lt;0,"EXPIRADO", IF((F8-TODAY())&lt;=60,"EM BREVE","NO PRAZO"))</f>
        <v>NO PRAZO</v>
      </c>
      <c r="H8" s="38"/>
      <c r="I8" s="8" t="s">
        <v>70</v>
      </c>
      <c r="J8" s="79"/>
      <c r="K8" s="80">
        <f>L8/12</f>
        <v>182288</v>
      </c>
      <c r="L8" s="267">
        <v>2187456</v>
      </c>
      <c r="M8" s="266">
        <v>323045.17</v>
      </c>
      <c r="N8" s="266">
        <v>0</v>
      </c>
      <c r="O8" s="9">
        <f t="shared" ref="O8:O13" si="5">SUM(M8:N8)</f>
        <v>323045.17</v>
      </c>
      <c r="P8" s="70"/>
      <c r="Q8" s="70"/>
      <c r="R8" s="70"/>
      <c r="S8" s="10"/>
      <c r="T8" s="70"/>
      <c r="U8" s="10">
        <v>182288</v>
      </c>
      <c r="V8" s="53"/>
      <c r="W8" s="53"/>
      <c r="X8" s="53"/>
      <c r="Y8" s="53"/>
      <c r="Z8" s="45"/>
      <c r="AA8" s="10">
        <f>K8*2-O8</f>
        <v>41530.830000000016</v>
      </c>
      <c r="AB8" s="46">
        <f t="shared" si="1"/>
        <v>41530.830000000016</v>
      </c>
      <c r="AC8" s="18"/>
      <c r="AD8" s="19"/>
      <c r="AE8" s="48"/>
      <c r="AF8" s="48"/>
      <c r="AG8" s="48">
        <f t="shared" si="3"/>
        <v>41530.830000000016</v>
      </c>
      <c r="AH8" s="48"/>
    </row>
    <row r="9" spans="1:34" ht="82.5" customHeight="1">
      <c r="A9" s="60" t="s">
        <v>74</v>
      </c>
      <c r="B9" s="60" t="s">
        <v>53</v>
      </c>
      <c r="C9" s="71" t="s">
        <v>75</v>
      </c>
      <c r="D9" s="71" t="s">
        <v>76</v>
      </c>
      <c r="E9" s="81" t="s">
        <v>77</v>
      </c>
      <c r="F9" s="68">
        <v>46082</v>
      </c>
      <c r="G9" s="63" t="str">
        <f t="shared" ca="1" si="4"/>
        <v>NO PRAZO</v>
      </c>
      <c r="H9" s="63"/>
      <c r="I9" s="84" t="s">
        <v>78</v>
      </c>
      <c r="J9" s="10">
        <f>L9/12</f>
        <v>236095</v>
      </c>
      <c r="K9" s="85" t="s">
        <v>79</v>
      </c>
      <c r="L9" s="263">
        <v>2833140</v>
      </c>
      <c r="M9" s="268">
        <v>0</v>
      </c>
      <c r="N9" s="268">
        <v>0</v>
      </c>
      <c r="O9" s="9">
        <f t="shared" si="5"/>
        <v>0</v>
      </c>
      <c r="P9" s="45"/>
      <c r="Q9" s="45"/>
      <c r="R9" s="45"/>
      <c r="S9" s="10">
        <f>236037-202037</f>
        <v>34000</v>
      </c>
      <c r="T9" s="53"/>
      <c r="U9" s="53"/>
      <c r="V9" s="53"/>
      <c r="W9" s="53"/>
      <c r="X9" s="53"/>
      <c r="Y9" s="45"/>
      <c r="Z9" s="10">
        <f>J9</f>
        <v>236095</v>
      </c>
      <c r="AA9" s="10">
        <f>J9</f>
        <v>236095</v>
      </c>
      <c r="AB9" s="46">
        <f t="shared" si="1"/>
        <v>472190</v>
      </c>
      <c r="AD9" s="19">
        <f>SUM(J9:K9)*2</f>
        <v>472190</v>
      </c>
      <c r="AE9" s="48"/>
      <c r="AF9" s="48">
        <v>-99075</v>
      </c>
      <c r="AG9" s="48">
        <f t="shared" si="3"/>
        <v>472190</v>
      </c>
      <c r="AH9" s="48"/>
    </row>
    <row r="10" spans="1:34" ht="57.75" hidden="1" customHeight="1">
      <c r="A10" s="86" t="s">
        <v>80</v>
      </c>
      <c r="B10" s="86" t="s">
        <v>81</v>
      </c>
      <c r="C10" s="38" t="s">
        <v>82</v>
      </c>
      <c r="D10" s="38" t="s">
        <v>83</v>
      </c>
      <c r="E10" s="81" t="s">
        <v>84</v>
      </c>
      <c r="F10" s="68">
        <v>45743</v>
      </c>
      <c r="G10" s="63" t="str">
        <f t="shared" ca="1" si="4"/>
        <v>EXPIRADO</v>
      </c>
      <c r="H10" s="38"/>
      <c r="I10" s="84" t="s">
        <v>85</v>
      </c>
      <c r="J10" s="10"/>
      <c r="K10" s="80"/>
      <c r="L10" s="267"/>
      <c r="M10" s="263">
        <v>0</v>
      </c>
      <c r="N10" s="270">
        <v>0</v>
      </c>
      <c r="O10" s="9">
        <f t="shared" si="5"/>
        <v>0</v>
      </c>
      <c r="P10" s="53"/>
      <c r="Q10" s="45"/>
      <c r="R10" s="45"/>
      <c r="S10" s="53"/>
      <c r="T10" s="53"/>
      <c r="U10" s="53"/>
      <c r="V10" s="53"/>
      <c r="W10" s="53"/>
      <c r="X10" s="53"/>
      <c r="Y10" s="45"/>
      <c r="Z10" s="53"/>
      <c r="AA10" s="53"/>
      <c r="AB10" s="46">
        <f t="shared" si="1"/>
        <v>0</v>
      </c>
      <c r="AD10" s="19">
        <f>SUM(J10:K10)*2</f>
        <v>0</v>
      </c>
      <c r="AE10" s="48">
        <f>O10-AD10</f>
        <v>0</v>
      </c>
      <c r="AF10" s="48"/>
      <c r="AG10" s="48"/>
      <c r="AH10" s="48"/>
    </row>
    <row r="11" spans="1:34" ht="69" customHeight="1">
      <c r="A11" s="75" t="s">
        <v>108</v>
      </c>
      <c r="B11" s="89" t="s">
        <v>109</v>
      </c>
      <c r="C11" s="94" t="s">
        <v>110</v>
      </c>
      <c r="D11" s="71" t="s">
        <v>111</v>
      </c>
      <c r="E11" s="81" t="s">
        <v>112</v>
      </c>
      <c r="F11" s="68">
        <v>46039</v>
      </c>
      <c r="G11" s="63" t="str">
        <f t="shared" ca="1" si="4"/>
        <v>EM BREVE</v>
      </c>
      <c r="H11" s="38"/>
      <c r="I11" s="81" t="s">
        <v>113</v>
      </c>
      <c r="J11" s="10">
        <v>4000</v>
      </c>
      <c r="K11" s="42"/>
      <c r="L11" s="263">
        <f>J11*12</f>
        <v>48000</v>
      </c>
      <c r="M11" s="266">
        <v>6981.19</v>
      </c>
      <c r="N11" s="266">
        <v>0</v>
      </c>
      <c r="O11" s="9">
        <f t="shared" si="5"/>
        <v>6981.19</v>
      </c>
      <c r="P11" s="53"/>
      <c r="Q11" s="45"/>
      <c r="R11" s="10">
        <f>J11-O11</f>
        <v>-2981.1899999999996</v>
      </c>
      <c r="S11" s="10">
        <f>J11-1948</f>
        <v>2052</v>
      </c>
      <c r="T11" s="53"/>
      <c r="U11" s="53"/>
      <c r="V11" s="53"/>
      <c r="W11" s="53"/>
      <c r="X11" s="53"/>
      <c r="Y11" s="53"/>
      <c r="Z11" s="45"/>
      <c r="AA11" s="10">
        <f>J11*2-O11</f>
        <v>1018.8100000000004</v>
      </c>
      <c r="AB11" s="46">
        <f t="shared" si="1"/>
        <v>1018.8100000000004</v>
      </c>
      <c r="AC11" s="95"/>
      <c r="AD11" s="19">
        <f>SUM(J11:K11)*2</f>
        <v>8000</v>
      </c>
      <c r="AE11" s="48">
        <f>O11-AD11</f>
        <v>-1018.8100000000004</v>
      </c>
      <c r="AF11" s="48"/>
      <c r="AG11" s="48"/>
      <c r="AH11" s="48"/>
    </row>
    <row r="12" spans="1:34" ht="27" customHeight="1">
      <c r="A12" s="96" t="s">
        <v>128</v>
      </c>
      <c r="B12" s="86" t="s">
        <v>115</v>
      </c>
      <c r="C12" s="49" t="s">
        <v>129</v>
      </c>
      <c r="D12" s="49" t="s">
        <v>130</v>
      </c>
      <c r="E12" s="38" t="s">
        <v>131</v>
      </c>
      <c r="F12" s="68">
        <v>45980</v>
      </c>
      <c r="G12" s="63" t="str">
        <f t="shared" ca="1" si="4"/>
        <v>EM BREVE</v>
      </c>
      <c r="H12" s="38" t="s">
        <v>132</v>
      </c>
      <c r="I12" s="49" t="s">
        <v>133</v>
      </c>
      <c r="J12" s="10">
        <f>L12/12</f>
        <v>65625.02</v>
      </c>
      <c r="K12" s="80"/>
      <c r="L12" s="267">
        <v>787500.24</v>
      </c>
      <c r="M12" s="264">
        <v>110567.4</v>
      </c>
      <c r="N12" s="264">
        <v>0</v>
      </c>
      <c r="O12" s="9">
        <f t="shared" si="5"/>
        <v>110567.4</v>
      </c>
      <c r="P12" s="45"/>
      <c r="Q12" s="45"/>
      <c r="R12" s="53"/>
      <c r="S12" s="53"/>
      <c r="T12" s="10">
        <f>J12-O12</f>
        <v>-44942.37999999999</v>
      </c>
      <c r="U12" s="10">
        <f>J12-60820</f>
        <v>4805.0200000000041</v>
      </c>
      <c r="V12" s="10">
        <f>J12-60820</f>
        <v>4805.0200000000041</v>
      </c>
      <c r="W12" s="53"/>
      <c r="X12" s="53"/>
      <c r="Y12" s="53"/>
      <c r="Z12" s="65"/>
      <c r="AA12" s="10">
        <f>J12</f>
        <v>65625.02</v>
      </c>
      <c r="AB12" s="46">
        <f t="shared" si="1"/>
        <v>65625.02</v>
      </c>
      <c r="AD12" s="100"/>
      <c r="AE12" s="101"/>
      <c r="AF12" s="101"/>
      <c r="AG12" s="48">
        <f>(SUM(J12:K12)*2)-O12</f>
        <v>20682.640000000014</v>
      </c>
      <c r="AH12" s="48"/>
    </row>
    <row r="13" spans="1:34" ht="30">
      <c r="A13" s="87" t="s">
        <v>153</v>
      </c>
      <c r="B13" s="89" t="s">
        <v>115</v>
      </c>
      <c r="C13" s="71" t="s">
        <v>154</v>
      </c>
      <c r="D13" s="71" t="s">
        <v>155</v>
      </c>
      <c r="E13" s="67" t="s">
        <v>156</v>
      </c>
      <c r="F13" s="73">
        <v>46224</v>
      </c>
      <c r="G13" s="63" t="str">
        <f t="shared" ca="1" si="4"/>
        <v>NO PRAZO</v>
      </c>
      <c r="H13" s="38"/>
      <c r="I13" s="67" t="s">
        <v>157</v>
      </c>
      <c r="J13" s="43">
        <v>500000</v>
      </c>
      <c r="K13" s="42"/>
      <c r="L13" s="263">
        <f>J13*12</f>
        <v>6000000</v>
      </c>
      <c r="M13" s="264">
        <v>950140.51</v>
      </c>
      <c r="N13" s="264">
        <v>0</v>
      </c>
      <c r="O13" s="9">
        <f t="shared" si="5"/>
        <v>950140.51</v>
      </c>
      <c r="P13" s="45"/>
      <c r="Q13" s="45"/>
      <c r="R13" s="51">
        <f>500000-83593</f>
        <v>416407</v>
      </c>
      <c r="S13" s="51">
        <f>500000-83593</f>
        <v>416407</v>
      </c>
      <c r="T13" s="10">
        <v>500000</v>
      </c>
      <c r="U13" s="53"/>
      <c r="V13" s="108"/>
      <c r="W13" s="10">
        <f>500000-208156</f>
        <v>291844</v>
      </c>
      <c r="X13" s="53"/>
      <c r="Y13" s="53"/>
      <c r="Z13" s="45"/>
      <c r="AA13" s="109">
        <f>J13*2-O13</f>
        <v>49859.489999999991</v>
      </c>
      <c r="AB13" s="46">
        <f t="shared" si="1"/>
        <v>49859.489999999991</v>
      </c>
      <c r="AC13" s="54"/>
      <c r="AD13" s="19">
        <f>SUM(J13:K13)*2</f>
        <v>1000000</v>
      </c>
      <c r="AE13" s="48">
        <f>O13-AD13</f>
        <v>-49859.489999999991</v>
      </c>
      <c r="AF13" s="48"/>
      <c r="AG13" s="48">
        <f>(SUM(J13:K13)*2)-O13</f>
        <v>49859.489999999991</v>
      </c>
      <c r="AH13" s="48"/>
    </row>
    <row r="14" spans="1:34" ht="76.5" customHeight="1">
      <c r="A14" s="86" t="s">
        <v>181</v>
      </c>
      <c r="B14" s="89" t="s">
        <v>109</v>
      </c>
      <c r="C14" s="114" t="s">
        <v>182</v>
      </c>
      <c r="D14" s="49">
        <v>8220952000122</v>
      </c>
      <c r="E14" s="81" t="s">
        <v>183</v>
      </c>
      <c r="F14" s="68">
        <v>45929</v>
      </c>
      <c r="G14" s="63" t="str">
        <f t="shared" ref="G14:G26" ca="1" si="6">IF((F14-TODAY())&lt;0,"EXPIRADO", IF((F14-TODAY())&lt;=60,"EM BREVE","NO PRAZO"))</f>
        <v>EXPIRADO</v>
      </c>
      <c r="H14" s="154" t="s">
        <v>184</v>
      </c>
      <c r="I14" s="81" t="s">
        <v>185</v>
      </c>
      <c r="J14" s="10"/>
      <c r="K14" s="80">
        <v>131667.49</v>
      </c>
      <c r="L14" s="267">
        <f t="shared" ref="L14:L18" si="7">K14*12</f>
        <v>1580009.88</v>
      </c>
      <c r="M14" s="274">
        <v>61444.83</v>
      </c>
      <c r="N14" s="266">
        <v>0</v>
      </c>
      <c r="O14" s="9">
        <f t="shared" ref="O14:O23" si="8">SUM(M14:N14)</f>
        <v>61444.83</v>
      </c>
      <c r="P14" s="45"/>
      <c r="Q14" s="10"/>
      <c r="R14" s="45"/>
      <c r="S14" s="10">
        <v>131667</v>
      </c>
      <c r="T14" s="45"/>
      <c r="U14" s="10">
        <f>K14</f>
        <v>131667.49</v>
      </c>
      <c r="V14" s="53"/>
      <c r="W14" s="53"/>
      <c r="X14" s="53"/>
      <c r="Y14" s="53"/>
      <c r="Z14" s="10">
        <f>K14-O14</f>
        <v>70222.659999999989</v>
      </c>
      <c r="AA14" s="10">
        <f>K14</f>
        <v>131667.49</v>
      </c>
      <c r="AB14" s="46">
        <f t="shared" si="1"/>
        <v>201890.14999999997</v>
      </c>
      <c r="AD14" s="19">
        <f>SUM(J14:K14)*2</f>
        <v>263334.98</v>
      </c>
      <c r="AE14" s="48">
        <f>O14-AD14</f>
        <v>-201890.14999999997</v>
      </c>
      <c r="AF14" s="48"/>
      <c r="AG14" s="48">
        <f>(SUM(J14:K14)*2)-O14</f>
        <v>201890.14999999997</v>
      </c>
      <c r="AH14" s="48"/>
    </row>
    <row r="15" spans="1:34" ht="18.75" customHeight="1">
      <c r="A15" s="75" t="s">
        <v>203</v>
      </c>
      <c r="B15" s="89" t="s">
        <v>109</v>
      </c>
      <c r="C15" s="94" t="s">
        <v>204</v>
      </c>
      <c r="D15" s="71" t="s">
        <v>205</v>
      </c>
      <c r="E15" s="81" t="s">
        <v>206</v>
      </c>
      <c r="F15" s="68">
        <v>46402</v>
      </c>
      <c r="G15" s="63" t="str">
        <f t="shared" ca="1" si="6"/>
        <v>NO PRAZO</v>
      </c>
      <c r="H15" s="63"/>
      <c r="I15" s="81" t="s">
        <v>207</v>
      </c>
      <c r="J15" s="10"/>
      <c r="K15" s="115">
        <v>1918496.1</v>
      </c>
      <c r="L15" s="267">
        <f t="shared" si="7"/>
        <v>23021953.200000003</v>
      </c>
      <c r="M15" s="266">
        <v>213422.1</v>
      </c>
      <c r="N15" s="275">
        <v>0</v>
      </c>
      <c r="O15" s="9">
        <f t="shared" si="8"/>
        <v>213422.1</v>
      </c>
      <c r="P15" s="45"/>
      <c r="Q15" s="45"/>
      <c r="R15" s="45"/>
      <c r="S15" s="10">
        <f>1882331-116567</f>
        <v>1765764</v>
      </c>
      <c r="T15" s="10">
        <f t="shared" ref="T15:X15" si="9">1882331-116567</f>
        <v>1765764</v>
      </c>
      <c r="U15" s="10">
        <f t="shared" si="9"/>
        <v>1765764</v>
      </c>
      <c r="V15" s="10">
        <f t="shared" si="9"/>
        <v>1765764</v>
      </c>
      <c r="W15" s="10">
        <f t="shared" si="9"/>
        <v>1765764</v>
      </c>
      <c r="X15" s="10">
        <f t="shared" si="9"/>
        <v>1765764</v>
      </c>
      <c r="Y15" s="10"/>
      <c r="Z15" s="10">
        <f>K15-O15</f>
        <v>1705074</v>
      </c>
      <c r="AA15" s="10">
        <f>K15</f>
        <v>1918496.1</v>
      </c>
      <c r="AB15" s="46">
        <f t="shared" si="1"/>
        <v>3623570.1</v>
      </c>
      <c r="AD15" s="19">
        <f t="shared" ref="AD15:AD23" si="10">SUM(J15:K15)*2</f>
        <v>3836992.2</v>
      </c>
      <c r="AE15" s="48"/>
      <c r="AF15" s="48">
        <f>O15-AD15</f>
        <v>-3623570.1</v>
      </c>
      <c r="AG15" s="48"/>
      <c r="AH15" s="48"/>
    </row>
    <row r="16" spans="1:34" ht="41.25" customHeight="1">
      <c r="A16" s="86" t="s">
        <v>208</v>
      </c>
      <c r="B16" s="89" t="s">
        <v>109</v>
      </c>
      <c r="C16" s="94" t="s">
        <v>209</v>
      </c>
      <c r="D16" s="71" t="s">
        <v>210</v>
      </c>
      <c r="E16" s="81" t="s">
        <v>211</v>
      </c>
      <c r="F16" s="68">
        <v>46097</v>
      </c>
      <c r="G16" s="63" t="str">
        <f t="shared" ca="1" si="6"/>
        <v>NO PRAZO</v>
      </c>
      <c r="H16" s="38"/>
      <c r="I16" s="81" t="s">
        <v>212</v>
      </c>
      <c r="J16" s="10"/>
      <c r="K16" s="80">
        <v>1617878.59</v>
      </c>
      <c r="L16" s="263">
        <f t="shared" si="7"/>
        <v>19414543.080000002</v>
      </c>
      <c r="M16" s="266">
        <v>3235757.18</v>
      </c>
      <c r="N16" s="276">
        <v>0</v>
      </c>
      <c r="O16" s="9">
        <f t="shared" si="8"/>
        <v>3235757.18</v>
      </c>
      <c r="P16" s="45"/>
      <c r="Q16" s="45"/>
      <c r="R16" s="45"/>
      <c r="S16" s="10">
        <f>K16</f>
        <v>1617878.59</v>
      </c>
      <c r="T16" s="45"/>
      <c r="U16" s="10">
        <f>K16</f>
        <v>1617878.59</v>
      </c>
      <c r="V16" s="53"/>
      <c r="W16" s="53"/>
      <c r="X16" s="53"/>
      <c r="Y16" s="45"/>
      <c r="Z16" s="45"/>
      <c r="AA16" s="53"/>
      <c r="AB16" s="46">
        <f t="shared" si="1"/>
        <v>0</v>
      </c>
      <c r="AD16" s="19">
        <f t="shared" si="10"/>
        <v>3235757.18</v>
      </c>
      <c r="AE16" s="48"/>
      <c r="AF16" s="48">
        <f>O16-AD16</f>
        <v>0</v>
      </c>
      <c r="AG16" s="48">
        <f t="shared" ref="AG16:AG20" si="11">(SUM(J16:K16)*2)-O16</f>
        <v>0</v>
      </c>
      <c r="AH16" s="48"/>
    </row>
    <row r="17" spans="1:34" ht="41.25" customHeight="1">
      <c r="A17" s="75" t="s">
        <v>213</v>
      </c>
      <c r="B17" s="89" t="s">
        <v>109</v>
      </c>
      <c r="C17" s="94" t="s">
        <v>214</v>
      </c>
      <c r="D17" s="71" t="s">
        <v>215</v>
      </c>
      <c r="E17" s="81" t="s">
        <v>216</v>
      </c>
      <c r="F17" s="68">
        <v>46020</v>
      </c>
      <c r="G17" s="63" t="str">
        <f t="shared" ca="1" si="6"/>
        <v>EM BREVE</v>
      </c>
      <c r="H17" s="63"/>
      <c r="I17" s="81" t="s">
        <v>217</v>
      </c>
      <c r="J17" s="10"/>
      <c r="K17" s="80">
        <f>1412211.24</f>
        <v>1412211.24</v>
      </c>
      <c r="L17" s="263">
        <f t="shared" si="7"/>
        <v>16946534.879999999</v>
      </c>
      <c r="M17" s="266">
        <v>1022222.73</v>
      </c>
      <c r="N17" s="266">
        <v>0</v>
      </c>
      <c r="O17" s="9">
        <f t="shared" si="8"/>
        <v>1022222.73</v>
      </c>
      <c r="P17" s="45"/>
      <c r="Q17" s="10"/>
      <c r="R17" s="10">
        <f>K17-N17</f>
        <v>1412211.24</v>
      </c>
      <c r="S17" s="10">
        <f>1238299-555</f>
        <v>1237744</v>
      </c>
      <c r="T17" s="45"/>
      <c r="U17" s="10">
        <f>K17</f>
        <v>1412211.24</v>
      </c>
      <c r="V17" s="53"/>
      <c r="W17" s="53"/>
      <c r="X17" s="53"/>
      <c r="Y17" s="10"/>
      <c r="Z17" s="10">
        <f>K17-O17</f>
        <v>389988.51</v>
      </c>
      <c r="AA17" s="65">
        <f>K17</f>
        <v>1412211.24</v>
      </c>
      <c r="AB17" s="46">
        <f t="shared" si="1"/>
        <v>1802199.75</v>
      </c>
      <c r="AD17" s="19">
        <f t="shared" si="10"/>
        <v>2824422.48</v>
      </c>
      <c r="AE17" s="48"/>
      <c r="AF17" s="48">
        <f>O17-AD17</f>
        <v>-1802199.75</v>
      </c>
      <c r="AG17" s="48">
        <f t="shared" si="11"/>
        <v>1802199.75</v>
      </c>
      <c r="AH17" s="48"/>
    </row>
    <row r="18" spans="1:34" ht="45">
      <c r="A18" s="86" t="s">
        <v>222</v>
      </c>
      <c r="B18" s="89" t="s">
        <v>109</v>
      </c>
      <c r="C18" s="119" t="s">
        <v>223</v>
      </c>
      <c r="D18" s="71" t="s">
        <v>224</v>
      </c>
      <c r="E18" s="81" t="s">
        <v>225</v>
      </c>
      <c r="F18" s="68">
        <v>46221</v>
      </c>
      <c r="G18" s="63" t="str">
        <f t="shared" ca="1" si="6"/>
        <v>NO PRAZO</v>
      </c>
      <c r="H18" s="63"/>
      <c r="I18" s="81" t="s">
        <v>226</v>
      </c>
      <c r="J18" s="10"/>
      <c r="K18" s="80">
        <v>163496.79999999999</v>
      </c>
      <c r="L18" s="267">
        <f t="shared" si="7"/>
        <v>1961961.5999999999</v>
      </c>
      <c r="M18" s="266">
        <v>163496.79999999999</v>
      </c>
      <c r="N18" s="266">
        <v>0</v>
      </c>
      <c r="O18" s="9">
        <f t="shared" si="8"/>
        <v>163496.79999999999</v>
      </c>
      <c r="P18" s="45"/>
      <c r="Q18" s="10"/>
      <c r="R18" s="45"/>
      <c r="S18" s="45"/>
      <c r="T18" s="65"/>
      <c r="U18" s="53"/>
      <c r="V18" s="10">
        <f>K18</f>
        <v>163496.79999999999</v>
      </c>
      <c r="W18" s="10">
        <f>K18</f>
        <v>163496.79999999999</v>
      </c>
      <c r="X18" s="70"/>
      <c r="Y18" s="70"/>
      <c r="Z18" s="45"/>
      <c r="AA18" s="10">
        <f>K18</f>
        <v>163496.79999999999</v>
      </c>
      <c r="AB18" s="46">
        <f t="shared" si="1"/>
        <v>163496.79999999999</v>
      </c>
      <c r="AC18" s="47"/>
      <c r="AD18" s="19">
        <f t="shared" si="10"/>
        <v>326993.59999999998</v>
      </c>
      <c r="AE18" s="48">
        <f>O18-AD18</f>
        <v>-163496.79999999999</v>
      </c>
      <c r="AF18" s="48"/>
      <c r="AG18" s="48">
        <f t="shared" si="11"/>
        <v>163496.79999999999</v>
      </c>
      <c r="AH18" s="48"/>
    </row>
    <row r="19" spans="1:34" ht="76.5" customHeight="1">
      <c r="A19" s="120" t="s">
        <v>227</v>
      </c>
      <c r="B19" s="89" t="s">
        <v>109</v>
      </c>
      <c r="C19" s="94" t="s">
        <v>228</v>
      </c>
      <c r="D19" s="71" t="s">
        <v>229</v>
      </c>
      <c r="E19" s="81" t="s">
        <v>230</v>
      </c>
      <c r="F19" s="68">
        <v>46114</v>
      </c>
      <c r="G19" s="63" t="str">
        <f t="shared" ca="1" si="6"/>
        <v>NO PRAZO</v>
      </c>
      <c r="H19" s="38"/>
      <c r="I19" s="81" t="s">
        <v>231</v>
      </c>
      <c r="J19" s="10">
        <v>1600000</v>
      </c>
      <c r="K19" s="42"/>
      <c r="L19" s="263">
        <f>J19*12</f>
        <v>19200000</v>
      </c>
      <c r="M19" s="266">
        <v>435887.47</v>
      </c>
      <c r="N19" s="266">
        <v>0</v>
      </c>
      <c r="O19" s="9">
        <f t="shared" si="8"/>
        <v>435887.47</v>
      </c>
      <c r="P19" s="45"/>
      <c r="Q19" s="45"/>
      <c r="R19" s="45"/>
      <c r="S19" s="45"/>
      <c r="T19" s="45"/>
      <c r="U19" s="10">
        <f>J19-836351</f>
        <v>763649</v>
      </c>
      <c r="V19" s="70">
        <f>J19-1393762</f>
        <v>206238</v>
      </c>
      <c r="W19" s="10">
        <f>J19-460192</f>
        <v>1139808</v>
      </c>
      <c r="X19" s="53"/>
      <c r="Y19" s="10"/>
      <c r="Z19" s="109">
        <f>J19-O19</f>
        <v>1164112.53</v>
      </c>
      <c r="AA19" s="109">
        <v>1998000</v>
      </c>
      <c r="AB19" s="46">
        <f t="shared" si="1"/>
        <v>3162112.5300000003</v>
      </c>
      <c r="AD19" s="19">
        <f t="shared" si="10"/>
        <v>3200000</v>
      </c>
      <c r="AE19" s="48"/>
      <c r="AF19" s="48">
        <v>-419070</v>
      </c>
      <c r="AG19" s="48">
        <f t="shared" si="11"/>
        <v>2764112.5300000003</v>
      </c>
      <c r="AH19" s="48"/>
    </row>
    <row r="20" spans="1:34" ht="76.5" customHeight="1">
      <c r="A20" s="75" t="s">
        <v>232</v>
      </c>
      <c r="B20" s="89" t="s">
        <v>109</v>
      </c>
      <c r="C20" s="94" t="s">
        <v>233</v>
      </c>
      <c r="D20" s="71" t="s">
        <v>229</v>
      </c>
      <c r="E20" s="81" t="s">
        <v>234</v>
      </c>
      <c r="F20" s="68">
        <v>46022</v>
      </c>
      <c r="G20" s="63" t="str">
        <f t="shared" ca="1" si="6"/>
        <v>EM BREVE</v>
      </c>
      <c r="H20" s="38" t="s">
        <v>235</v>
      </c>
      <c r="I20" s="38" t="s">
        <v>236</v>
      </c>
      <c r="J20" s="10">
        <f>L20/12</f>
        <v>1924342.125</v>
      </c>
      <c r="K20" s="42"/>
      <c r="L20" s="263">
        <f>8383552.34+14708553.16</f>
        <v>23092105.5</v>
      </c>
      <c r="M20" s="267">
        <v>33.64</v>
      </c>
      <c r="N20" s="266"/>
      <c r="O20" s="9">
        <f t="shared" si="8"/>
        <v>33.64</v>
      </c>
      <c r="P20" s="45"/>
      <c r="Q20" s="45"/>
      <c r="R20" s="45"/>
      <c r="S20" s="45"/>
      <c r="T20" s="45"/>
      <c r="U20" s="10">
        <f>J20-O20</f>
        <v>1924308.4850000001</v>
      </c>
      <c r="V20" s="45"/>
      <c r="W20" s="10">
        <f>1924342-1832108</f>
        <v>92234</v>
      </c>
      <c r="X20" s="53"/>
      <c r="Y20" s="109"/>
      <c r="Z20" s="109">
        <f>J20</f>
        <v>1924342.125</v>
      </c>
      <c r="AA20" s="121"/>
      <c r="AB20" s="46">
        <f t="shared" si="1"/>
        <v>1924342.125</v>
      </c>
      <c r="AD20" s="19">
        <f t="shared" si="10"/>
        <v>3848684.25</v>
      </c>
      <c r="AE20" s="48"/>
      <c r="AF20" s="48">
        <f>-AB20</f>
        <v>-1924342.125</v>
      </c>
      <c r="AG20" s="48">
        <f t="shared" si="11"/>
        <v>3848650.61</v>
      </c>
      <c r="AH20" s="48"/>
    </row>
    <row r="21" spans="1:34" ht="40.5" customHeight="1">
      <c r="A21" s="86" t="s">
        <v>241</v>
      </c>
      <c r="B21" s="89" t="s">
        <v>109</v>
      </c>
      <c r="C21" s="71" t="s">
        <v>242</v>
      </c>
      <c r="D21" s="71" t="s">
        <v>243</v>
      </c>
      <c r="E21" s="81" t="s">
        <v>244</v>
      </c>
      <c r="F21" s="68">
        <v>46097</v>
      </c>
      <c r="G21" s="63" t="str">
        <f t="shared" ca="1" si="6"/>
        <v>NO PRAZO</v>
      </c>
      <c r="H21" s="38"/>
      <c r="I21" s="81" t="s">
        <v>245</v>
      </c>
      <c r="J21" s="10"/>
      <c r="K21" s="42">
        <v>484202.15</v>
      </c>
      <c r="L21" s="263">
        <f>K21*12</f>
        <v>5810425.8000000007</v>
      </c>
      <c r="M21" s="266">
        <v>917231.82</v>
      </c>
      <c r="N21" s="266"/>
      <c r="O21" s="9">
        <f t="shared" si="8"/>
        <v>917231.82</v>
      </c>
      <c r="P21" s="45"/>
      <c r="Q21" s="10"/>
      <c r="R21" s="10">
        <f>K21-N21</f>
        <v>484202.15</v>
      </c>
      <c r="S21" s="45"/>
      <c r="T21" s="45"/>
      <c r="U21" s="10">
        <f>K21</f>
        <v>484202.15</v>
      </c>
      <c r="V21" s="45"/>
      <c r="W21" s="45"/>
      <c r="X21" s="45"/>
      <c r="Y21" s="45"/>
      <c r="Z21" s="45"/>
      <c r="AA21" s="109">
        <f>K21*2-O21</f>
        <v>51172.480000000098</v>
      </c>
      <c r="AB21" s="46">
        <f t="shared" si="1"/>
        <v>51172.480000000098</v>
      </c>
      <c r="AD21" s="19">
        <f t="shared" si="10"/>
        <v>968404.3</v>
      </c>
      <c r="AE21" s="48">
        <f>O21-AD21</f>
        <v>-51172.480000000098</v>
      </c>
      <c r="AF21" s="48"/>
      <c r="AG21" s="48">
        <f>(SUM(J21:K21)*2)-O21</f>
        <v>51172.480000000098</v>
      </c>
      <c r="AH21" s="48"/>
    </row>
    <row r="22" spans="1:34" ht="38.25" customHeight="1">
      <c r="A22" s="90" t="s">
        <v>259</v>
      </c>
      <c r="B22" s="123" t="s">
        <v>47</v>
      </c>
      <c r="C22" s="94" t="s">
        <v>209</v>
      </c>
      <c r="D22" s="71" t="s">
        <v>260</v>
      </c>
      <c r="E22" s="81" t="s">
        <v>261</v>
      </c>
      <c r="F22" s="68">
        <v>46303</v>
      </c>
      <c r="G22" s="63" t="str">
        <f t="shared" ca="1" si="6"/>
        <v>NO PRAZO</v>
      </c>
      <c r="H22" s="38"/>
      <c r="I22" s="81" t="s">
        <v>262</v>
      </c>
      <c r="J22" s="10"/>
      <c r="K22" s="80">
        <v>23452.22</v>
      </c>
      <c r="L22" s="267">
        <f>K22*12</f>
        <v>281426.64</v>
      </c>
      <c r="M22" s="277">
        <v>1000</v>
      </c>
      <c r="N22" s="266">
        <v>0</v>
      </c>
      <c r="O22" s="9">
        <f t="shared" si="8"/>
        <v>1000</v>
      </c>
      <c r="P22" s="53"/>
      <c r="Q22" s="10"/>
      <c r="R22" s="45"/>
      <c r="S22" s="45"/>
      <c r="T22" s="45"/>
      <c r="U22" s="70">
        <f>K22</f>
        <v>23452.22</v>
      </c>
      <c r="V22" s="45"/>
      <c r="W22" s="45"/>
      <c r="X22" s="45"/>
      <c r="Y22" s="65"/>
      <c r="Z22" s="10">
        <f>K22-O22</f>
        <v>22452.22</v>
      </c>
      <c r="AA22" s="10">
        <f>K22</f>
        <v>23452.22</v>
      </c>
      <c r="AB22" s="46">
        <f t="shared" si="1"/>
        <v>45904.44</v>
      </c>
      <c r="AD22" s="19">
        <f t="shared" si="10"/>
        <v>46904.44</v>
      </c>
      <c r="AE22" s="48"/>
      <c r="AF22" s="48">
        <v>-46904.36</v>
      </c>
      <c r="AG22" s="48">
        <f>(SUM(J22:K22)*2)-O22</f>
        <v>45904.44</v>
      </c>
      <c r="AH22" s="48"/>
    </row>
    <row r="23" spans="1:34" ht="41.25" customHeight="1">
      <c r="A23" s="86" t="s">
        <v>263</v>
      </c>
      <c r="B23" s="123" t="s">
        <v>47</v>
      </c>
      <c r="C23" s="71" t="s">
        <v>135</v>
      </c>
      <c r="D23" s="71" t="s">
        <v>264</v>
      </c>
      <c r="E23" s="81" t="s">
        <v>265</v>
      </c>
      <c r="F23" s="68">
        <v>46309</v>
      </c>
      <c r="G23" s="63" t="str">
        <f t="shared" ca="1" si="6"/>
        <v>NO PRAZO</v>
      </c>
      <c r="H23" s="38"/>
      <c r="I23" s="81" t="s">
        <v>266</v>
      </c>
      <c r="J23" s="10">
        <f>L23/12</f>
        <v>4106.25</v>
      </c>
      <c r="K23" s="42"/>
      <c r="L23" s="263">
        <v>49275</v>
      </c>
      <c r="M23" s="277">
        <v>7891.86</v>
      </c>
      <c r="N23" s="266">
        <v>0</v>
      </c>
      <c r="O23" s="9">
        <f t="shared" si="8"/>
        <v>7891.86</v>
      </c>
      <c r="P23" s="53"/>
      <c r="Q23" s="10"/>
      <c r="R23" s="45"/>
      <c r="S23" s="45"/>
      <c r="T23" s="45"/>
      <c r="U23" s="45"/>
      <c r="V23" s="45"/>
      <c r="W23" s="45"/>
      <c r="X23" s="45"/>
      <c r="Y23" s="10"/>
      <c r="Z23" s="45"/>
      <c r="AA23" s="10">
        <f>J23*2-O23</f>
        <v>320.64000000000033</v>
      </c>
      <c r="AB23" s="46">
        <f t="shared" si="1"/>
        <v>320.64000000000033</v>
      </c>
      <c r="AD23" s="19">
        <f t="shared" si="10"/>
        <v>8212.5</v>
      </c>
      <c r="AE23" s="48"/>
      <c r="AF23" s="48">
        <f>-Y23*2</f>
        <v>0</v>
      </c>
      <c r="AG23" s="48"/>
      <c r="AH23" s="48"/>
    </row>
    <row r="24" spans="1:34" ht="66" customHeight="1">
      <c r="A24" s="131" t="s">
        <v>283</v>
      </c>
      <c r="B24" s="127" t="s">
        <v>273</v>
      </c>
      <c r="C24" s="129" t="s">
        <v>284</v>
      </c>
      <c r="D24" s="129" t="s">
        <v>285</v>
      </c>
      <c r="E24" s="81" t="s">
        <v>286</v>
      </c>
      <c r="F24" s="68">
        <v>46035</v>
      </c>
      <c r="G24" s="63" t="str">
        <f t="shared" ca="1" si="6"/>
        <v>EM BREVE</v>
      </c>
      <c r="H24" s="63"/>
      <c r="I24" s="67" t="s">
        <v>287</v>
      </c>
      <c r="J24" s="10">
        <v>309551</v>
      </c>
      <c r="K24" s="132"/>
      <c r="L24" s="267">
        <v>6773741.9900000002</v>
      </c>
      <c r="M24" s="266">
        <v>590994.48</v>
      </c>
      <c r="N24" s="266"/>
      <c r="O24" s="9">
        <f>SUM(M24:N24)</f>
        <v>590994.48</v>
      </c>
      <c r="P24" s="8"/>
      <c r="Q24" s="7"/>
      <c r="R24" s="8">
        <f>J24-M24</f>
        <v>-281443.48</v>
      </c>
      <c r="S24" s="287"/>
      <c r="T24" s="288"/>
      <c r="U24" s="289"/>
      <c r="V24" s="290"/>
      <c r="W24" s="290"/>
      <c r="X24" s="288"/>
      <c r="Y24" s="289"/>
      <c r="Z24" s="178"/>
      <c r="AA24" s="10">
        <f>J24*2-O24</f>
        <v>28107.520000000019</v>
      </c>
      <c r="AB24" s="46">
        <f t="shared" si="1"/>
        <v>28107.520000000019</v>
      </c>
      <c r="AC24" s="6"/>
      <c r="AD24" s="5">
        <f>J24*2</f>
        <v>619102</v>
      </c>
      <c r="AE24" s="4">
        <f>O24-AD24</f>
        <v>-28107.520000000019</v>
      </c>
      <c r="AF24" s="133"/>
      <c r="AG24" s="48">
        <f t="shared" ref="AG24:AG25" si="12">(SUM(J24:K24)*2)-O24</f>
        <v>28107.520000000019</v>
      </c>
      <c r="AH24" s="48"/>
    </row>
    <row r="25" spans="1:34" ht="82.5" customHeight="1">
      <c r="A25" s="134" t="s">
        <v>291</v>
      </c>
      <c r="B25" s="135" t="s">
        <v>273</v>
      </c>
      <c r="C25" s="136" t="s">
        <v>292</v>
      </c>
      <c r="D25" s="137" t="s">
        <v>293</v>
      </c>
      <c r="E25" s="81" t="s">
        <v>294</v>
      </c>
      <c r="F25" s="68">
        <v>46340</v>
      </c>
      <c r="G25" s="63" t="str">
        <f t="shared" ca="1" si="6"/>
        <v>NO PRAZO</v>
      </c>
      <c r="H25" s="38"/>
      <c r="I25" s="81" t="s">
        <v>295</v>
      </c>
      <c r="J25" s="10">
        <f>L25/12</f>
        <v>7018</v>
      </c>
      <c r="K25" s="42"/>
      <c r="L25" s="263">
        <v>84216</v>
      </c>
      <c r="M25" s="281">
        <v>4754</v>
      </c>
      <c r="N25" s="264">
        <v>726</v>
      </c>
      <c r="O25" s="9">
        <f t="shared" ref="O25:O35" si="13">SUM(M25:N25)</f>
        <v>5480</v>
      </c>
      <c r="P25" s="53"/>
      <c r="Q25" s="53"/>
      <c r="R25" s="45"/>
      <c r="S25" s="45"/>
      <c r="T25" s="45"/>
      <c r="U25" s="45"/>
      <c r="V25" s="45"/>
      <c r="W25" s="45"/>
      <c r="X25" s="45"/>
      <c r="Y25" s="45"/>
      <c r="Z25" s="10">
        <f>J25-O25</f>
        <v>1538</v>
      </c>
      <c r="AA25" s="10">
        <f>J25</f>
        <v>7018</v>
      </c>
      <c r="AB25" s="46">
        <f t="shared" si="1"/>
        <v>8556</v>
      </c>
      <c r="AE25" s="48"/>
      <c r="AF25" s="48"/>
      <c r="AG25" s="48">
        <f t="shared" si="12"/>
        <v>8556</v>
      </c>
      <c r="AH25" s="48"/>
    </row>
    <row r="26" spans="1:34" ht="35.25" customHeight="1">
      <c r="A26" s="138" t="s">
        <v>301</v>
      </c>
      <c r="B26" s="127" t="s">
        <v>273</v>
      </c>
      <c r="C26" s="129" t="s">
        <v>297</v>
      </c>
      <c r="D26" s="129" t="s">
        <v>302</v>
      </c>
      <c r="E26" s="38" t="s">
        <v>303</v>
      </c>
      <c r="F26" s="68">
        <v>46327</v>
      </c>
      <c r="G26" s="63" t="str">
        <f t="shared" ca="1" si="6"/>
        <v>NO PRAZO</v>
      </c>
      <c r="H26" s="63"/>
      <c r="I26" s="279" t="s">
        <v>304</v>
      </c>
      <c r="J26" s="10">
        <f>L26/12</f>
        <v>832.5</v>
      </c>
      <c r="K26" s="80"/>
      <c r="L26" s="267">
        <v>9990</v>
      </c>
      <c r="M26" s="283">
        <v>1638</v>
      </c>
      <c r="N26" s="266">
        <v>0</v>
      </c>
      <c r="O26" s="9">
        <f t="shared" si="13"/>
        <v>1638</v>
      </c>
      <c r="P26" s="45"/>
      <c r="Q26" s="45"/>
      <c r="R26" s="70">
        <f>J26-O26</f>
        <v>-805.5</v>
      </c>
      <c r="S26" s="70">
        <f>J26-27</f>
        <v>805.5</v>
      </c>
      <c r="T26" s="70">
        <f>J26</f>
        <v>832.5</v>
      </c>
      <c r="U26" s="45"/>
      <c r="V26" s="45"/>
      <c r="W26" s="45"/>
      <c r="X26" s="45"/>
      <c r="Y26" s="45"/>
      <c r="Z26" s="45"/>
      <c r="AA26" s="10">
        <f>J26*2-O26</f>
        <v>27</v>
      </c>
      <c r="AB26" s="46">
        <f t="shared" si="1"/>
        <v>27</v>
      </c>
      <c r="AE26" s="48"/>
      <c r="AF26" s="48"/>
      <c r="AG26" s="48"/>
      <c r="AH26" s="48"/>
    </row>
    <row r="27" spans="1:34" ht="27" customHeight="1">
      <c r="A27" s="126" t="s">
        <v>305</v>
      </c>
      <c r="B27" s="127" t="s">
        <v>273</v>
      </c>
      <c r="C27" s="129" t="s">
        <v>306</v>
      </c>
      <c r="D27" s="129" t="s">
        <v>307</v>
      </c>
      <c r="E27" s="81" t="s">
        <v>308</v>
      </c>
      <c r="F27" s="68">
        <v>45920</v>
      </c>
      <c r="G27" s="63" t="str">
        <f ca="1">IF((F27-TODAY())&lt;0,"EXPIRADO", IF((F27-TODAY())&lt;=60,"EM BREVE","NO PRAZO"))</f>
        <v>EXPIRADO</v>
      </c>
      <c r="H27" s="154" t="s">
        <v>184</v>
      </c>
      <c r="I27" s="81" t="s">
        <v>309</v>
      </c>
      <c r="J27" s="10"/>
      <c r="K27" s="80">
        <f>L27/12</f>
        <v>39124.22</v>
      </c>
      <c r="L27" s="267">
        <v>469490.64</v>
      </c>
      <c r="M27" s="284">
        <v>34750.019999999997</v>
      </c>
      <c r="N27" s="266"/>
      <c r="O27" s="9">
        <f t="shared" si="13"/>
        <v>34750.019999999997</v>
      </c>
      <c r="P27" s="10"/>
      <c r="Q27" s="10"/>
      <c r="R27" s="45"/>
      <c r="S27" s="45"/>
      <c r="T27" s="45"/>
      <c r="U27" s="45"/>
      <c r="V27" s="45"/>
      <c r="W27" s="45"/>
      <c r="X27" s="108"/>
      <c r="Y27" s="70"/>
      <c r="Z27" s="10">
        <f>K27-O27</f>
        <v>4374.2000000000044</v>
      </c>
      <c r="AA27" s="10">
        <f>K27</f>
        <v>39124.22</v>
      </c>
      <c r="AB27" s="46">
        <f t="shared" si="1"/>
        <v>43498.420000000006</v>
      </c>
      <c r="AD27" s="19">
        <f>SUM(J27:K27)*2</f>
        <v>78248.44</v>
      </c>
      <c r="AE27" s="48">
        <f>O27-AD27</f>
        <v>-43498.420000000006</v>
      </c>
      <c r="AF27" s="48"/>
      <c r="AG27" s="48">
        <f>(SUM(J27:K27)*2)-O27</f>
        <v>43498.420000000006</v>
      </c>
      <c r="AH27" s="48"/>
    </row>
    <row r="28" spans="1:34" ht="14.25" customHeight="1">
      <c r="A28" s="138" t="s">
        <v>316</v>
      </c>
      <c r="B28" s="127" t="s">
        <v>273</v>
      </c>
      <c r="C28" s="129" t="s">
        <v>45</v>
      </c>
      <c r="D28" s="129" t="s">
        <v>317</v>
      </c>
      <c r="E28" s="38"/>
      <c r="F28" s="38"/>
      <c r="G28" s="63"/>
      <c r="H28" s="63"/>
      <c r="I28" s="38"/>
      <c r="J28" s="10">
        <v>136350</v>
      </c>
      <c r="K28" s="80"/>
      <c r="L28" s="267">
        <f>J28*12</f>
        <v>1636200</v>
      </c>
      <c r="M28" s="266">
        <v>251998.44</v>
      </c>
      <c r="N28" s="266">
        <v>0</v>
      </c>
      <c r="O28" s="9">
        <f t="shared" si="13"/>
        <v>251998.44</v>
      </c>
      <c r="P28" s="51"/>
      <c r="Q28" s="10"/>
      <c r="R28" s="70">
        <f>J28-O28</f>
        <v>-115648.44</v>
      </c>
      <c r="S28" s="70">
        <f>J28</f>
        <v>136350</v>
      </c>
      <c r="T28" s="53"/>
      <c r="U28" s="53"/>
      <c r="V28" s="70">
        <f>J28-1163</f>
        <v>135187</v>
      </c>
      <c r="W28" s="53"/>
      <c r="X28" s="53"/>
      <c r="Y28" s="10"/>
      <c r="Z28" s="45"/>
      <c r="AA28" s="10">
        <f>J28*2-O28</f>
        <v>20701.559999999998</v>
      </c>
      <c r="AB28" s="46">
        <f t="shared" ref="AB28:AB34" si="14">SUM(Y28:AA28)</f>
        <v>20701.559999999998</v>
      </c>
      <c r="AD28" s="19">
        <f>J28*2</f>
        <v>272700</v>
      </c>
      <c r="AE28" s="48">
        <f>O28-AD28</f>
        <v>-20701.559999999998</v>
      </c>
      <c r="AF28" s="48"/>
      <c r="AG28" s="48"/>
      <c r="AH28" s="48"/>
    </row>
    <row r="29" spans="1:34" ht="14.25" customHeight="1">
      <c r="A29" s="138" t="s">
        <v>318</v>
      </c>
      <c r="B29" s="127" t="s">
        <v>273</v>
      </c>
      <c r="C29" s="129" t="s">
        <v>319</v>
      </c>
      <c r="D29" s="129"/>
      <c r="E29" s="38" t="s">
        <v>320</v>
      </c>
      <c r="F29" s="38"/>
      <c r="G29" s="63"/>
      <c r="H29" s="63"/>
      <c r="I29" s="38"/>
      <c r="J29" s="10">
        <v>245000</v>
      </c>
      <c r="K29" s="80"/>
      <c r="L29" s="267">
        <f>J29*12</f>
        <v>2940000</v>
      </c>
      <c r="M29" s="266">
        <v>240888.51</v>
      </c>
      <c r="N29" s="266">
        <v>0</v>
      </c>
      <c r="O29" s="9">
        <f t="shared" si="13"/>
        <v>240888.51</v>
      </c>
      <c r="P29" s="45"/>
      <c r="Q29" s="45"/>
      <c r="R29" s="70">
        <f>J29-O29</f>
        <v>4111.4899999999907</v>
      </c>
      <c r="S29" s="53"/>
      <c r="T29" s="70">
        <f>J29-8976</f>
        <v>236024</v>
      </c>
      <c r="U29" s="70">
        <f>J29-49349</f>
        <v>195651</v>
      </c>
      <c r="V29" s="53"/>
      <c r="W29" s="53"/>
      <c r="X29" s="53"/>
      <c r="Y29" s="10"/>
      <c r="Z29" s="10">
        <f>J29-O29</f>
        <v>4111.4899999999907</v>
      </c>
      <c r="AA29" s="10">
        <f>J29</f>
        <v>245000</v>
      </c>
      <c r="AB29" s="46">
        <f t="shared" si="14"/>
        <v>249111.49</v>
      </c>
      <c r="AD29" s="19">
        <f>J29*2</f>
        <v>490000</v>
      </c>
      <c r="AE29" s="48">
        <f>O29-AD29</f>
        <v>-249111.49</v>
      </c>
      <c r="AF29" s="48"/>
      <c r="AG29" s="48">
        <f t="shared" ref="AG29:AG32" si="15">(SUM(J29:K29)*2)-O29</f>
        <v>249111.49</v>
      </c>
      <c r="AH29" s="48"/>
    </row>
    <row r="30" spans="1:34" ht="27" customHeight="1">
      <c r="A30" s="86" t="s">
        <v>321</v>
      </c>
      <c r="B30" s="86" t="s">
        <v>322</v>
      </c>
      <c r="C30" s="49" t="s">
        <v>323</v>
      </c>
      <c r="D30" s="49" t="s">
        <v>324</v>
      </c>
      <c r="E30" s="81" t="s">
        <v>325</v>
      </c>
      <c r="F30" s="140">
        <v>46274</v>
      </c>
      <c r="G30" s="63" t="str">
        <f ca="1">IF((F30-TODAY())&lt;0,"EXPIRADO", IF((F30-TODAY())&lt;=60,"EM BREVE","NO PRAZO"))</f>
        <v>NO PRAZO</v>
      </c>
      <c r="H30" s="38"/>
      <c r="I30" s="84" t="s">
        <v>326</v>
      </c>
      <c r="J30" s="10">
        <f>L30/12</f>
        <v>1500933.5674999999</v>
      </c>
      <c r="K30" s="141"/>
      <c r="L30" s="267">
        <v>18011202.809999999</v>
      </c>
      <c r="M30" s="266">
        <v>1726196.09</v>
      </c>
      <c r="N30" s="266">
        <v>0</v>
      </c>
      <c r="O30" s="9">
        <f t="shared" si="13"/>
        <v>1726196.09</v>
      </c>
      <c r="P30" s="10"/>
      <c r="Q30" s="10"/>
      <c r="R30" s="45"/>
      <c r="S30" s="53"/>
      <c r="T30" s="53"/>
      <c r="U30" s="70">
        <f>'DRU 25'!J10</f>
        <v>1791326.86</v>
      </c>
      <c r="V30" s="53"/>
      <c r="W30" s="53"/>
      <c r="X30" s="53"/>
      <c r="Y30" s="70"/>
      <c r="Z30" s="51">
        <f>1791326.86-O30</f>
        <v>65130.770000000019</v>
      </c>
      <c r="AA30" s="10">
        <v>1506537.91</v>
      </c>
      <c r="AB30" s="46">
        <f t="shared" si="14"/>
        <v>1571668.68</v>
      </c>
      <c r="AC30" s="142"/>
      <c r="AD30" s="19">
        <f>Y30+Z30</f>
        <v>65130.770000000019</v>
      </c>
      <c r="AE30" s="48"/>
      <c r="AF30" s="48"/>
      <c r="AG30" s="48">
        <f t="shared" si="15"/>
        <v>1275671.0449999997</v>
      </c>
      <c r="AH30" s="48"/>
    </row>
    <row r="31" spans="1:34" ht="27" customHeight="1">
      <c r="A31" s="143" t="s">
        <v>327</v>
      </c>
      <c r="B31" s="86" t="s">
        <v>328</v>
      </c>
      <c r="C31" s="38" t="s">
        <v>329</v>
      </c>
      <c r="D31" s="38"/>
      <c r="E31" s="38"/>
      <c r="F31" s="62"/>
      <c r="G31" s="63"/>
      <c r="H31" s="63"/>
      <c r="I31" s="38"/>
      <c r="J31" s="10"/>
      <c r="K31" s="80"/>
      <c r="L31" s="267"/>
      <c r="M31" s="266"/>
      <c r="N31" s="266"/>
      <c r="O31" s="9">
        <f t="shared" si="13"/>
        <v>0</v>
      </c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46">
        <f t="shared" si="14"/>
        <v>0</v>
      </c>
      <c r="AE31" s="48"/>
      <c r="AF31" s="48"/>
      <c r="AG31" s="48">
        <f t="shared" si="15"/>
        <v>0</v>
      </c>
      <c r="AH31" s="48"/>
    </row>
    <row r="32" spans="1:34" ht="27" customHeight="1">
      <c r="A32" s="86" t="s">
        <v>343</v>
      </c>
      <c r="B32" s="86" t="s">
        <v>328</v>
      </c>
      <c r="C32" s="149" t="s">
        <v>344</v>
      </c>
      <c r="D32" s="150"/>
      <c r="E32" s="38"/>
      <c r="F32" s="38"/>
      <c r="G32" s="63"/>
      <c r="H32" s="63"/>
      <c r="I32" s="38"/>
      <c r="J32" s="10">
        <v>20000</v>
      </c>
      <c r="K32" s="80"/>
      <c r="L32" s="267">
        <f t="shared" ref="L32:L34" si="16">J32*12</f>
        <v>240000</v>
      </c>
      <c r="M32" s="266">
        <v>0</v>
      </c>
      <c r="N32" s="266">
        <v>0</v>
      </c>
      <c r="O32" s="9">
        <f t="shared" si="13"/>
        <v>0</v>
      </c>
      <c r="P32" s="70"/>
      <c r="Q32" s="70"/>
      <c r="R32" s="70">
        <f>J32</f>
        <v>20000</v>
      </c>
      <c r="S32" s="70">
        <f>J32</f>
        <v>20000</v>
      </c>
      <c r="T32" s="70">
        <f>J32</f>
        <v>20000</v>
      </c>
      <c r="U32" s="70">
        <f>J32</f>
        <v>20000</v>
      </c>
      <c r="V32" s="70">
        <f>J32</f>
        <v>20000</v>
      </c>
      <c r="W32" s="70">
        <f>J32</f>
        <v>20000</v>
      </c>
      <c r="X32" s="70"/>
      <c r="Y32" s="70"/>
      <c r="Z32" s="10">
        <f>J32</f>
        <v>20000</v>
      </c>
      <c r="AA32" s="10">
        <f>J32</f>
        <v>20000</v>
      </c>
      <c r="AB32" s="46">
        <f t="shared" si="14"/>
        <v>40000</v>
      </c>
      <c r="AE32" s="48"/>
      <c r="AF32" s="48"/>
      <c r="AG32" s="48">
        <f t="shared" si="15"/>
        <v>40000</v>
      </c>
      <c r="AH32" s="48"/>
    </row>
    <row r="33" spans="1:34" ht="14.25" customHeight="1">
      <c r="A33" s="151" t="s">
        <v>345</v>
      </c>
      <c r="B33" s="86" t="s">
        <v>346</v>
      </c>
      <c r="C33" s="49" t="s">
        <v>347</v>
      </c>
      <c r="D33" s="49"/>
      <c r="E33" s="81" t="s">
        <v>348</v>
      </c>
      <c r="F33" s="81"/>
      <c r="G33" s="63"/>
      <c r="H33" s="63"/>
      <c r="I33" s="84"/>
      <c r="J33" s="10">
        <v>70000</v>
      </c>
      <c r="K33" s="80"/>
      <c r="L33" s="267">
        <f t="shared" si="16"/>
        <v>840000</v>
      </c>
      <c r="M33" s="266">
        <v>101505.99</v>
      </c>
      <c r="N33" s="266">
        <v>25585.25</v>
      </c>
      <c r="O33" s="9">
        <f t="shared" si="13"/>
        <v>127091.24</v>
      </c>
      <c r="P33" s="53"/>
      <c r="Q33" s="53"/>
      <c r="R33" s="45"/>
      <c r="S33" s="53"/>
      <c r="T33" s="70">
        <f>J33-7000</f>
        <v>63000</v>
      </c>
      <c r="U33" s="70">
        <f>J33</f>
        <v>70000</v>
      </c>
      <c r="V33" s="53"/>
      <c r="W33" s="53"/>
      <c r="X33" s="53"/>
      <c r="Y33" s="53"/>
      <c r="Z33" s="45"/>
      <c r="AA33" s="10">
        <f>J33*2-N33</f>
        <v>114414.75</v>
      </c>
      <c r="AB33" s="46">
        <f t="shared" si="14"/>
        <v>114414.75</v>
      </c>
      <c r="AD33" s="19">
        <f>J33*2</f>
        <v>140000</v>
      </c>
      <c r="AE33" s="48">
        <f>O33-AD33-N33</f>
        <v>-38494.009999999995</v>
      </c>
      <c r="AF33" s="48"/>
      <c r="AG33" s="48"/>
      <c r="AH33" s="48"/>
    </row>
    <row r="34" spans="1:34" ht="96" customHeight="1">
      <c r="A34" s="152" t="s">
        <v>354</v>
      </c>
      <c r="B34" s="90" t="s">
        <v>350</v>
      </c>
      <c r="C34" s="49" t="s">
        <v>355</v>
      </c>
      <c r="D34" s="153">
        <v>18284407000153</v>
      </c>
      <c r="E34" s="67" t="s">
        <v>356</v>
      </c>
      <c r="F34" s="68">
        <v>46734</v>
      </c>
      <c r="G34" s="63" t="str">
        <f ca="1">IF((F34-TODAY())&lt;0,"EXPIRADO", IF((F34-TODAY())&lt;=60,"EM BREVE","NO PRAZO"))</f>
        <v>NO PRAZO</v>
      </c>
      <c r="H34" s="63"/>
      <c r="I34" s="84" t="s">
        <v>357</v>
      </c>
      <c r="J34" s="10">
        <v>280000</v>
      </c>
      <c r="K34" s="42"/>
      <c r="L34" s="263">
        <f t="shared" si="16"/>
        <v>3360000</v>
      </c>
      <c r="M34" s="264">
        <v>42971.08</v>
      </c>
      <c r="N34" s="264">
        <v>320755.17</v>
      </c>
      <c r="O34" s="9">
        <f t="shared" si="13"/>
        <v>363726.25</v>
      </c>
      <c r="P34" s="53"/>
      <c r="Q34" s="45"/>
      <c r="R34" s="45"/>
      <c r="S34" s="53"/>
      <c r="T34" s="53"/>
      <c r="U34" s="53"/>
      <c r="V34" s="53"/>
      <c r="W34" s="53"/>
      <c r="X34" s="53"/>
      <c r="Y34" s="53"/>
      <c r="Z34" s="45"/>
      <c r="AA34" s="10">
        <f>J34*2-O34</f>
        <v>196273.75</v>
      </c>
      <c r="AB34" s="46">
        <f t="shared" si="14"/>
        <v>196273.75</v>
      </c>
      <c r="AC34" s="54"/>
      <c r="AD34" s="19">
        <f>J34*2</f>
        <v>560000</v>
      </c>
      <c r="AE34" s="48"/>
      <c r="AF34" s="48"/>
      <c r="AG34" s="48"/>
      <c r="AH34" s="48"/>
    </row>
    <row r="35" spans="1:34" ht="54.75" customHeight="1">
      <c r="A35" s="75" t="s">
        <v>406</v>
      </c>
      <c r="B35" s="36" t="s">
        <v>407</v>
      </c>
      <c r="C35" s="71" t="s">
        <v>408</v>
      </c>
      <c r="D35" s="71" t="s">
        <v>409</v>
      </c>
      <c r="E35" s="67" t="s">
        <v>410</v>
      </c>
      <c r="F35" s="68">
        <v>46022</v>
      </c>
      <c r="G35" s="63" t="str">
        <f t="shared" ref="G35" ca="1" si="17">IF((F35-TODAY())&lt;0,"EXPIRADO", IF((F35-TODAY())&lt;=60,"EM BREVE","NO PRAZO"))</f>
        <v>EM BREVE</v>
      </c>
      <c r="H35" s="63"/>
      <c r="I35" s="69" t="s">
        <v>411</v>
      </c>
      <c r="J35" s="43">
        <f>62000*104.4%</f>
        <v>64728</v>
      </c>
      <c r="K35" s="42"/>
      <c r="L35" s="263">
        <f t="shared" ref="L35" si="18">J35*12</f>
        <v>776736</v>
      </c>
      <c r="M35" s="266">
        <v>33015.440000000002</v>
      </c>
      <c r="N35" s="266">
        <v>0</v>
      </c>
      <c r="O35" s="9">
        <f t="shared" si="13"/>
        <v>33015.440000000002</v>
      </c>
      <c r="P35" s="10"/>
      <c r="Q35" s="10"/>
      <c r="R35" s="45"/>
      <c r="S35" s="45"/>
      <c r="T35" s="45"/>
      <c r="U35" s="45"/>
      <c r="V35" s="45"/>
      <c r="W35" s="45"/>
      <c r="X35" s="45"/>
      <c r="Y35" s="45"/>
      <c r="Z35" s="10">
        <f>J35-O35</f>
        <v>31712.559999999998</v>
      </c>
      <c r="AA35" s="10">
        <f>J35</f>
        <v>64728</v>
      </c>
      <c r="AB35" s="46">
        <f t="shared" ref="AB35" si="19">SUM(Y35:AA35)</f>
        <v>96440.56</v>
      </c>
      <c r="AD35" s="19">
        <f t="shared" ref="AD35" si="20">J35*2</f>
        <v>129456</v>
      </c>
      <c r="AE35" s="48"/>
      <c r="AF35" s="48">
        <v>-60500.4</v>
      </c>
      <c r="AG35" s="48">
        <f>(SUM(J35:K35)*2)-O35</f>
        <v>96440.56</v>
      </c>
      <c r="AH35" s="48"/>
    </row>
    <row r="36" spans="1:34">
      <c r="A36" s="165"/>
      <c r="B36" s="165"/>
      <c r="C36" s="165"/>
      <c r="D36" s="165"/>
      <c r="E36" s="166"/>
      <c r="F36" s="165"/>
      <c r="G36" s="165"/>
      <c r="H36" s="165"/>
      <c r="I36" s="165"/>
      <c r="J36" s="167"/>
      <c r="K36" s="168"/>
      <c r="L36" s="167"/>
      <c r="M36" s="167"/>
      <c r="N36" s="165"/>
      <c r="O36" s="169"/>
      <c r="V36" s="170"/>
      <c r="AB36" s="46"/>
      <c r="AE36" s="48"/>
      <c r="AF36" s="133"/>
      <c r="AG36" s="48">
        <f>(SUM(J36:K36)*3)-O36</f>
        <v>0</v>
      </c>
      <c r="AH36" s="48"/>
    </row>
    <row r="37" spans="1:34">
      <c r="A37" s="171" t="s">
        <v>412</v>
      </c>
      <c r="B37" s="171"/>
      <c r="C37" s="171"/>
      <c r="D37" s="171"/>
      <c r="E37" s="172"/>
      <c r="F37" s="171"/>
      <c r="G37" s="171"/>
      <c r="H37" s="171"/>
      <c r="I37" s="171"/>
      <c r="J37" s="173">
        <f t="shared" ref="J37:AB37" si="21">SUM(J4:J35)</f>
        <v>7889166.4924999997</v>
      </c>
      <c r="K37" s="174">
        <f t="shared" si="21"/>
        <v>5972816.8099999996</v>
      </c>
      <c r="L37" s="173">
        <f t="shared" si="21"/>
        <v>169466646.64999998</v>
      </c>
      <c r="M37" s="173">
        <f t="shared" si="21"/>
        <v>12166174.429999998</v>
      </c>
      <c r="N37" s="173">
        <f t="shared" si="21"/>
        <v>347107.89999999997</v>
      </c>
      <c r="O37" s="173">
        <f t="shared" si="21"/>
        <v>12513282.329999996</v>
      </c>
      <c r="P37" s="173">
        <f t="shared" si="21"/>
        <v>0</v>
      </c>
      <c r="Q37" s="173">
        <f t="shared" si="21"/>
        <v>0</v>
      </c>
      <c r="R37" s="173">
        <f t="shared" si="21"/>
        <v>1996053.2700000003</v>
      </c>
      <c r="S37" s="173">
        <f t="shared" si="21"/>
        <v>5422668.0899999999</v>
      </c>
      <c r="T37" s="173">
        <f t="shared" si="21"/>
        <v>2853868.12</v>
      </c>
      <c r="U37" s="173">
        <f t="shared" si="21"/>
        <v>11198465.085000001</v>
      </c>
      <c r="V37" s="173">
        <f t="shared" si="21"/>
        <v>3105490.82</v>
      </c>
      <c r="W37" s="173">
        <f t="shared" si="21"/>
        <v>3473501.8</v>
      </c>
      <c r="X37" s="173">
        <f t="shared" si="21"/>
        <v>1765764</v>
      </c>
      <c r="Y37" s="173">
        <f t="shared" si="21"/>
        <v>0</v>
      </c>
      <c r="Z37" s="173">
        <f t="shared" si="21"/>
        <v>5640002.5149999997</v>
      </c>
      <c r="AA37" s="173">
        <f t="shared" si="21"/>
        <v>8486819.2799999993</v>
      </c>
      <c r="AB37" s="173">
        <f t="shared" si="21"/>
        <v>14126821.795</v>
      </c>
      <c r="AD37" s="173">
        <f>SUM(AD4:AD35)</f>
        <v>24137703.200000003</v>
      </c>
      <c r="AE37" s="173">
        <f>SUM(AE4:AE35)</f>
        <v>-992285.08000000007</v>
      </c>
      <c r="AF37" s="173">
        <f>SUM(AF4:AF35)</f>
        <v>-7975661.7350000003</v>
      </c>
      <c r="AG37" s="175">
        <f>SUM(AG4:AG35)</f>
        <v>11348009.105</v>
      </c>
      <c r="AH37" s="48"/>
    </row>
    <row r="38" spans="1:34">
      <c r="A38" s="165"/>
      <c r="B38" s="165"/>
      <c r="C38" s="165"/>
      <c r="D38" s="165"/>
      <c r="E38" s="166"/>
      <c r="F38" s="165"/>
      <c r="G38" s="165"/>
      <c r="H38" s="165"/>
      <c r="I38" s="165"/>
      <c r="J38" s="167"/>
      <c r="K38" s="168"/>
      <c r="L38" s="167"/>
      <c r="M38" s="167"/>
      <c r="N38" s="165"/>
      <c r="O38" s="169"/>
    </row>
    <row r="39" spans="1:34">
      <c r="L39" s="23"/>
      <c r="N39" s="19"/>
      <c r="AF39" s="19">
        <f>AF20</f>
        <v>-1924342.125</v>
      </c>
      <c r="AG39" s="19"/>
      <c r="AH39" s="19"/>
    </row>
    <row r="40" spans="1:34">
      <c r="N40" s="19"/>
      <c r="AF40" s="19">
        <v>-6000000</v>
      </c>
      <c r="AG40" s="19"/>
      <c r="AH40" s="19"/>
    </row>
    <row r="41" spans="1:34">
      <c r="N41" s="19"/>
      <c r="AF41" s="19">
        <v>-1280820.8600000001</v>
      </c>
      <c r="AG41" s="19"/>
      <c r="AH41" s="19"/>
    </row>
    <row r="42" spans="1:34" ht="16">
      <c r="H42" s="285"/>
      <c r="N42" s="19"/>
      <c r="AG42" s="19"/>
      <c r="AH42" s="19"/>
    </row>
    <row r="43" spans="1:34">
      <c r="H43" s="286"/>
      <c r="N43" s="19"/>
      <c r="AF43" s="19">
        <f>SUM(AF39:AF40)</f>
        <v>-7924342.125</v>
      </c>
      <c r="AG43" s="19"/>
      <c r="AH43" s="19"/>
    </row>
    <row r="44" spans="1:34">
      <c r="AF44" s="19" t="e">
        <f>AF43+#REF!</f>
        <v>#REF!</v>
      </c>
    </row>
    <row r="45" spans="1:34">
      <c r="AG45" s="19"/>
      <c r="AH45" s="19"/>
    </row>
    <row r="47" spans="1:34">
      <c r="AG47" s="19"/>
      <c r="AH47" s="19"/>
    </row>
    <row r="48" spans="1:34">
      <c r="AG48" s="19"/>
      <c r="AH48" s="19"/>
    </row>
    <row r="50" spans="33:34">
      <c r="AG50" s="19"/>
      <c r="AH50" s="19"/>
    </row>
  </sheetData>
  <autoFilter ref="A3:O35" xr:uid="{00000000-0009-0000-0000-000000000000}"/>
  <conditionalFormatting sqref="G7:H35">
    <cfRule type="cellIs" dxfId="67" priority="1" operator="equal">
      <formula>"EXPIRADO"</formula>
    </cfRule>
    <cfRule type="cellIs" dxfId="66" priority="2" operator="equal">
      <formula>"NO PRAZO"</formula>
    </cfRule>
    <cfRule type="cellIs" dxfId="65" priority="3" operator="equal">
      <formula>"EM BREVE"</formula>
    </cfRule>
    <cfRule type="cellIs" dxfId="64" priority="4" operator="equal">
      <formula>0</formula>
    </cfRule>
  </conditionalFormatting>
  <conditionalFormatting sqref="I20">
    <cfRule type="cellIs" dxfId="63" priority="9" operator="equal">
      <formula>"EXPIRADO"</formula>
    </cfRule>
    <cfRule type="cellIs" dxfId="62" priority="10" operator="equal">
      <formula>"NO PRAZO"</formula>
    </cfRule>
    <cfRule type="cellIs" dxfId="61" priority="11" operator="equal">
      <formula>"EM BREVE"</formula>
    </cfRule>
    <cfRule type="cellIs" dxfId="60" priority="12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24"/>
  <sheetViews>
    <sheetView zoomScaleNormal="100" workbookViewId="0">
      <selection activeCell="F9" sqref="F9"/>
    </sheetView>
  </sheetViews>
  <sheetFormatPr baseColWidth="10" defaultColWidth="8.6640625" defaultRowHeight="15"/>
  <cols>
    <col min="1" max="1" width="46" customWidth="1"/>
    <col min="2" max="2" width="13.83203125" customWidth="1"/>
    <col min="3" max="3" width="16.33203125" customWidth="1"/>
    <col min="4" max="4" width="17.1640625" customWidth="1"/>
    <col min="5" max="5" width="14.5" customWidth="1"/>
  </cols>
  <sheetData>
    <row r="2" spans="1:5 16296:16384" s="11" customFormat="1" ht="45">
      <c r="A2" s="1" t="s">
        <v>7</v>
      </c>
      <c r="B2" s="1" t="s">
        <v>413</v>
      </c>
      <c r="C2" s="1" t="s">
        <v>414</v>
      </c>
      <c r="D2" s="31" t="s">
        <v>415</v>
      </c>
      <c r="E2" s="31" t="s">
        <v>20</v>
      </c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5 16296:16384" s="11" customFormat="1">
      <c r="A3" s="86" t="s">
        <v>416</v>
      </c>
      <c r="B3" s="200"/>
      <c r="C3" s="38" t="s">
        <v>417</v>
      </c>
      <c r="D3" s="264">
        <v>282726.46999999997</v>
      </c>
      <c r="E3" s="264">
        <v>59839</v>
      </c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5 16296:16384" s="11" customFormat="1">
      <c r="A4" s="86" t="s">
        <v>416</v>
      </c>
      <c r="B4" s="200"/>
      <c r="C4" s="201" t="s">
        <v>418</v>
      </c>
      <c r="D4" s="264">
        <v>316300</v>
      </c>
      <c r="E4" s="26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5 16296:16384" s="11" customFormat="1">
      <c r="A5" s="86" t="s">
        <v>419</v>
      </c>
      <c r="B5" s="200"/>
      <c r="C5" s="38" t="s">
        <v>420</v>
      </c>
      <c r="D5" s="264">
        <v>58250</v>
      </c>
      <c r="E5" s="266">
        <v>0</v>
      </c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5 16296:16384" s="11" customFormat="1">
      <c r="A6" s="86" t="s">
        <v>419</v>
      </c>
      <c r="B6" s="200"/>
      <c r="C6" s="201" t="s">
        <v>418</v>
      </c>
      <c r="D6" s="264">
        <v>168955.15</v>
      </c>
      <c r="E6" s="264">
        <v>48690.66</v>
      </c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5 16296:16384" s="11" customFormat="1">
      <c r="A7" s="86" t="s">
        <v>421</v>
      </c>
      <c r="B7" s="200"/>
      <c r="C7" s="38" t="s">
        <v>422</v>
      </c>
      <c r="D7" s="266"/>
      <c r="E7" s="264">
        <v>61000</v>
      </c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5 16296:16384" s="11" customFormat="1">
      <c r="A8" s="86" t="s">
        <v>421</v>
      </c>
      <c r="B8" s="200"/>
      <c r="C8" s="201" t="s">
        <v>418</v>
      </c>
      <c r="D8" s="266"/>
      <c r="E8" s="266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5 16296:16384" s="11" customFormat="1">
      <c r="A9" s="86" t="s">
        <v>423</v>
      </c>
      <c r="B9" s="200"/>
      <c r="C9" s="38" t="s">
        <v>424</v>
      </c>
      <c r="D9" s="266"/>
      <c r="E9" s="264">
        <v>392100</v>
      </c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5 16296:16384" s="11" customFormat="1">
      <c r="A10" s="86" t="s">
        <v>423</v>
      </c>
      <c r="B10" s="200"/>
      <c r="C10" s="201" t="s">
        <v>418</v>
      </c>
      <c r="D10" s="264">
        <v>2100</v>
      </c>
      <c r="E10" s="264">
        <v>794.54</v>
      </c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5 16296:16384" s="11" customFormat="1">
      <c r="A11" s="86" t="s">
        <v>425</v>
      </c>
      <c r="B11" s="200"/>
      <c r="C11" s="38" t="s">
        <v>426</v>
      </c>
      <c r="D11" s="266"/>
      <c r="E11" s="264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pans="1:5 16296:16384" s="11" customFormat="1">
      <c r="A12" s="86" t="s">
        <v>427</v>
      </c>
      <c r="B12" s="200"/>
      <c r="C12" s="38" t="s">
        <v>428</v>
      </c>
      <c r="D12" s="266"/>
      <c r="E12" s="264">
        <v>102850</v>
      </c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pans="1:5 16296:16384" s="11" customFormat="1" ht="30">
      <c r="A13" s="89" t="s">
        <v>429</v>
      </c>
      <c r="B13" s="200"/>
      <c r="C13" s="74" t="s">
        <v>430</v>
      </c>
      <c r="D13" s="266"/>
      <c r="E13" s="266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5 16296:16384" s="11" customFormat="1">
      <c r="A14" s="89" t="s">
        <v>431</v>
      </c>
      <c r="B14" s="200"/>
      <c r="C14" s="38" t="s">
        <v>432</v>
      </c>
      <c r="D14" s="264">
        <v>252700</v>
      </c>
      <c r="E14" s="266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5 16296:16384" s="11" customFormat="1">
      <c r="A15" s="89" t="s">
        <v>433</v>
      </c>
      <c r="B15" s="200"/>
      <c r="C15" s="38" t="s">
        <v>434</v>
      </c>
      <c r="D15" s="304"/>
      <c r="E15" s="304">
        <v>122246.09</v>
      </c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5 16296:16384" s="11" customFormat="1">
      <c r="A16" s="89" t="s">
        <v>435</v>
      </c>
      <c r="B16" s="200"/>
      <c r="C16" s="38" t="s">
        <v>434</v>
      </c>
      <c r="D16" s="304"/>
      <c r="E16" s="304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pans="1:5 16296:16384" s="11" customFormat="1">
      <c r="A17" s="89" t="s">
        <v>436</v>
      </c>
      <c r="B17" s="200"/>
      <c r="C17" s="38" t="s">
        <v>434</v>
      </c>
      <c r="D17" s="304"/>
      <c r="E17" s="304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5 16296:16384" s="11" customFormat="1">
      <c r="A18" s="89" t="s">
        <v>437</v>
      </c>
      <c r="B18" s="200"/>
      <c r="C18" s="38" t="s">
        <v>438</v>
      </c>
      <c r="D18" s="267"/>
      <c r="E18" s="267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pans="1:5 16296:16384" s="11" customFormat="1">
      <c r="A19" s="89" t="s">
        <v>439</v>
      </c>
      <c r="B19" s="200"/>
      <c r="C19" s="38" t="s">
        <v>440</v>
      </c>
      <c r="D19" s="267"/>
      <c r="E19" s="267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pans="1:5 16296:16384" s="11" customFormat="1">
      <c r="A20" s="89" t="s">
        <v>441</v>
      </c>
      <c r="B20" s="200"/>
      <c r="C20" s="38" t="s">
        <v>442</v>
      </c>
      <c r="D20" s="264">
        <v>1018895.12</v>
      </c>
      <c r="E20" s="264">
        <v>973046.26</v>
      </c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pans="1:5 16296:16384" s="11" customFormat="1" ht="30">
      <c r="A21" s="89" t="s">
        <v>443</v>
      </c>
      <c r="B21" s="200"/>
      <c r="C21" s="38" t="s">
        <v>444</v>
      </c>
      <c r="D21" s="267"/>
      <c r="E21" s="267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pans="1:5 16296:16384" s="11" customFormat="1" ht="30">
      <c r="A22" s="89" t="s">
        <v>445</v>
      </c>
      <c r="B22" s="76"/>
      <c r="C22" s="38" t="s">
        <v>446</v>
      </c>
      <c r="D22" s="267"/>
      <c r="E22" s="267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pans="1:5 16296:16384" s="11" customFormat="1">
      <c r="A23" s="89" t="s">
        <v>441</v>
      </c>
      <c r="B23" s="76"/>
      <c r="C23" s="201" t="s">
        <v>418</v>
      </c>
      <c r="D23" s="267"/>
      <c r="E23" s="267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pans="1:5 16296:16384" s="11" customFormat="1">
      <c r="A24" s="89" t="s">
        <v>447</v>
      </c>
      <c r="B24" s="76"/>
      <c r="C24" s="201" t="s">
        <v>418</v>
      </c>
      <c r="D24" s="267"/>
      <c r="E24" s="267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  <c r="XFD24"/>
    </row>
  </sheetData>
  <mergeCells count="2">
    <mergeCell ref="D15:D17"/>
    <mergeCell ref="E15:E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9694"/>
  </sheetPr>
  <dimension ref="A1:XDO1048575"/>
  <sheetViews>
    <sheetView zoomScale="85" zoomScaleNormal="85" workbookViewId="0">
      <pane xSplit="4" ySplit="3" topLeftCell="J23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4.5" style="12" hidden="1" customWidth="1"/>
    <col min="4" max="4" width="19.1640625" style="12" customWidth="1"/>
    <col min="5" max="5" width="24.83203125" style="12" customWidth="1"/>
    <col min="6" max="6" width="26.1640625" style="12" customWidth="1"/>
    <col min="7" max="7" width="16.33203125" style="12" customWidth="1"/>
    <col min="8" max="8" width="13" style="12" customWidth="1"/>
    <col min="9" max="9" width="17.1640625" style="12" customWidth="1"/>
    <col min="10" max="10" width="12.33203125" style="12" customWidth="1"/>
    <col min="11" max="11" width="14.6640625" style="13" customWidth="1"/>
    <col min="12" max="12" width="15.33203125" style="14" customWidth="1"/>
    <col min="13" max="13" width="14.33203125" style="13" customWidth="1"/>
    <col min="14" max="14" width="15.1640625" style="13" customWidth="1"/>
    <col min="15" max="15" width="17" style="11" customWidth="1"/>
    <col min="16" max="16" width="15.5" style="11" customWidth="1"/>
    <col min="17" max="18" width="13.6640625" style="11" hidden="1" customWidth="1"/>
    <col min="19" max="22" width="13.6640625" style="15" hidden="1" customWidth="1"/>
    <col min="23" max="23" width="15.33203125" style="16" hidden="1" customWidth="1"/>
    <col min="24" max="25" width="13.6640625" style="15" hidden="1" customWidth="1"/>
    <col min="26" max="28" width="13.6640625" style="15" customWidth="1"/>
    <col min="29" max="29" width="16.6640625" style="17" customWidth="1"/>
    <col min="30" max="30" width="25.33203125" style="18" customWidth="1"/>
    <col min="31" max="32" width="16.5" style="19" hidden="1" customWidth="1"/>
    <col min="33" max="34" width="16.5" style="11" hidden="1" customWidth="1"/>
    <col min="35" max="36" width="16.5" style="11" customWidth="1"/>
    <col min="37" max="16343" width="9.1640625" style="11"/>
    <col min="16344" max="16384" width="11.5" customWidth="1"/>
  </cols>
  <sheetData>
    <row r="1" spans="1:35" ht="18">
      <c r="A1" s="20" t="s">
        <v>0</v>
      </c>
      <c r="B1" s="21"/>
      <c r="D1" s="21"/>
      <c r="K1" s="22"/>
      <c r="M1" s="23"/>
      <c r="N1" s="24"/>
      <c r="O1" s="25"/>
      <c r="T1" s="19"/>
      <c r="U1" s="19"/>
      <c r="AF1" s="26"/>
      <c r="AI1" s="19"/>
    </row>
    <row r="2" spans="1:35" ht="18.75" customHeight="1">
      <c r="A2" s="11" t="s">
        <v>448</v>
      </c>
      <c r="B2" s="21"/>
      <c r="K2" s="22"/>
      <c r="L2" s="27"/>
      <c r="M2" s="23"/>
      <c r="AF2" s="28"/>
      <c r="AI2" s="19"/>
    </row>
    <row r="3" spans="1:35" ht="45">
      <c r="A3" s="1" t="s">
        <v>7</v>
      </c>
      <c r="B3" s="1" t="s">
        <v>8</v>
      </c>
      <c r="C3" s="1" t="s">
        <v>413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29" t="s">
        <v>16</v>
      </c>
      <c r="L3" s="30" t="s">
        <v>17</v>
      </c>
      <c r="M3" s="31" t="s">
        <v>18</v>
      </c>
      <c r="N3" s="31" t="s">
        <v>19</v>
      </c>
      <c r="O3" s="31" t="s">
        <v>20</v>
      </c>
      <c r="P3" s="32" t="s">
        <v>21</v>
      </c>
      <c r="Q3" s="31">
        <v>45658</v>
      </c>
      <c r="R3" s="31">
        <v>45689</v>
      </c>
      <c r="S3" s="31">
        <v>45717</v>
      </c>
      <c r="T3" s="31">
        <v>45748</v>
      </c>
      <c r="U3" s="31">
        <v>45778</v>
      </c>
      <c r="V3" s="31">
        <v>45809</v>
      </c>
      <c r="W3" s="31">
        <v>45839</v>
      </c>
      <c r="X3" s="31">
        <v>45870</v>
      </c>
      <c r="Y3" s="31">
        <v>45901</v>
      </c>
      <c r="Z3" s="31">
        <v>45931</v>
      </c>
      <c r="AA3" s="31">
        <v>45962</v>
      </c>
      <c r="AB3" s="31">
        <v>45992</v>
      </c>
      <c r="AC3" s="31" t="s">
        <v>449</v>
      </c>
      <c r="AD3" s="33"/>
      <c r="AE3" s="31"/>
      <c r="AF3" s="31"/>
      <c r="AG3" s="31"/>
      <c r="AH3" s="34"/>
      <c r="AI3" s="35"/>
    </row>
    <row r="4" spans="1:35">
      <c r="A4" s="36" t="s">
        <v>28</v>
      </c>
      <c r="B4" s="36" t="s">
        <v>29</v>
      </c>
      <c r="C4" s="37">
        <v>1</v>
      </c>
      <c r="D4" s="38" t="s">
        <v>30</v>
      </c>
      <c r="E4" s="38"/>
      <c r="F4" s="39"/>
      <c r="G4" s="39"/>
      <c r="H4" s="40"/>
      <c r="I4" s="40"/>
      <c r="J4" s="39"/>
      <c r="K4" s="41">
        <v>161000</v>
      </c>
      <c r="L4" s="42"/>
      <c r="M4" s="43">
        <f>K4*12</f>
        <v>1932000</v>
      </c>
      <c r="N4" s="44">
        <v>788950.31</v>
      </c>
      <c r="O4" s="44">
        <v>20575.189999999999</v>
      </c>
      <c r="P4" s="9">
        <f t="shared" ref="P4:P29" si="0">SUM(N4:O4)</f>
        <v>809525.5</v>
      </c>
      <c r="Q4" s="10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6">
        <f>P4-(3*K4)</f>
        <v>326525.5</v>
      </c>
      <c r="AD4" s="47"/>
      <c r="AF4" s="48"/>
      <c r="AG4" s="48"/>
      <c r="AH4" s="48"/>
      <c r="AI4" s="48"/>
    </row>
    <row r="5" spans="1:35">
      <c r="A5" s="36" t="s">
        <v>32</v>
      </c>
      <c r="B5" s="36" t="s">
        <v>29</v>
      </c>
      <c r="C5" s="37">
        <v>1</v>
      </c>
      <c r="D5" s="38" t="s">
        <v>33</v>
      </c>
      <c r="E5" s="38"/>
      <c r="F5" s="39"/>
      <c r="G5" s="39"/>
      <c r="H5" s="40"/>
      <c r="I5" s="40"/>
      <c r="J5" s="39"/>
      <c r="K5" s="41">
        <v>36375</v>
      </c>
      <c r="L5" s="42"/>
      <c r="M5" s="43"/>
      <c r="N5" s="44">
        <v>234275.33</v>
      </c>
      <c r="O5" s="44">
        <v>7160.7</v>
      </c>
      <c r="P5" s="9">
        <f t="shared" si="0"/>
        <v>241436.03</v>
      </c>
      <c r="Q5" s="10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6">
        <f>P5-(3*K5)</f>
        <v>132311.03</v>
      </c>
      <c r="AD5" s="47"/>
      <c r="AF5" s="48"/>
      <c r="AG5" s="48"/>
      <c r="AH5" s="48"/>
      <c r="AI5" s="48"/>
    </row>
    <row r="6" spans="1:35" ht="27" customHeight="1">
      <c r="A6" s="57" t="s">
        <v>46</v>
      </c>
      <c r="B6" s="36" t="s">
        <v>47</v>
      </c>
      <c r="C6" s="37">
        <v>3</v>
      </c>
      <c r="D6" s="49" t="s">
        <v>45</v>
      </c>
      <c r="E6" s="49" t="s">
        <v>48</v>
      </c>
      <c r="F6" s="49"/>
      <c r="G6" s="55"/>
      <c r="H6" s="40"/>
      <c r="I6" s="40"/>
      <c r="J6" s="49"/>
      <c r="K6" s="43">
        <v>333</v>
      </c>
      <c r="L6" s="42"/>
      <c r="M6" s="10">
        <f>K6*12</f>
        <v>3996</v>
      </c>
      <c r="N6" s="44">
        <v>999</v>
      </c>
      <c r="O6" s="44">
        <v>1332</v>
      </c>
      <c r="P6" s="9">
        <f t="shared" si="0"/>
        <v>2331</v>
      </c>
      <c r="Q6" s="45"/>
      <c r="R6" s="45"/>
      <c r="S6" s="45"/>
      <c r="T6" s="45"/>
      <c r="U6" s="45"/>
      <c r="V6" s="45"/>
      <c r="W6" s="45"/>
      <c r="X6" s="51">
        <v>333</v>
      </c>
      <c r="Y6" s="53"/>
      <c r="Z6" s="45"/>
      <c r="AA6" s="53"/>
      <c r="AB6" s="53"/>
      <c r="AC6" s="46">
        <v>999</v>
      </c>
      <c r="AF6" s="48">
        <f>P6-AE6</f>
        <v>2331</v>
      </c>
      <c r="AG6" s="48"/>
      <c r="AH6" s="48"/>
      <c r="AI6" s="48"/>
    </row>
    <row r="7" spans="1:35" ht="54.75" customHeight="1">
      <c r="A7" s="58" t="s">
        <v>49</v>
      </c>
      <c r="B7" s="36" t="s">
        <v>47</v>
      </c>
      <c r="C7" s="37">
        <v>3</v>
      </c>
      <c r="D7" s="49" t="s">
        <v>41</v>
      </c>
      <c r="E7" s="49">
        <v>1543032000104</v>
      </c>
      <c r="F7" s="49" t="s">
        <v>50</v>
      </c>
      <c r="G7" s="55"/>
      <c r="H7" s="40"/>
      <c r="I7" s="40"/>
      <c r="J7" s="49" t="s">
        <v>51</v>
      </c>
      <c r="K7" s="43">
        <v>1585.03</v>
      </c>
      <c r="L7" s="42"/>
      <c r="M7" s="43">
        <f>K7*12</f>
        <v>19020.36</v>
      </c>
      <c r="N7" s="59">
        <f>3635.35+1573.77</f>
        <v>5209.12</v>
      </c>
      <c r="O7" s="59">
        <v>145.87</v>
      </c>
      <c r="P7" s="9">
        <f t="shared" si="0"/>
        <v>5354.99</v>
      </c>
      <c r="Q7" s="45"/>
      <c r="R7" s="51"/>
      <c r="S7" s="45"/>
      <c r="T7" s="45"/>
      <c r="U7" s="45"/>
      <c r="V7" s="10">
        <f>K7-324</f>
        <v>1261.03</v>
      </c>
      <c r="W7" s="45"/>
      <c r="X7" s="51">
        <f>1585-1230</f>
        <v>355</v>
      </c>
      <c r="Y7" s="53"/>
      <c r="Z7" s="45"/>
      <c r="AA7" s="53"/>
      <c r="AB7" s="53"/>
      <c r="AC7" s="46">
        <f>P7-(3*K7)</f>
        <v>599.89999999999964</v>
      </c>
      <c r="AE7" s="19">
        <f>SUM(K7:L7)*2</f>
        <v>3170.06</v>
      </c>
      <c r="AF7" s="48">
        <f>P7-AE7</f>
        <v>2184.9299999999998</v>
      </c>
      <c r="AG7" s="48"/>
      <c r="AH7" s="48">
        <f>(SUM(K7:L7)*2)-P7</f>
        <v>-2184.9299999999998</v>
      </c>
      <c r="AI7" s="48"/>
    </row>
    <row r="8" spans="1:35" ht="57.75" hidden="1" customHeight="1">
      <c r="A8" s="86" t="s">
        <v>80</v>
      </c>
      <c r="B8" s="86" t="s">
        <v>81</v>
      </c>
      <c r="C8" s="76">
        <v>2</v>
      </c>
      <c r="D8" s="38" t="s">
        <v>82</v>
      </c>
      <c r="E8" s="38" t="s">
        <v>83</v>
      </c>
      <c r="F8" s="81" t="s">
        <v>84</v>
      </c>
      <c r="G8" s="68">
        <v>45743</v>
      </c>
      <c r="H8" s="63" t="str">
        <f t="shared" ref="H8:H21" ca="1" si="1">IF((G8-TODAY())&lt;0,"EXPIRADO", IF((G8-TODAY())&lt;=60,"EM BREVE","NO PRAZO"))</f>
        <v>EXPIRADO</v>
      </c>
      <c r="I8" s="38"/>
      <c r="J8" s="84" t="s">
        <v>85</v>
      </c>
      <c r="K8" s="10"/>
      <c r="L8" s="80"/>
      <c r="M8" s="10"/>
      <c r="N8" s="43">
        <v>0</v>
      </c>
      <c r="O8" s="83">
        <v>0</v>
      </c>
      <c r="P8" s="9">
        <f t="shared" si="0"/>
        <v>0</v>
      </c>
      <c r="Q8" s="53"/>
      <c r="R8" s="45"/>
      <c r="S8" s="45"/>
      <c r="T8" s="53"/>
      <c r="U8" s="53"/>
      <c r="V8" s="53"/>
      <c r="W8" s="53"/>
      <c r="X8" s="53"/>
      <c r="Y8" s="53"/>
      <c r="Z8" s="45"/>
      <c r="AA8" s="53"/>
      <c r="AB8" s="53"/>
      <c r="AC8" s="46">
        <f>SUM(Z8:AB8)</f>
        <v>0</v>
      </c>
      <c r="AE8" s="19">
        <f>SUM(K8:L8)*2</f>
        <v>0</v>
      </c>
      <c r="AF8" s="48">
        <f>P8-AE8</f>
        <v>0</v>
      </c>
      <c r="AG8" s="48"/>
      <c r="AH8" s="48"/>
      <c r="AI8" s="48"/>
    </row>
    <row r="9" spans="1:35" ht="57.75" customHeight="1">
      <c r="A9" s="86" t="s">
        <v>86</v>
      </c>
      <c r="B9" s="86" t="s">
        <v>81</v>
      </c>
      <c r="C9" s="76"/>
      <c r="D9" s="38" t="s">
        <v>82</v>
      </c>
      <c r="E9" s="38" t="s">
        <v>87</v>
      </c>
      <c r="F9" s="81" t="s">
        <v>88</v>
      </c>
      <c r="G9" s="68">
        <v>47682</v>
      </c>
      <c r="H9" s="63" t="str">
        <f t="shared" ca="1" si="1"/>
        <v>NO PRAZO</v>
      </c>
      <c r="I9" s="38"/>
      <c r="J9" s="84" t="s">
        <v>89</v>
      </c>
      <c r="K9" s="10">
        <v>4000</v>
      </c>
      <c r="L9" s="80"/>
      <c r="M9" s="10">
        <f>K9*12</f>
        <v>48000</v>
      </c>
      <c r="N9" s="43">
        <v>42484.67</v>
      </c>
      <c r="O9" s="83"/>
      <c r="P9" s="9">
        <f t="shared" si="0"/>
        <v>42484.67</v>
      </c>
      <c r="Q9" s="53"/>
      <c r="R9" s="45"/>
      <c r="S9" s="45"/>
      <c r="T9" s="53"/>
      <c r="U9" s="53"/>
      <c r="V9" s="53"/>
      <c r="W9" s="53"/>
      <c r="X9" s="53"/>
      <c r="Y9" s="53"/>
      <c r="Z9" s="45"/>
      <c r="AA9" s="53"/>
      <c r="AB9" s="53"/>
      <c r="AC9" s="46">
        <f>P9-(3*K9)</f>
        <v>30484.67</v>
      </c>
      <c r="AF9" s="48"/>
      <c r="AG9" s="48"/>
      <c r="AH9" s="48"/>
      <c r="AI9" s="48"/>
    </row>
    <row r="10" spans="1:35" ht="27" customHeight="1">
      <c r="A10" s="89" t="s">
        <v>98</v>
      </c>
      <c r="B10" s="86" t="s">
        <v>81</v>
      </c>
      <c r="C10" s="76">
        <v>2</v>
      </c>
      <c r="D10" s="49" t="s">
        <v>99</v>
      </c>
      <c r="E10" s="49" t="s">
        <v>100</v>
      </c>
      <c r="F10" s="81" t="s">
        <v>101</v>
      </c>
      <c r="G10" s="68">
        <v>45989</v>
      </c>
      <c r="H10" s="63" t="str">
        <f t="shared" ca="1" si="1"/>
        <v>EM BREVE</v>
      </c>
      <c r="I10" s="38" t="s">
        <v>102</v>
      </c>
      <c r="J10" s="84" t="s">
        <v>103</v>
      </c>
      <c r="K10" s="10">
        <v>500</v>
      </c>
      <c r="L10" s="80"/>
      <c r="M10" s="10">
        <f>K10*12</f>
        <v>6000</v>
      </c>
      <c r="N10" s="3"/>
      <c r="O10" s="3">
        <v>57249.08</v>
      </c>
      <c r="P10" s="9">
        <f t="shared" si="0"/>
        <v>57249.08</v>
      </c>
      <c r="Q10" s="53"/>
      <c r="R10" s="53"/>
      <c r="S10" s="45"/>
      <c r="T10" s="53"/>
      <c r="U10" s="53"/>
      <c r="V10" s="53"/>
      <c r="W10" s="53"/>
      <c r="X10" s="53"/>
      <c r="Y10" s="53"/>
      <c r="Z10" s="53"/>
      <c r="AA10" s="65"/>
      <c r="AB10" s="53"/>
      <c r="AC10" s="46"/>
      <c r="AF10" s="48"/>
      <c r="AG10" s="48"/>
      <c r="AH10" s="48"/>
      <c r="AI10" s="48"/>
    </row>
    <row r="11" spans="1:35">
      <c r="A11" s="90" t="s">
        <v>104</v>
      </c>
      <c r="B11" s="86" t="s">
        <v>81</v>
      </c>
      <c r="C11" s="76">
        <v>1</v>
      </c>
      <c r="D11" s="49" t="s">
        <v>33</v>
      </c>
      <c r="E11" s="49" t="s">
        <v>105</v>
      </c>
      <c r="F11" s="81" t="s">
        <v>106</v>
      </c>
      <c r="G11" s="68">
        <v>46086</v>
      </c>
      <c r="H11" s="63" t="str">
        <f t="shared" ca="1" si="1"/>
        <v>NO PRAZO</v>
      </c>
      <c r="I11" s="38"/>
      <c r="J11" s="81" t="s">
        <v>107</v>
      </c>
      <c r="K11" s="10">
        <v>3870</v>
      </c>
      <c r="L11" s="80"/>
      <c r="M11" s="10">
        <v>48000</v>
      </c>
      <c r="N11" s="91">
        <v>22306.959999999999</v>
      </c>
      <c r="O11" s="3">
        <v>0</v>
      </c>
      <c r="P11" s="9">
        <f t="shared" si="0"/>
        <v>22306.959999999999</v>
      </c>
      <c r="Q11" s="53"/>
      <c r="R11" s="70"/>
      <c r="S11" s="45"/>
      <c r="T11" s="53"/>
      <c r="U11" s="53"/>
      <c r="V11" s="53"/>
      <c r="W11" s="53"/>
      <c r="X11" s="53"/>
      <c r="Y11" s="53"/>
      <c r="Z11" s="53"/>
      <c r="AA11" s="53"/>
      <c r="AB11" s="53"/>
      <c r="AC11" s="46">
        <f>P11-(3*K11)</f>
        <v>10696.96</v>
      </c>
      <c r="AE11" s="26">
        <f t="shared" ref="AE11:AE20" si="2">SUM(K11:L11)*2</f>
        <v>7740</v>
      </c>
      <c r="AF11" s="92"/>
      <c r="AG11" s="92"/>
      <c r="AH11" s="48"/>
      <c r="AI11" s="48"/>
    </row>
    <row r="12" spans="1:35" ht="28.5" customHeight="1">
      <c r="A12" s="96" t="s">
        <v>119</v>
      </c>
      <c r="B12" s="86" t="s">
        <v>115</v>
      </c>
      <c r="C12" s="76">
        <v>2</v>
      </c>
      <c r="D12" s="49" t="s">
        <v>120</v>
      </c>
      <c r="E12" s="49" t="s">
        <v>121</v>
      </c>
      <c r="F12" s="38" t="s">
        <v>122</v>
      </c>
      <c r="G12" s="62">
        <v>46137</v>
      </c>
      <c r="H12" s="63" t="str">
        <f t="shared" ca="1" si="1"/>
        <v>NO PRAZO</v>
      </c>
      <c r="I12" s="38"/>
      <c r="J12" s="98" t="s">
        <v>123</v>
      </c>
      <c r="K12" s="10">
        <v>10000</v>
      </c>
      <c r="L12" s="80"/>
      <c r="M12" s="10">
        <v>187401.54</v>
      </c>
      <c r="N12" s="10">
        <v>100</v>
      </c>
      <c r="O12" s="3">
        <v>38595.64</v>
      </c>
      <c r="P12" s="9">
        <f t="shared" si="0"/>
        <v>38695.64</v>
      </c>
      <c r="Q12" s="45"/>
      <c r="R12" s="45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46">
        <v>100</v>
      </c>
      <c r="AD12" s="95"/>
      <c r="AE12" s="26">
        <f t="shared" si="2"/>
        <v>20000</v>
      </c>
      <c r="AF12" s="92">
        <f>P12-AE12</f>
        <v>18695.64</v>
      </c>
      <c r="AG12" s="92"/>
      <c r="AH12" s="48"/>
      <c r="AI12" s="48"/>
    </row>
    <row r="13" spans="1:35" ht="57.75" customHeight="1">
      <c r="A13" s="87" t="s">
        <v>124</v>
      </c>
      <c r="B13" s="86" t="s">
        <v>115</v>
      </c>
      <c r="C13" s="76">
        <v>3</v>
      </c>
      <c r="D13" s="49" t="s">
        <v>125</v>
      </c>
      <c r="E13" s="49">
        <v>3506307000157</v>
      </c>
      <c r="F13" s="38" t="s">
        <v>126</v>
      </c>
      <c r="G13" s="62">
        <v>46270</v>
      </c>
      <c r="H13" s="63" t="str">
        <f t="shared" ca="1" si="1"/>
        <v>NO PRAZO</v>
      </c>
      <c r="I13" s="38" t="s">
        <v>102</v>
      </c>
      <c r="J13" s="38" t="s">
        <v>127</v>
      </c>
      <c r="K13" s="10">
        <v>80000</v>
      </c>
      <c r="L13" s="80"/>
      <c r="M13" s="10">
        <f>K13*12</f>
        <v>960000</v>
      </c>
      <c r="N13" s="10">
        <v>380000.32</v>
      </c>
      <c r="O13" s="10">
        <v>0</v>
      </c>
      <c r="P13" s="9">
        <f t="shared" si="0"/>
        <v>380000.32</v>
      </c>
      <c r="Q13" s="45"/>
      <c r="R13" s="45"/>
      <c r="S13" s="53"/>
      <c r="T13" s="53"/>
      <c r="U13" s="53"/>
      <c r="V13" s="53"/>
      <c r="W13" s="53"/>
      <c r="X13" s="10">
        <f>80000-12226</f>
        <v>67774</v>
      </c>
      <c r="Y13" s="53"/>
      <c r="Z13" s="53"/>
      <c r="AA13" s="53"/>
      <c r="AB13" s="53"/>
      <c r="AC13" s="46">
        <f>P13-(3*K13)</f>
        <v>140000.32000000001</v>
      </c>
      <c r="AD13" s="95"/>
      <c r="AE13" s="26">
        <f t="shared" si="2"/>
        <v>160000</v>
      </c>
      <c r="AF13" s="92"/>
      <c r="AG13" s="92">
        <f>P13-AE13</f>
        <v>220000.32</v>
      </c>
      <c r="AH13" s="48"/>
      <c r="AI13" s="48"/>
    </row>
    <row r="14" spans="1:35">
      <c r="A14" s="87" t="s">
        <v>148</v>
      </c>
      <c r="B14" s="89" t="s">
        <v>115</v>
      </c>
      <c r="C14" s="93">
        <v>3</v>
      </c>
      <c r="D14" s="94" t="s">
        <v>149</v>
      </c>
      <c r="E14" s="71" t="s">
        <v>150</v>
      </c>
      <c r="F14" s="81" t="s">
        <v>151</v>
      </c>
      <c r="G14" s="68">
        <v>46094</v>
      </c>
      <c r="H14" s="63" t="str">
        <f t="shared" ca="1" si="1"/>
        <v>NO PRAZO</v>
      </c>
      <c r="I14" s="105"/>
      <c r="J14" s="68" t="s">
        <v>152</v>
      </c>
      <c r="K14" s="10">
        <v>6000</v>
      </c>
      <c r="L14" s="80"/>
      <c r="M14" s="10">
        <f>K14*12</f>
        <v>72000</v>
      </c>
      <c r="N14" s="10">
        <v>18000.52</v>
      </c>
      <c r="O14" s="3">
        <v>0</v>
      </c>
      <c r="P14" s="9">
        <f t="shared" si="0"/>
        <v>18000.52</v>
      </c>
      <c r="Q14" s="10"/>
      <c r="R14" s="45"/>
      <c r="S14" s="45"/>
      <c r="T14" s="53"/>
      <c r="U14" s="53"/>
      <c r="V14" s="53"/>
      <c r="W14" s="53"/>
      <c r="X14" s="53"/>
      <c r="Y14" s="53"/>
      <c r="Z14" s="53"/>
      <c r="AA14" s="53"/>
      <c r="AB14" s="53"/>
      <c r="AC14" s="46">
        <f>P14-(3*K14)</f>
        <v>0.52000000000043656</v>
      </c>
      <c r="AE14" s="19">
        <f t="shared" si="2"/>
        <v>12000</v>
      </c>
      <c r="AF14" s="48"/>
      <c r="AG14" s="48">
        <v>-2000</v>
      </c>
      <c r="AH14" s="48"/>
      <c r="AI14" s="48"/>
    </row>
    <row r="15" spans="1:35" ht="54.75" customHeight="1">
      <c r="A15" s="60" t="s">
        <v>172</v>
      </c>
      <c r="B15" s="89" t="s">
        <v>109</v>
      </c>
      <c r="C15" s="93">
        <v>1</v>
      </c>
      <c r="D15" s="94" t="s">
        <v>110</v>
      </c>
      <c r="E15" s="71" t="s">
        <v>173</v>
      </c>
      <c r="F15" s="81" t="s">
        <v>174</v>
      </c>
      <c r="G15" s="68">
        <v>46219</v>
      </c>
      <c r="H15" s="63" t="str">
        <f t="shared" ca="1" si="1"/>
        <v>NO PRAZO</v>
      </c>
      <c r="I15" s="38" t="s">
        <v>132</v>
      </c>
      <c r="J15" s="81" t="s">
        <v>175</v>
      </c>
      <c r="K15" s="10"/>
      <c r="L15" s="42">
        <f>M15/12</f>
        <v>22669.34</v>
      </c>
      <c r="M15" s="43">
        <v>272032.08</v>
      </c>
      <c r="N15" s="3">
        <v>87845.52</v>
      </c>
      <c r="O15" s="3">
        <v>0</v>
      </c>
      <c r="P15" s="9">
        <f t="shared" si="0"/>
        <v>87845.52</v>
      </c>
      <c r="Q15" s="45"/>
      <c r="R15" s="10"/>
      <c r="S15" s="45"/>
      <c r="T15" s="45"/>
      <c r="U15" s="10">
        <f>22669-1831.59</f>
        <v>20837.41</v>
      </c>
      <c r="V15" s="53"/>
      <c r="W15" s="65"/>
      <c r="X15" s="10">
        <f>L15-1000</f>
        <v>21669.34</v>
      </c>
      <c r="Y15" s="112"/>
      <c r="Z15" s="53"/>
      <c r="AA15" s="53"/>
      <c r="AB15" s="53"/>
      <c r="AC15" s="46">
        <f>P15-(3*L15)</f>
        <v>19837.5</v>
      </c>
      <c r="AE15" s="19">
        <f t="shared" si="2"/>
        <v>45338.68</v>
      </c>
      <c r="AF15" s="48">
        <f>P15-AE15</f>
        <v>42506.840000000004</v>
      </c>
      <c r="AG15" s="48"/>
      <c r="AH15" s="48">
        <f t="shared" ref="AH15:AH20" si="3">(SUM(K15:L15)*2)-P15</f>
        <v>-42506.840000000004</v>
      </c>
      <c r="AI15" s="48"/>
    </row>
    <row r="16" spans="1:35" ht="30" customHeight="1">
      <c r="A16" s="75" t="s">
        <v>176</v>
      </c>
      <c r="B16" s="89" t="s">
        <v>109</v>
      </c>
      <c r="C16" s="93">
        <v>1</v>
      </c>
      <c r="D16" s="114" t="s">
        <v>177</v>
      </c>
      <c r="E16" s="49" t="s">
        <v>178</v>
      </c>
      <c r="F16" s="81" t="s">
        <v>179</v>
      </c>
      <c r="G16" s="68">
        <v>46131</v>
      </c>
      <c r="H16" s="63" t="str">
        <f t="shared" ca="1" si="1"/>
        <v>NO PRAZO</v>
      </c>
      <c r="I16" s="38"/>
      <c r="J16" s="81" t="s">
        <v>180</v>
      </c>
      <c r="K16" s="10"/>
      <c r="L16" s="80">
        <f>M16/12</f>
        <v>24316.78</v>
      </c>
      <c r="M16" s="10">
        <v>291801.36</v>
      </c>
      <c r="N16" s="3">
        <v>100930.13</v>
      </c>
      <c r="O16" s="3">
        <v>0</v>
      </c>
      <c r="P16" s="9">
        <f t="shared" si="0"/>
        <v>100930.13</v>
      </c>
      <c r="Q16" s="45"/>
      <c r="R16" s="10"/>
      <c r="S16" s="10">
        <v>865.66</v>
      </c>
      <c r="T16" s="65">
        <f>L16-2497</f>
        <v>21819.78</v>
      </c>
      <c r="U16" s="10">
        <f>L16-22360</f>
        <v>1956.7799999999988</v>
      </c>
      <c r="V16" s="10">
        <f>L16</f>
        <v>24316.78</v>
      </c>
      <c r="W16" s="53"/>
      <c r="X16" s="53"/>
      <c r="Y16" s="53"/>
      <c r="Z16" s="53"/>
      <c r="AA16" s="53"/>
      <c r="AB16" s="53"/>
      <c r="AC16" s="46">
        <f>P16-(3*L16)</f>
        <v>27979.790000000008</v>
      </c>
      <c r="AE16" s="19">
        <f t="shared" si="2"/>
        <v>48633.56</v>
      </c>
      <c r="AF16" s="48">
        <f>P16-AE16</f>
        <v>52296.570000000007</v>
      </c>
      <c r="AG16" s="48"/>
      <c r="AH16" s="48">
        <f t="shared" si="3"/>
        <v>-52296.570000000007</v>
      </c>
      <c r="AI16" s="48"/>
    </row>
    <row r="17" spans="1:35" ht="41.25" customHeight="1">
      <c r="A17" s="89" t="s">
        <v>198</v>
      </c>
      <c r="B17" s="86" t="s">
        <v>109</v>
      </c>
      <c r="C17" s="76">
        <v>1</v>
      </c>
      <c r="D17" s="67" t="s">
        <v>199</v>
      </c>
      <c r="E17" s="67" t="s">
        <v>200</v>
      </c>
      <c r="F17" s="81" t="s">
        <v>201</v>
      </c>
      <c r="G17" s="111">
        <v>46267</v>
      </c>
      <c r="H17" s="63" t="str">
        <f t="shared" ca="1" si="1"/>
        <v>NO PRAZO</v>
      </c>
      <c r="I17" s="38"/>
      <c r="J17" s="81" t="s">
        <v>202</v>
      </c>
      <c r="K17" s="10"/>
      <c r="L17" s="80">
        <v>116248.37</v>
      </c>
      <c r="M17" s="10">
        <f>L17*12</f>
        <v>1394980.44</v>
      </c>
      <c r="N17" s="10">
        <v>509265.91999999998</v>
      </c>
      <c r="O17" s="3">
        <v>0</v>
      </c>
      <c r="P17" s="9">
        <f t="shared" si="0"/>
        <v>509265.91999999998</v>
      </c>
      <c r="Q17" s="45"/>
      <c r="R17" s="10"/>
      <c r="S17" s="45"/>
      <c r="T17" s="10">
        <f>117871-49371</f>
        <v>68500</v>
      </c>
      <c r="U17" s="10">
        <f>L17-P17</f>
        <v>-393017.55</v>
      </c>
      <c r="V17" s="10">
        <f>L17</f>
        <v>116248.37</v>
      </c>
      <c r="W17" s="53"/>
      <c r="X17" s="53"/>
      <c r="Y17" s="53"/>
      <c r="Z17" s="53"/>
      <c r="AA17" s="53"/>
      <c r="AB17" s="53"/>
      <c r="AC17" s="46">
        <f>P17-(3*L17)</f>
        <v>160520.81</v>
      </c>
      <c r="AE17" s="19">
        <f t="shared" si="2"/>
        <v>232496.74</v>
      </c>
      <c r="AF17" s="48"/>
      <c r="AG17" s="48">
        <v>-212997.86</v>
      </c>
      <c r="AH17" s="48">
        <f t="shared" si="3"/>
        <v>-276769.18</v>
      </c>
      <c r="AI17" s="48"/>
    </row>
    <row r="18" spans="1:35" ht="24.75" customHeight="1">
      <c r="A18" s="86" t="s">
        <v>246</v>
      </c>
      <c r="B18" s="86" t="s">
        <v>109</v>
      </c>
      <c r="C18" s="76">
        <v>2</v>
      </c>
      <c r="D18" s="38" t="s">
        <v>247</v>
      </c>
      <c r="E18" s="38" t="s">
        <v>248</v>
      </c>
      <c r="F18" s="38" t="s">
        <v>249</v>
      </c>
      <c r="G18" s="68">
        <v>46266</v>
      </c>
      <c r="H18" s="63" t="str">
        <f t="shared" ca="1" si="1"/>
        <v>NO PRAZO</v>
      </c>
      <c r="I18" s="38"/>
      <c r="J18" s="98" t="s">
        <v>250</v>
      </c>
      <c r="K18" s="10">
        <v>100</v>
      </c>
      <c r="L18" s="80"/>
      <c r="M18" s="10">
        <f>K18*12</f>
        <v>1200</v>
      </c>
      <c r="N18" s="3">
        <v>1200</v>
      </c>
      <c r="O18" s="3">
        <v>139</v>
      </c>
      <c r="P18" s="9">
        <f t="shared" si="0"/>
        <v>1339</v>
      </c>
      <c r="Q18" s="10"/>
      <c r="R18" s="10"/>
      <c r="S18" s="10">
        <f>K18</f>
        <v>100</v>
      </c>
      <c r="T18" s="45"/>
      <c r="U18" s="45"/>
      <c r="V18" s="45"/>
      <c r="W18" s="45"/>
      <c r="X18" s="45"/>
      <c r="Y18" s="45"/>
      <c r="Z18" s="45"/>
      <c r="AA18" s="45"/>
      <c r="AB18" s="45"/>
      <c r="AC18" s="46">
        <f>P18-(3*K18)</f>
        <v>1039</v>
      </c>
      <c r="AE18" s="19">
        <f t="shared" si="2"/>
        <v>200</v>
      </c>
      <c r="AF18" s="48"/>
      <c r="AG18" s="48"/>
      <c r="AH18" s="48">
        <f t="shared" si="3"/>
        <v>-1139</v>
      </c>
      <c r="AI18" s="48"/>
    </row>
    <row r="19" spans="1:35" ht="41.25" customHeight="1">
      <c r="A19" s="86" t="s">
        <v>254</v>
      </c>
      <c r="B19" s="123" t="s">
        <v>47</v>
      </c>
      <c r="C19" s="124">
        <v>1</v>
      </c>
      <c r="D19" s="71" t="s">
        <v>255</v>
      </c>
      <c r="E19" s="71" t="s">
        <v>256</v>
      </c>
      <c r="F19" s="81" t="s">
        <v>257</v>
      </c>
      <c r="G19" s="68">
        <v>46254</v>
      </c>
      <c r="H19" s="63" t="str">
        <f t="shared" ca="1" si="1"/>
        <v>NO PRAZO</v>
      </c>
      <c r="I19" s="38"/>
      <c r="J19" s="81" t="s">
        <v>258</v>
      </c>
      <c r="K19" s="10"/>
      <c r="L19" s="80">
        <v>5954.2</v>
      </c>
      <c r="M19" s="10">
        <v>63975.839999999997</v>
      </c>
      <c r="N19" s="3">
        <v>22887.42</v>
      </c>
      <c r="O19" s="3">
        <v>0</v>
      </c>
      <c r="P19" s="9">
        <f t="shared" si="0"/>
        <v>22887.42</v>
      </c>
      <c r="Q19" s="45"/>
      <c r="R19" s="45"/>
      <c r="S19" s="10">
        <f>L19-P19</f>
        <v>-16933.219999999998</v>
      </c>
      <c r="T19" s="10">
        <f>L19-4688</f>
        <v>1266.1999999999998</v>
      </c>
      <c r="U19" s="45"/>
      <c r="V19" s="10">
        <f>5331-P19</f>
        <v>-17556.419999999998</v>
      </c>
      <c r="W19" s="70">
        <f>L19-4396</f>
        <v>1558.1999999999998</v>
      </c>
      <c r="X19" s="65">
        <f>L19</f>
        <v>5954.2</v>
      </c>
      <c r="Y19" s="45"/>
      <c r="Z19" s="45"/>
      <c r="AA19" s="45"/>
      <c r="AB19" s="45"/>
      <c r="AC19" s="46">
        <f>P19-(3*L19)</f>
        <v>5024.82</v>
      </c>
      <c r="AE19" s="19">
        <f t="shared" si="2"/>
        <v>11908.4</v>
      </c>
      <c r="AF19" s="48"/>
      <c r="AG19" s="48">
        <v>-643.349999999999</v>
      </c>
      <c r="AH19" s="48">
        <f t="shared" si="3"/>
        <v>-10979.019999999999</v>
      </c>
      <c r="AI19" s="48"/>
    </row>
    <row r="20" spans="1:35" ht="27" customHeight="1">
      <c r="A20" s="86" t="s">
        <v>267</v>
      </c>
      <c r="B20" s="123" t="s">
        <v>47</v>
      </c>
      <c r="C20" s="124">
        <v>1</v>
      </c>
      <c r="D20" s="71" t="s">
        <v>223</v>
      </c>
      <c r="E20" s="71" t="s">
        <v>268</v>
      </c>
      <c r="F20" s="81" t="s">
        <v>269</v>
      </c>
      <c r="G20" s="68">
        <v>46068</v>
      </c>
      <c r="H20" s="63" t="str">
        <f t="shared" ca="1" si="1"/>
        <v>NO PRAZO</v>
      </c>
      <c r="I20" s="38"/>
      <c r="J20" s="81" t="s">
        <v>271</v>
      </c>
      <c r="K20" s="10"/>
      <c r="L20" s="42">
        <f>M20/12</f>
        <v>4290.91</v>
      </c>
      <c r="M20" s="43">
        <v>51490.92</v>
      </c>
      <c r="N20" s="107">
        <f>30036.37+4537.93</f>
        <v>34574.300000000003</v>
      </c>
      <c r="O20" s="3">
        <v>0</v>
      </c>
      <c r="P20" s="9">
        <f t="shared" si="0"/>
        <v>34574.300000000003</v>
      </c>
      <c r="Q20" s="53"/>
      <c r="R20" s="10"/>
      <c r="S20" s="45"/>
      <c r="T20" s="45"/>
      <c r="U20" s="45"/>
      <c r="V20" s="10">
        <f>L20</f>
        <v>4290.91</v>
      </c>
      <c r="W20" s="45"/>
      <c r="X20" s="45"/>
      <c r="Y20" s="45"/>
      <c r="Z20" s="45"/>
      <c r="AA20" s="45"/>
      <c r="AB20" s="45"/>
      <c r="AC20" s="46">
        <f>P20-(3*L20)</f>
        <v>21701.570000000003</v>
      </c>
      <c r="AE20" s="19">
        <f t="shared" si="2"/>
        <v>8581.82</v>
      </c>
      <c r="AF20" s="48">
        <f>P20-AE20</f>
        <v>25992.480000000003</v>
      </c>
      <c r="AG20" s="48"/>
      <c r="AH20" s="48">
        <f t="shared" si="3"/>
        <v>-25992.480000000003</v>
      </c>
      <c r="AI20" s="48"/>
    </row>
    <row r="21" spans="1:35" ht="22.5" customHeight="1">
      <c r="A21" s="139" t="s">
        <v>310</v>
      </c>
      <c r="B21" s="86" t="s">
        <v>273</v>
      </c>
      <c r="C21" s="76">
        <v>2</v>
      </c>
      <c r="D21" s="38" t="s">
        <v>306</v>
      </c>
      <c r="E21" s="38" t="s">
        <v>311</v>
      </c>
      <c r="F21" s="81" t="s">
        <v>312</v>
      </c>
      <c r="G21" s="68">
        <v>47436</v>
      </c>
      <c r="H21" s="63" t="str">
        <f t="shared" ca="1" si="1"/>
        <v>NO PRAZO</v>
      </c>
      <c r="I21" s="38"/>
      <c r="J21" s="63" t="s">
        <v>313</v>
      </c>
      <c r="K21" s="10">
        <f>M21/12</f>
        <v>339678</v>
      </c>
      <c r="L21" s="80"/>
      <c r="M21" s="3">
        <f>20380680/5</f>
        <v>4076136</v>
      </c>
      <c r="N21" s="3"/>
      <c r="O21" s="3">
        <v>2995835</v>
      </c>
      <c r="P21" s="9">
        <f t="shared" si="0"/>
        <v>2995835</v>
      </c>
      <c r="Q21" s="45"/>
      <c r="R21" s="53"/>
      <c r="S21" s="45"/>
      <c r="T21" s="53"/>
      <c r="U21" s="53"/>
      <c r="V21" s="53"/>
      <c r="W21" s="53"/>
      <c r="X21" s="53"/>
      <c r="Y21" s="53"/>
      <c r="Z21" s="53"/>
      <c r="AA21" s="53"/>
      <c r="AB21" s="53"/>
      <c r="AC21" s="46"/>
      <c r="AF21" s="48"/>
      <c r="AG21" s="48"/>
      <c r="AH21" s="48"/>
      <c r="AI21" s="48"/>
    </row>
    <row r="22" spans="1:35" ht="18.75" customHeight="1">
      <c r="A22" s="138" t="s">
        <v>314</v>
      </c>
      <c r="B22" s="127" t="s">
        <v>273</v>
      </c>
      <c r="C22" s="128">
        <v>3</v>
      </c>
      <c r="D22" s="129" t="s">
        <v>41</v>
      </c>
      <c r="E22" s="129" t="s">
        <v>315</v>
      </c>
      <c r="F22" s="38"/>
      <c r="G22" s="38"/>
      <c r="H22" s="63"/>
      <c r="I22" s="63"/>
      <c r="J22" s="38"/>
      <c r="K22" s="10">
        <v>40000</v>
      </c>
      <c r="L22" s="80"/>
      <c r="M22" s="10">
        <f>K22*12</f>
        <v>480000</v>
      </c>
      <c r="N22" s="44">
        <v>121270.9</v>
      </c>
      <c r="O22" s="44">
        <v>2965.4</v>
      </c>
      <c r="P22" s="9">
        <f t="shared" si="0"/>
        <v>124236.29999999999</v>
      </c>
      <c r="Q22" s="10"/>
      <c r="R22" s="10"/>
      <c r="S22" s="45"/>
      <c r="T22" s="70">
        <f>40000-12743</f>
        <v>27257</v>
      </c>
      <c r="U22" s="53"/>
      <c r="V22" s="70">
        <f>K22-23261</f>
        <v>16739</v>
      </c>
      <c r="W22" s="53"/>
      <c r="X22" s="53"/>
      <c r="Y22" s="53"/>
      <c r="Z22" s="53"/>
      <c r="AA22" s="53"/>
      <c r="AB22" s="53"/>
      <c r="AC22" s="46">
        <f>P22-(3*K22)</f>
        <v>4236.2999999999884</v>
      </c>
      <c r="AE22" s="19">
        <f>K22*2</f>
        <v>80000</v>
      </c>
      <c r="AF22" s="48">
        <f>P22-AE22</f>
        <v>44236.299999999988</v>
      </c>
      <c r="AG22" s="48"/>
      <c r="AH22" s="48">
        <f t="shared" ref="AH22:AH28" si="4">(SUM(K22:L22)*2)-P22</f>
        <v>-44236.299999999988</v>
      </c>
      <c r="AI22" s="48"/>
    </row>
    <row r="23" spans="1:35" ht="219.75" customHeight="1">
      <c r="A23" s="147" t="s">
        <v>337</v>
      </c>
      <c r="B23" s="86" t="s">
        <v>328</v>
      </c>
      <c r="C23" s="76">
        <v>2</v>
      </c>
      <c r="D23" s="38" t="s">
        <v>334</v>
      </c>
      <c r="E23" s="38"/>
      <c r="F23" s="148" t="s">
        <v>338</v>
      </c>
      <c r="G23" s="38" t="s">
        <v>339</v>
      </c>
      <c r="H23" s="63"/>
      <c r="I23" s="63"/>
      <c r="J23" s="79"/>
      <c r="K23" s="145">
        <v>28500</v>
      </c>
      <c r="L23" s="80"/>
      <c r="M23" s="10">
        <f>K23*12</f>
        <v>342000</v>
      </c>
      <c r="N23" s="3">
        <f>89029.91+28500</f>
        <v>117529.91</v>
      </c>
      <c r="O23" s="3">
        <v>0</v>
      </c>
      <c r="P23" s="9">
        <f t="shared" si="0"/>
        <v>117529.91</v>
      </c>
      <c r="Q23" s="53"/>
      <c r="R23" s="145"/>
      <c r="S23" s="45"/>
      <c r="T23" s="53"/>
      <c r="U23" s="53"/>
      <c r="V23" s="145">
        <f>28500-24893</f>
        <v>3607</v>
      </c>
      <c r="W23" s="53"/>
      <c r="X23" s="53"/>
      <c r="Y23" s="53"/>
      <c r="Z23" s="53"/>
      <c r="AA23" s="53"/>
      <c r="AB23" s="53"/>
      <c r="AC23" s="46"/>
      <c r="AD23" s="95"/>
      <c r="AE23" s="146"/>
      <c r="AF23" s="48"/>
      <c r="AG23" s="48"/>
      <c r="AH23" s="48">
        <f t="shared" si="4"/>
        <v>-60529.91</v>
      </c>
      <c r="AI23" s="48"/>
    </row>
    <row r="24" spans="1:35" ht="193.5" customHeight="1">
      <c r="A24" s="147" t="s">
        <v>340</v>
      </c>
      <c r="B24" s="86" t="s">
        <v>328</v>
      </c>
      <c r="C24" s="76">
        <v>2</v>
      </c>
      <c r="D24" s="38" t="s">
        <v>334</v>
      </c>
      <c r="E24" s="38"/>
      <c r="F24" s="148" t="s">
        <v>341</v>
      </c>
      <c r="G24" s="38" t="s">
        <v>342</v>
      </c>
      <c r="H24" s="63"/>
      <c r="I24" s="63"/>
      <c r="J24" s="79"/>
      <c r="K24" s="145">
        <v>22500</v>
      </c>
      <c r="L24" s="80"/>
      <c r="M24" s="10">
        <f>K24*12</f>
        <v>270000</v>
      </c>
      <c r="N24" s="3">
        <f>45348.61+95199.17</f>
        <v>140547.78</v>
      </c>
      <c r="O24" s="3">
        <v>0</v>
      </c>
      <c r="P24" s="9">
        <f t="shared" si="0"/>
        <v>140547.78</v>
      </c>
      <c r="Q24" s="53"/>
      <c r="R24" s="145"/>
      <c r="S24" s="45"/>
      <c r="T24" s="53"/>
      <c r="U24" s="53"/>
      <c r="V24" s="53"/>
      <c r="W24" s="53"/>
      <c r="X24" s="53"/>
      <c r="Y24" s="53"/>
      <c r="Z24" s="53"/>
      <c r="AA24" s="53"/>
      <c r="AB24" s="53"/>
      <c r="AC24" s="46"/>
      <c r="AD24" s="95"/>
      <c r="AE24" s="146"/>
      <c r="AF24" s="48"/>
      <c r="AG24" s="48"/>
      <c r="AH24" s="48">
        <f t="shared" si="4"/>
        <v>-95547.78</v>
      </c>
      <c r="AI24" s="48"/>
    </row>
    <row r="25" spans="1:35" ht="82.5" customHeight="1">
      <c r="A25" s="152" t="s">
        <v>349</v>
      </c>
      <c r="B25" s="90" t="s">
        <v>350</v>
      </c>
      <c r="C25" s="61">
        <v>3</v>
      </c>
      <c r="D25" s="38" t="s">
        <v>351</v>
      </c>
      <c r="E25" s="153">
        <v>18284407000153</v>
      </c>
      <c r="F25" s="81" t="s">
        <v>352</v>
      </c>
      <c r="G25" s="68">
        <v>46441</v>
      </c>
      <c r="H25" s="63" t="str">
        <f ca="1">IF((G25-TODAY())&lt;0,"EXPIRADO", IF((G25-TODAY())&lt;=60,"EM BREVE","NO PRAZO"))</f>
        <v>NO PRAZO</v>
      </c>
      <c r="I25" s="63"/>
      <c r="J25" s="84" t="s">
        <v>353</v>
      </c>
      <c r="K25" s="10">
        <v>44033.82</v>
      </c>
      <c r="L25" s="80"/>
      <c r="M25" s="10">
        <f>K25*12</f>
        <v>528405.84</v>
      </c>
      <c r="N25" s="3">
        <v>496006.57</v>
      </c>
      <c r="O25" s="3">
        <v>0</v>
      </c>
      <c r="P25" s="9">
        <f t="shared" si="0"/>
        <v>496006.57</v>
      </c>
      <c r="Q25" s="70"/>
      <c r="R25" s="53"/>
      <c r="S25" s="45"/>
      <c r="T25" s="53"/>
      <c r="U25" s="53"/>
      <c r="V25" s="53"/>
      <c r="W25" s="53"/>
      <c r="X25" s="53"/>
      <c r="Y25" s="53"/>
      <c r="Z25" s="53"/>
      <c r="AA25" s="53"/>
      <c r="AB25" s="53"/>
      <c r="AC25" s="46"/>
      <c r="AE25" s="19">
        <f>K25*2</f>
        <v>88067.64</v>
      </c>
      <c r="AF25" s="48"/>
      <c r="AG25" s="48">
        <v>-88067.64</v>
      </c>
      <c r="AH25" s="48">
        <f t="shared" si="4"/>
        <v>-407938.93</v>
      </c>
      <c r="AI25" s="48"/>
    </row>
    <row r="26" spans="1:35" ht="27" customHeight="1">
      <c r="A26" s="155" t="s">
        <v>450</v>
      </c>
      <c r="B26" s="86" t="s">
        <v>328</v>
      </c>
      <c r="C26" s="76">
        <v>1</v>
      </c>
      <c r="D26" s="77" t="s">
        <v>370</v>
      </c>
      <c r="E26" s="77" t="s">
        <v>256</v>
      </c>
      <c r="F26" s="81" t="s">
        <v>371</v>
      </c>
      <c r="G26" s="111">
        <v>45844</v>
      </c>
      <c r="H26" s="63" t="str">
        <f ca="1">IF((G26-TODAY())&lt;0,"EXPIRADO", IF((G26-TODAY())&lt;=60,"EM BREVE","NO PRAZO"))</f>
        <v>EXPIRADO</v>
      </c>
      <c r="I26" s="63" t="s">
        <v>372</v>
      </c>
      <c r="J26" s="84" t="s">
        <v>373</v>
      </c>
      <c r="K26" s="10"/>
      <c r="L26" s="80">
        <f>M26/12</f>
        <v>5039.3474999999999</v>
      </c>
      <c r="M26" s="10">
        <v>60472.17</v>
      </c>
      <c r="N26" s="3">
        <v>23684.51</v>
      </c>
      <c r="O26" s="3">
        <v>0</v>
      </c>
      <c r="P26" s="9">
        <f t="shared" si="0"/>
        <v>23684.51</v>
      </c>
      <c r="Q26" s="10"/>
      <c r="R26" s="10"/>
      <c r="S26" s="45"/>
      <c r="T26" s="45"/>
      <c r="U26" s="10">
        <f>L26-166.38</f>
        <v>4872.9674999999997</v>
      </c>
      <c r="V26" s="70">
        <f>L26</f>
        <v>5039.3474999999999</v>
      </c>
      <c r="W26" s="108"/>
      <c r="X26" s="70">
        <f>L26-1512</f>
        <v>3527.3474999999999</v>
      </c>
      <c r="Y26" s="70"/>
      <c r="Z26" s="53"/>
      <c r="AA26" s="53"/>
      <c r="AB26" s="53"/>
      <c r="AC26" s="46">
        <f>P26-(3*L26)</f>
        <v>8566.4674999999988</v>
      </c>
      <c r="AE26" s="19">
        <f>L26*2</f>
        <v>10078.695</v>
      </c>
      <c r="AF26" s="48"/>
      <c r="AG26" s="48"/>
      <c r="AH26" s="48">
        <f t="shared" si="4"/>
        <v>-13605.814999999999</v>
      </c>
      <c r="AI26" s="48"/>
    </row>
    <row r="27" spans="1:35" ht="35.25" customHeight="1">
      <c r="A27" s="157" t="s">
        <v>381</v>
      </c>
      <c r="B27" s="157" t="s">
        <v>382</v>
      </c>
      <c r="C27" s="76">
        <v>2</v>
      </c>
      <c r="D27" s="49" t="s">
        <v>383</v>
      </c>
      <c r="E27" s="49" t="s">
        <v>384</v>
      </c>
      <c r="F27" s="158" t="s">
        <v>385</v>
      </c>
      <c r="G27" s="62">
        <v>46792</v>
      </c>
      <c r="H27" s="63" t="str">
        <f ca="1">IF((G27-TODAY())&lt;0,"EXPIRADO", IF((G27-TODAY())&lt;=60,"EM BREVE","NO PRAZO"))</f>
        <v>NO PRAZO</v>
      </c>
      <c r="I27" s="63"/>
      <c r="J27" s="159" t="s">
        <v>386</v>
      </c>
      <c r="K27" s="10">
        <v>3000</v>
      </c>
      <c r="L27" s="80"/>
      <c r="M27" s="10">
        <f>K27*12</f>
        <v>36000</v>
      </c>
      <c r="N27" s="3">
        <v>12275.32</v>
      </c>
      <c r="O27" s="3">
        <v>0</v>
      </c>
      <c r="P27" s="9">
        <f t="shared" si="0"/>
        <v>12275.32</v>
      </c>
      <c r="Q27" s="10"/>
      <c r="R27" s="10"/>
      <c r="S27" s="45"/>
      <c r="T27" s="45"/>
      <c r="U27" s="45"/>
      <c r="V27" s="45"/>
      <c r="W27" s="45"/>
      <c r="X27" s="45"/>
      <c r="Y27" s="160"/>
      <c r="Z27" s="53"/>
      <c r="AA27" s="53"/>
      <c r="AB27" s="53"/>
      <c r="AC27" s="46">
        <f>P27-(3*K27)</f>
        <v>3275.3199999999997</v>
      </c>
      <c r="AE27" s="19">
        <f>K27*2</f>
        <v>6000</v>
      </c>
      <c r="AF27" s="48"/>
      <c r="AG27" s="48">
        <v>-642</v>
      </c>
      <c r="AH27" s="48">
        <f t="shared" si="4"/>
        <v>-6275.32</v>
      </c>
      <c r="AI27" s="48"/>
    </row>
    <row r="28" spans="1:35" ht="14.25" customHeight="1">
      <c r="A28" s="157" t="s">
        <v>387</v>
      </c>
      <c r="B28" s="157" t="s">
        <v>382</v>
      </c>
      <c r="C28" s="76">
        <v>2</v>
      </c>
      <c r="D28" s="49" t="s">
        <v>388</v>
      </c>
      <c r="E28" s="49"/>
      <c r="F28" s="38" t="s">
        <v>389</v>
      </c>
      <c r="G28" s="62">
        <v>46001</v>
      </c>
      <c r="H28" s="63" t="str">
        <f ca="1">IF((G28-TODAY())&lt;0,"EXPIRADO", IF((G28-TODAY())&lt;=60,"EM BREVE","NO PRAZO"))</f>
        <v>EM BREVE</v>
      </c>
      <c r="I28" s="63"/>
      <c r="J28" s="38" t="s">
        <v>390</v>
      </c>
      <c r="K28" s="10">
        <v>2000</v>
      </c>
      <c r="L28" s="80"/>
      <c r="M28" s="10">
        <f>K28*12</f>
        <v>24000</v>
      </c>
      <c r="N28" s="3">
        <v>6307.04</v>
      </c>
      <c r="O28" s="3">
        <v>0</v>
      </c>
      <c r="P28" s="9">
        <f t="shared" si="0"/>
        <v>6307.04</v>
      </c>
      <c r="Q28" s="53"/>
      <c r="R28" s="45"/>
      <c r="S28" s="45"/>
      <c r="T28" s="45"/>
      <c r="U28" s="10">
        <f>K28-307</f>
        <v>1693</v>
      </c>
      <c r="V28" s="45"/>
      <c r="W28" s="45"/>
      <c r="X28" s="45"/>
      <c r="Y28" s="160"/>
      <c r="Z28" s="160"/>
      <c r="AA28" s="160"/>
      <c r="AB28" s="65"/>
      <c r="AC28" s="46">
        <f>P28-(3*K28)</f>
        <v>307.03999999999996</v>
      </c>
      <c r="AE28" s="19">
        <f>K28*2</f>
        <v>4000</v>
      </c>
      <c r="AF28" s="48">
        <f>P28-AE28</f>
        <v>2307.04</v>
      </c>
      <c r="AG28" s="48"/>
      <c r="AH28" s="48">
        <f t="shared" si="4"/>
        <v>-2307.04</v>
      </c>
      <c r="AI28" s="48"/>
    </row>
    <row r="29" spans="1:35" ht="27" customHeight="1">
      <c r="A29" s="86" t="s">
        <v>402</v>
      </c>
      <c r="B29" s="86" t="s">
        <v>392</v>
      </c>
      <c r="C29" s="76">
        <v>3</v>
      </c>
      <c r="D29" s="49" t="s">
        <v>393</v>
      </c>
      <c r="E29" s="163" t="s">
        <v>403</v>
      </c>
      <c r="F29" s="38" t="s">
        <v>404</v>
      </c>
      <c r="G29" s="68">
        <v>46136</v>
      </c>
      <c r="H29" s="63" t="str">
        <f ca="1">IF((G29-TODAY())&lt;0,"EXPIRADO", IF((G29-TODAY())&lt;=60,"EM BREVE","NO PRAZO"))</f>
        <v>NO PRAZO</v>
      </c>
      <c r="I29" s="63"/>
      <c r="J29" s="164" t="s">
        <v>405</v>
      </c>
      <c r="K29" s="43">
        <v>500</v>
      </c>
      <c r="L29" s="42"/>
      <c r="M29" s="43">
        <f>K29*12</f>
        <v>6000</v>
      </c>
      <c r="N29" s="3">
        <v>13933.9</v>
      </c>
      <c r="O29" s="3">
        <v>548.5</v>
      </c>
      <c r="P29" s="9">
        <f t="shared" si="0"/>
        <v>14482.4</v>
      </c>
      <c r="Q29" s="53"/>
      <c r="R29" s="53"/>
      <c r="S29" s="45"/>
      <c r="T29" s="65"/>
      <c r="U29" s="45"/>
      <c r="V29" s="45"/>
      <c r="W29" s="45"/>
      <c r="X29" s="45"/>
      <c r="Y29" s="45"/>
      <c r="Z29" s="45"/>
      <c r="AA29" s="45"/>
      <c r="AB29" s="45"/>
      <c r="AC29" s="46">
        <f>P29-(3*K29)</f>
        <v>12982.4</v>
      </c>
      <c r="AD29" s="162"/>
      <c r="AE29" s="19">
        <f>K29*2</f>
        <v>1000</v>
      </c>
      <c r="AF29" s="48">
        <f>P29-AE29-O29</f>
        <v>12933.9</v>
      </c>
      <c r="AG29" s="48"/>
      <c r="AH29" s="48"/>
      <c r="AI29" s="48"/>
    </row>
    <row r="30" spans="1:35">
      <c r="A30" s="165"/>
      <c r="B30" s="165"/>
      <c r="C30" s="166"/>
      <c r="D30" s="165"/>
      <c r="E30" s="165"/>
      <c r="F30" s="166"/>
      <c r="G30" s="165"/>
      <c r="H30" s="165"/>
      <c r="I30" s="165"/>
      <c r="J30" s="165"/>
      <c r="K30" s="167"/>
      <c r="L30" s="168"/>
      <c r="M30" s="167"/>
      <c r="N30" s="167"/>
      <c r="O30" s="165"/>
      <c r="P30" s="169"/>
      <c r="W30" s="170"/>
      <c r="AC30" s="46"/>
      <c r="AF30" s="48"/>
      <c r="AG30" s="133"/>
      <c r="AH30" s="48">
        <f>(SUM(K30:L30)*3)-P30</f>
        <v>0</v>
      </c>
      <c r="AI30" s="48"/>
    </row>
    <row r="31" spans="1:35">
      <c r="A31" s="171" t="s">
        <v>412</v>
      </c>
      <c r="B31" s="171"/>
      <c r="C31" s="172"/>
      <c r="D31" s="171"/>
      <c r="E31" s="171"/>
      <c r="F31" s="172"/>
      <c r="G31" s="171"/>
      <c r="H31" s="171"/>
      <c r="I31" s="171"/>
      <c r="J31" s="171"/>
      <c r="K31" s="173">
        <f t="shared" ref="K31:AC31" si="5">SUM(K4:K29)</f>
        <v>783974.85</v>
      </c>
      <c r="L31" s="174">
        <f t="shared" si="5"/>
        <v>178518.94750000001</v>
      </c>
      <c r="M31" s="173">
        <f t="shared" si="5"/>
        <v>11174912.549999999</v>
      </c>
      <c r="N31" s="173">
        <f t="shared" si="5"/>
        <v>3180585.4499999988</v>
      </c>
      <c r="O31" s="173">
        <f t="shared" si="5"/>
        <v>3124546.38</v>
      </c>
      <c r="P31" s="173">
        <f t="shared" si="5"/>
        <v>6305131.830000001</v>
      </c>
      <c r="Q31" s="173">
        <f t="shared" si="5"/>
        <v>0</v>
      </c>
      <c r="R31" s="173">
        <f t="shared" si="5"/>
        <v>0</v>
      </c>
      <c r="S31" s="173">
        <f t="shared" si="5"/>
        <v>-15967.559999999998</v>
      </c>
      <c r="T31" s="173">
        <f t="shared" si="5"/>
        <v>118842.98</v>
      </c>
      <c r="U31" s="173">
        <f t="shared" si="5"/>
        <v>-363657.39249999996</v>
      </c>
      <c r="V31" s="173">
        <f t="shared" si="5"/>
        <v>153946.01749999999</v>
      </c>
      <c r="W31" s="173">
        <f t="shared" si="5"/>
        <v>1558.1999999999998</v>
      </c>
      <c r="X31" s="173">
        <f t="shared" si="5"/>
        <v>99612.887499999997</v>
      </c>
      <c r="Y31" s="173">
        <f t="shared" si="5"/>
        <v>0</v>
      </c>
      <c r="Z31" s="173">
        <f t="shared" si="5"/>
        <v>0</v>
      </c>
      <c r="AA31" s="173">
        <f t="shared" si="5"/>
        <v>0</v>
      </c>
      <c r="AB31" s="173">
        <f t="shared" si="5"/>
        <v>0</v>
      </c>
      <c r="AC31" s="176">
        <f t="shared" si="5"/>
        <v>907188.91750000021</v>
      </c>
      <c r="AE31" s="173">
        <f>SUM(AE4:AE29)</f>
        <v>739215.59499999997</v>
      </c>
      <c r="AF31" s="173">
        <f>SUM(AF4:AF29)</f>
        <v>203484.7</v>
      </c>
      <c r="AG31" s="173">
        <f>SUM(AG4:AG29)</f>
        <v>-84350.52999999997</v>
      </c>
      <c r="AH31" s="175">
        <f>SUM(AH4:AH29)</f>
        <v>-1042309.1149999999</v>
      </c>
      <c r="AI31" s="48"/>
    </row>
    <row r="32" spans="1:35">
      <c r="A32" s="165"/>
      <c r="B32" s="165"/>
      <c r="C32" s="166"/>
      <c r="D32" s="165"/>
      <c r="E32" s="165"/>
      <c r="F32" s="166"/>
      <c r="G32" s="165"/>
      <c r="H32" s="165"/>
      <c r="I32" s="165"/>
      <c r="J32" s="165"/>
      <c r="K32" s="167"/>
      <c r="L32" s="168"/>
      <c r="M32" s="167"/>
      <c r="N32" s="167"/>
      <c r="O32" s="165"/>
      <c r="P32" s="169"/>
    </row>
    <row r="33" spans="13:35">
      <c r="M33" s="23"/>
      <c r="O33" s="19"/>
      <c r="AG33" s="19" t="e">
        <f>#REF!</f>
        <v>#REF!</v>
      </c>
      <c r="AH33" s="19"/>
      <c r="AI33" s="19"/>
    </row>
    <row r="34" spans="13:35">
      <c r="O34" s="19"/>
      <c r="AG34" s="19">
        <v>-6000000</v>
      </c>
      <c r="AH34" s="19"/>
      <c r="AI34" s="19"/>
    </row>
    <row r="35" spans="13:35">
      <c r="O35" s="19"/>
      <c r="AG35" s="19">
        <v>-1280820.8600000001</v>
      </c>
      <c r="AH35" s="19"/>
      <c r="AI35" s="19"/>
    </row>
    <row r="36" spans="13:35">
      <c r="O36" s="19"/>
      <c r="AH36" s="19"/>
      <c r="AI36" s="19"/>
    </row>
    <row r="37" spans="13:35">
      <c r="O37" s="19"/>
      <c r="AG37" s="19" t="e">
        <f>SUM(AG33:AG34)</f>
        <v>#REF!</v>
      </c>
      <c r="AH37" s="19"/>
      <c r="AI37" s="19"/>
    </row>
    <row r="38" spans="13:35">
      <c r="AG38" s="19" t="e">
        <f>AG37+#REF!</f>
        <v>#REF!</v>
      </c>
    </row>
    <row r="39" spans="13:35">
      <c r="AH39" s="19"/>
      <c r="AI39" s="19"/>
    </row>
    <row r="41" spans="13:35">
      <c r="AH41" s="19"/>
      <c r="AI41" s="19"/>
    </row>
    <row r="42" spans="13:35">
      <c r="AH42" s="19"/>
      <c r="AI42" s="19"/>
    </row>
    <row r="44" spans="13:35">
      <c r="AH44" s="19"/>
      <c r="AI44" s="19"/>
    </row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</sheetData>
  <autoFilter ref="A3:P29" xr:uid="{00000000-0009-0000-0000-000001000000}"/>
  <conditionalFormatting sqref="H8:I29">
    <cfRule type="cellIs" dxfId="59" priority="2" operator="equal">
      <formula>"EXPIRADO"</formula>
    </cfRule>
    <cfRule type="cellIs" dxfId="58" priority="3" operator="equal">
      <formula>"NO PRAZO"</formula>
    </cfRule>
    <cfRule type="cellIs" dxfId="57" priority="4" operator="equal">
      <formula>"EM BREVE"</formula>
    </cfRule>
    <cfRule type="cellIs" dxfId="56" priority="5" operator="equal">
      <formula>0</formula>
    </cfRule>
  </conditionalFormatting>
  <conditionalFormatting sqref="J21">
    <cfRule type="cellIs" dxfId="55" priority="6" operator="equal">
      <formula>"EXPIRADO"</formula>
    </cfRule>
    <cfRule type="cellIs" dxfId="54" priority="7" operator="equal">
      <formula>"NO PRAZO"</formula>
    </cfRule>
    <cfRule type="cellIs" dxfId="53" priority="8" operator="equal">
      <formula>"EM BREVE"</formula>
    </cfRule>
    <cfRule type="cellIs" dxfId="52" priority="9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9694"/>
  </sheetPr>
  <dimension ref="A1:XCO76"/>
  <sheetViews>
    <sheetView zoomScale="85" zoomScaleNormal="85" workbookViewId="0">
      <pane xSplit="4" ySplit="3" topLeftCell="E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69.5" style="11" customWidth="1"/>
    <col min="2" max="2" width="14.5" style="11" customWidth="1"/>
    <col min="3" max="3" width="14.5" style="12" hidden="1" customWidth="1"/>
    <col min="4" max="4" width="19.1640625" style="12" customWidth="1"/>
    <col min="5" max="5" width="24.83203125" style="12" customWidth="1"/>
    <col min="6" max="6" width="12.33203125" style="12" customWidth="1"/>
    <col min="7" max="9" width="13.6640625" style="15" hidden="1" customWidth="1"/>
    <col min="10" max="10" width="29.83203125" style="17" customWidth="1"/>
    <col min="11" max="16317" width="9.1640625" style="11"/>
    <col min="16318" max="16384" width="11.5" customWidth="1"/>
  </cols>
  <sheetData>
    <row r="1" spans="1:10" ht="18">
      <c r="A1" s="20" t="s">
        <v>451</v>
      </c>
      <c r="B1" s="21"/>
      <c r="D1" s="21"/>
    </row>
    <row r="2" spans="1:10" ht="18.75" customHeight="1">
      <c r="A2" s="11" t="s">
        <v>452</v>
      </c>
      <c r="B2" s="21"/>
    </row>
    <row r="3" spans="1:10">
      <c r="A3" s="1" t="s">
        <v>7</v>
      </c>
      <c r="B3" s="1" t="s">
        <v>8</v>
      </c>
      <c r="C3" s="1" t="s">
        <v>413</v>
      </c>
      <c r="D3" s="1" t="s">
        <v>9</v>
      </c>
      <c r="E3" s="1" t="s">
        <v>10</v>
      </c>
      <c r="F3" s="1" t="s">
        <v>15</v>
      </c>
      <c r="G3" s="31">
        <v>45931</v>
      </c>
      <c r="H3" s="31">
        <v>45962</v>
      </c>
      <c r="I3" s="31">
        <v>45992</v>
      </c>
      <c r="J3" s="31" t="s">
        <v>22</v>
      </c>
    </row>
    <row r="4" spans="1:10" s="11" customFormat="1" ht="14.25" customHeight="1">
      <c r="A4" s="36" t="s">
        <v>35</v>
      </c>
      <c r="B4" s="36" t="s">
        <v>36</v>
      </c>
      <c r="C4" s="37">
        <v>1</v>
      </c>
      <c r="D4" s="49" t="s">
        <v>37</v>
      </c>
      <c r="E4" s="49"/>
      <c r="F4" s="39"/>
      <c r="G4" s="45"/>
      <c r="H4" s="45"/>
      <c r="I4" s="51">
        <v>35300.26</v>
      </c>
      <c r="J4" s="46">
        <f>SUM(G4:I4)</f>
        <v>35300.26</v>
      </c>
    </row>
    <row r="5" spans="1:10" s="11" customFormat="1" ht="27" customHeight="1">
      <c r="A5" s="58" t="s">
        <v>39</v>
      </c>
      <c r="B5" s="58" t="s">
        <v>29</v>
      </c>
      <c r="C5" s="37">
        <v>1</v>
      </c>
      <c r="D5" s="49" t="s">
        <v>37</v>
      </c>
      <c r="E5" s="49"/>
      <c r="F5" s="39"/>
      <c r="G5" s="45"/>
      <c r="H5" s="10">
        <v>186771.65</v>
      </c>
      <c r="I5" s="10">
        <v>810000</v>
      </c>
      <c r="J5" s="46">
        <f>SUM(G5:I5)</f>
        <v>996771.65</v>
      </c>
    </row>
    <row r="6" spans="1:10" s="11" customFormat="1" ht="14.25" customHeight="1">
      <c r="A6" s="58" t="s">
        <v>52</v>
      </c>
      <c r="B6" s="60" t="s">
        <v>53</v>
      </c>
      <c r="C6" s="61">
        <v>3</v>
      </c>
      <c r="D6" s="49" t="s">
        <v>54</v>
      </c>
      <c r="E6" s="49" t="s">
        <v>55</v>
      </c>
      <c r="F6" s="64" t="s">
        <v>57</v>
      </c>
      <c r="G6" s="10">
        <v>4223.6099999999997</v>
      </c>
      <c r="H6" s="10">
        <v>60000</v>
      </c>
      <c r="I6" s="10">
        <v>60000</v>
      </c>
      <c r="J6" s="46">
        <f>SUM(G6:I6)</f>
        <v>124223.61</v>
      </c>
    </row>
    <row r="7" spans="1:10" s="11" customFormat="1" ht="54.75" customHeight="1">
      <c r="A7" s="90" t="s">
        <v>95</v>
      </c>
      <c r="B7" s="90" t="s">
        <v>81</v>
      </c>
      <c r="C7" s="76">
        <v>2</v>
      </c>
      <c r="D7" s="49" t="s">
        <v>82</v>
      </c>
      <c r="E7" s="49" t="s">
        <v>92</v>
      </c>
      <c r="F7" s="84" t="s">
        <v>97</v>
      </c>
      <c r="G7" s="10">
        <v>2427.0700000000002</v>
      </c>
      <c r="H7" s="10">
        <v>4000</v>
      </c>
      <c r="I7" s="10">
        <v>4000</v>
      </c>
      <c r="J7" s="46">
        <f>SUM(G7:I7)</f>
        <v>10427.07</v>
      </c>
    </row>
    <row r="8" spans="1:10" s="11" customFormat="1" ht="48.75" customHeight="1">
      <c r="A8" s="90" t="s">
        <v>134</v>
      </c>
      <c r="B8" s="90" t="s">
        <v>115</v>
      </c>
      <c r="C8" s="76">
        <v>2</v>
      </c>
      <c r="D8" s="49" t="s">
        <v>135</v>
      </c>
      <c r="E8" s="49" t="s">
        <v>136</v>
      </c>
      <c r="F8" s="81" t="s">
        <v>138</v>
      </c>
      <c r="G8" s="53"/>
      <c r="H8" s="10">
        <v>286247.78000000003</v>
      </c>
      <c r="I8" s="10">
        <v>298000</v>
      </c>
      <c r="J8" s="46">
        <f>SUM(G8:I8)</f>
        <v>584247.78</v>
      </c>
    </row>
    <row r="9" spans="1:10" s="11" customFormat="1" ht="36" customHeight="1">
      <c r="A9" s="90" t="s">
        <v>139</v>
      </c>
      <c r="B9" s="90" t="s">
        <v>115</v>
      </c>
      <c r="C9" s="76">
        <v>2</v>
      </c>
      <c r="D9" s="81" t="s">
        <v>140</v>
      </c>
      <c r="E9" s="81" t="s">
        <v>141</v>
      </c>
      <c r="F9" s="73" t="s">
        <v>143</v>
      </c>
      <c r="G9" s="10">
        <v>84327.88</v>
      </c>
      <c r="H9" s="10">
        <v>90000</v>
      </c>
      <c r="I9" s="10">
        <v>90000</v>
      </c>
      <c r="J9" s="46">
        <f>G9+H9+I9</f>
        <v>264327.88</v>
      </c>
    </row>
    <row r="10" spans="1:10" s="11" customFormat="1" ht="54.75" customHeight="1">
      <c r="A10" s="90" t="s">
        <v>144</v>
      </c>
      <c r="B10" s="90" t="s">
        <v>115</v>
      </c>
      <c r="C10" s="76">
        <v>2</v>
      </c>
      <c r="D10" s="49" t="s">
        <v>145</v>
      </c>
      <c r="E10" s="102">
        <v>12859652000165</v>
      </c>
      <c r="F10" s="73" t="s">
        <v>147</v>
      </c>
      <c r="G10" s="53"/>
      <c r="H10" s="10">
        <v>66316.59</v>
      </c>
      <c r="I10" s="10">
        <v>95000</v>
      </c>
      <c r="J10" s="46">
        <f t="shared" ref="J10:J30" si="0">SUM(G10:I10)</f>
        <v>161316.59</v>
      </c>
    </row>
    <row r="11" spans="1:10" s="11" customFormat="1">
      <c r="A11" s="90" t="s">
        <v>153</v>
      </c>
      <c r="B11" s="177" t="s">
        <v>115</v>
      </c>
      <c r="C11" s="106">
        <v>2</v>
      </c>
      <c r="D11" s="71" t="s">
        <v>154</v>
      </c>
      <c r="E11" s="71" t="s">
        <v>155</v>
      </c>
      <c r="F11" s="67" t="s">
        <v>157</v>
      </c>
      <c r="G11" s="53"/>
      <c r="H11" s="109">
        <v>5228.1599999999698</v>
      </c>
      <c r="I11" s="109">
        <v>231000</v>
      </c>
      <c r="J11" s="46">
        <f t="shared" si="0"/>
        <v>236228.15999999997</v>
      </c>
    </row>
    <row r="12" spans="1:10" s="11" customFormat="1" ht="54.75" customHeight="1">
      <c r="A12" s="90" t="s">
        <v>453</v>
      </c>
      <c r="B12" s="90" t="s">
        <v>109</v>
      </c>
      <c r="C12" s="76">
        <v>2</v>
      </c>
      <c r="D12" s="49" t="s">
        <v>168</v>
      </c>
      <c r="E12" s="49" t="s">
        <v>169</v>
      </c>
      <c r="F12" s="98" t="s">
        <v>171</v>
      </c>
      <c r="G12" s="112"/>
      <c r="H12" s="113">
        <v>12640.77</v>
      </c>
      <c r="I12" s="113">
        <v>12640.77</v>
      </c>
      <c r="J12" s="46">
        <f t="shared" si="0"/>
        <v>25281.54</v>
      </c>
    </row>
    <row r="13" spans="1:10" s="11" customFormat="1" ht="76.5" customHeight="1">
      <c r="A13" s="86" t="s">
        <v>186</v>
      </c>
      <c r="B13" s="89" t="s">
        <v>109</v>
      </c>
      <c r="C13" s="93"/>
      <c r="D13" s="114" t="s">
        <v>182</v>
      </c>
      <c r="E13" s="49" t="s">
        <v>187</v>
      </c>
      <c r="F13" s="81" t="s">
        <v>189</v>
      </c>
      <c r="G13" s="70">
        <v>62.109999999986002</v>
      </c>
      <c r="H13" s="70">
        <v>155277.21</v>
      </c>
      <c r="I13" s="70">
        <v>155277.21</v>
      </c>
      <c r="J13" s="46">
        <f t="shared" si="0"/>
        <v>310616.52999999997</v>
      </c>
    </row>
    <row r="14" spans="1:10" s="11" customFormat="1" ht="38.25" customHeight="1">
      <c r="A14" s="86" t="s">
        <v>195</v>
      </c>
      <c r="B14" s="89" t="s">
        <v>109</v>
      </c>
      <c r="C14" s="93"/>
      <c r="D14" s="114" t="s">
        <v>191</v>
      </c>
      <c r="E14" s="49" t="s">
        <v>187</v>
      </c>
      <c r="F14" s="81" t="s">
        <v>197</v>
      </c>
      <c r="G14" s="70">
        <v>165.79999999998799</v>
      </c>
      <c r="H14" s="70">
        <v>258893.8</v>
      </c>
      <c r="I14" s="70">
        <v>258893.8</v>
      </c>
      <c r="J14" s="46">
        <f t="shared" si="0"/>
        <v>517953.39999999997</v>
      </c>
    </row>
    <row r="15" spans="1:10" s="11" customFormat="1" ht="18.75" customHeight="1">
      <c r="A15" s="75" t="s">
        <v>203</v>
      </c>
      <c r="B15" s="89" t="s">
        <v>109</v>
      </c>
      <c r="C15" s="93">
        <v>1</v>
      </c>
      <c r="D15" s="94" t="s">
        <v>204</v>
      </c>
      <c r="E15" s="71" t="s">
        <v>205</v>
      </c>
      <c r="F15" s="81" t="s">
        <v>207</v>
      </c>
      <c r="G15" s="45"/>
      <c r="H15" s="10">
        <v>439664.48</v>
      </c>
      <c r="I15" s="10">
        <v>1918496.1</v>
      </c>
      <c r="J15" s="46">
        <f t="shared" si="0"/>
        <v>2358160.58</v>
      </c>
    </row>
    <row r="16" spans="1:10" s="11" customFormat="1" ht="41.25" customHeight="1">
      <c r="A16" s="86" t="s">
        <v>208</v>
      </c>
      <c r="B16" s="89" t="s">
        <v>109</v>
      </c>
      <c r="C16" s="93">
        <v>1</v>
      </c>
      <c r="D16" s="94" t="s">
        <v>209</v>
      </c>
      <c r="E16" s="71" t="s">
        <v>210</v>
      </c>
      <c r="F16" s="81" t="s">
        <v>212</v>
      </c>
      <c r="G16" s="45"/>
      <c r="H16" s="10">
        <v>117878.29</v>
      </c>
      <c r="I16" s="10">
        <v>1617878.59</v>
      </c>
      <c r="J16" s="46">
        <f t="shared" si="0"/>
        <v>1735756.8800000001</v>
      </c>
    </row>
    <row r="17" spans="1:10" s="11" customFormat="1" ht="41.25" customHeight="1">
      <c r="A17" s="75" t="s">
        <v>213</v>
      </c>
      <c r="B17" s="89" t="s">
        <v>109</v>
      </c>
      <c r="C17" s="93">
        <v>1</v>
      </c>
      <c r="D17" s="94" t="s">
        <v>214</v>
      </c>
      <c r="E17" s="71" t="s">
        <v>215</v>
      </c>
      <c r="F17" s="81" t="s">
        <v>217</v>
      </c>
      <c r="G17" s="10">
        <v>169805.09</v>
      </c>
      <c r="H17" s="10">
        <v>1412211.24</v>
      </c>
      <c r="I17" s="65"/>
      <c r="J17" s="46">
        <f t="shared" si="0"/>
        <v>1582016.33</v>
      </c>
    </row>
    <row r="18" spans="1:10" s="11" customFormat="1" ht="27" customHeight="1">
      <c r="A18" s="75" t="s">
        <v>218</v>
      </c>
      <c r="B18" s="89" t="s">
        <v>109</v>
      </c>
      <c r="C18" s="93">
        <v>1</v>
      </c>
      <c r="D18" s="94" t="s">
        <v>219</v>
      </c>
      <c r="E18" s="71" t="s">
        <v>215</v>
      </c>
      <c r="F18" s="81" t="s">
        <v>221</v>
      </c>
      <c r="G18" s="45"/>
      <c r="H18" s="10">
        <v>183319.962</v>
      </c>
      <c r="I18" s="10">
        <v>236438.33100000001</v>
      </c>
      <c r="J18" s="46">
        <f t="shared" si="0"/>
        <v>419758.29300000001</v>
      </c>
    </row>
    <row r="19" spans="1:10" s="11" customFormat="1" ht="76.5" customHeight="1">
      <c r="A19" s="120" t="s">
        <v>227</v>
      </c>
      <c r="B19" s="89" t="s">
        <v>109</v>
      </c>
      <c r="C19" s="93">
        <v>2</v>
      </c>
      <c r="D19" s="94" t="s">
        <v>228</v>
      </c>
      <c r="E19" s="71" t="s">
        <v>229</v>
      </c>
      <c r="F19" s="81" t="s">
        <v>231</v>
      </c>
      <c r="G19" s="110">
        <v>1828046.22</v>
      </c>
      <c r="H19" s="109">
        <v>1998000</v>
      </c>
      <c r="I19" s="109">
        <v>1998000</v>
      </c>
      <c r="J19" s="46">
        <f t="shared" si="0"/>
        <v>5824046.2199999997</v>
      </c>
    </row>
    <row r="20" spans="1:10" s="11" customFormat="1" ht="76.5" customHeight="1">
      <c r="A20" s="120" t="s">
        <v>454</v>
      </c>
      <c r="B20" s="89" t="s">
        <v>109</v>
      </c>
      <c r="C20" s="93">
        <v>2</v>
      </c>
      <c r="D20" s="94" t="s">
        <v>228</v>
      </c>
      <c r="E20" s="71" t="s">
        <v>238</v>
      </c>
      <c r="F20" s="81" t="s">
        <v>240</v>
      </c>
      <c r="G20" s="109">
        <v>102000</v>
      </c>
      <c r="H20" s="109">
        <v>102000</v>
      </c>
      <c r="I20" s="109">
        <v>102000</v>
      </c>
      <c r="J20" s="46">
        <f t="shared" si="0"/>
        <v>306000</v>
      </c>
    </row>
    <row r="21" spans="1:10" s="11" customFormat="1" ht="40.5" customHeight="1">
      <c r="A21" s="86" t="s">
        <v>241</v>
      </c>
      <c r="B21" s="89" t="s">
        <v>109</v>
      </c>
      <c r="C21" s="93">
        <v>1</v>
      </c>
      <c r="D21" s="71" t="s">
        <v>242</v>
      </c>
      <c r="E21" s="71" t="s">
        <v>243</v>
      </c>
      <c r="F21" s="81" t="s">
        <v>245</v>
      </c>
      <c r="G21" s="45"/>
      <c r="H21" s="10">
        <v>458615.91</v>
      </c>
      <c r="I21" s="10">
        <v>458615.91</v>
      </c>
      <c r="J21" s="46">
        <f t="shared" si="0"/>
        <v>917231.82</v>
      </c>
    </row>
    <row r="22" spans="1:10" s="11" customFormat="1" ht="27" customHeight="1">
      <c r="A22" s="126" t="s">
        <v>272</v>
      </c>
      <c r="B22" s="127" t="s">
        <v>273</v>
      </c>
      <c r="C22" s="128">
        <v>1</v>
      </c>
      <c r="D22" s="129" t="s">
        <v>274</v>
      </c>
      <c r="E22" s="129" t="s">
        <v>275</v>
      </c>
      <c r="F22" s="130" t="s">
        <v>277</v>
      </c>
      <c r="G22" s="45"/>
      <c r="H22" s="10">
        <v>376555.8</v>
      </c>
      <c r="I22" s="10">
        <v>382896.8</v>
      </c>
      <c r="J22" s="46">
        <f t="shared" si="0"/>
        <v>759452.6</v>
      </c>
    </row>
    <row r="23" spans="1:10" s="11" customFormat="1" ht="14.25" customHeight="1">
      <c r="A23" s="126" t="s">
        <v>278</v>
      </c>
      <c r="B23" s="127" t="s">
        <v>273</v>
      </c>
      <c r="C23" s="128">
        <v>1</v>
      </c>
      <c r="D23" s="129" t="s">
        <v>279</v>
      </c>
      <c r="E23" s="129" t="s">
        <v>280</v>
      </c>
      <c r="F23" s="130" t="s">
        <v>282</v>
      </c>
      <c r="G23" s="45"/>
      <c r="H23" s="10">
        <v>193823.77</v>
      </c>
      <c r="I23" s="10">
        <v>193823.77</v>
      </c>
      <c r="J23" s="46">
        <f t="shared" si="0"/>
        <v>387647.54</v>
      </c>
    </row>
    <row r="24" spans="1:10" s="11" customFormat="1" ht="66" customHeight="1">
      <c r="A24" s="131" t="s">
        <v>283</v>
      </c>
      <c r="B24" s="127" t="s">
        <v>273</v>
      </c>
      <c r="C24" s="128">
        <v>2</v>
      </c>
      <c r="D24" s="129" t="s">
        <v>284</v>
      </c>
      <c r="E24" s="129" t="s">
        <v>285</v>
      </c>
      <c r="F24" s="67" t="s">
        <v>287</v>
      </c>
      <c r="G24" s="178"/>
      <c r="H24" s="179">
        <v>158335.89000000001</v>
      </c>
      <c r="I24" s="180">
        <v>309551</v>
      </c>
      <c r="J24" s="46">
        <f t="shared" si="0"/>
        <v>467886.89</v>
      </c>
    </row>
    <row r="25" spans="1:10" s="11" customFormat="1" ht="41.25" customHeight="1">
      <c r="A25" s="138" t="s">
        <v>296</v>
      </c>
      <c r="B25" s="127" t="s">
        <v>273</v>
      </c>
      <c r="C25" s="128">
        <v>2</v>
      </c>
      <c r="D25" s="129" t="s">
        <v>297</v>
      </c>
      <c r="E25" s="129" t="s">
        <v>298</v>
      </c>
      <c r="F25" s="38" t="s">
        <v>300</v>
      </c>
      <c r="G25" s="70">
        <v>1241.6666666666699</v>
      </c>
      <c r="H25" s="70">
        <v>1241.6666666666699</v>
      </c>
      <c r="I25" s="70">
        <v>1241.6666666666699</v>
      </c>
      <c r="J25" s="46">
        <f t="shared" si="0"/>
        <v>3725.00000000001</v>
      </c>
    </row>
    <row r="26" spans="1:10" s="11" customFormat="1" ht="14.25" customHeight="1">
      <c r="A26" s="138" t="s">
        <v>316</v>
      </c>
      <c r="B26" s="127" t="s">
        <v>273</v>
      </c>
      <c r="C26" s="128">
        <v>3</v>
      </c>
      <c r="D26" s="129" t="s">
        <v>45</v>
      </c>
      <c r="E26" s="129" t="s">
        <v>317</v>
      </c>
      <c r="F26" s="38"/>
      <c r="G26" s="10">
        <v>10619.33</v>
      </c>
      <c r="H26" s="10">
        <v>136350</v>
      </c>
      <c r="I26" s="10">
        <v>136350</v>
      </c>
      <c r="J26" s="46">
        <f t="shared" si="0"/>
        <v>283319.32999999996</v>
      </c>
    </row>
    <row r="27" spans="1:10" s="11" customFormat="1" ht="14.25" customHeight="1">
      <c r="A27" s="138" t="s">
        <v>318</v>
      </c>
      <c r="B27" s="127" t="s">
        <v>273</v>
      </c>
      <c r="C27" s="128">
        <v>1</v>
      </c>
      <c r="D27" s="129" t="s">
        <v>319</v>
      </c>
      <c r="E27" s="129"/>
      <c r="F27" s="38"/>
      <c r="G27" s="10">
        <v>231718.41</v>
      </c>
      <c r="H27" s="10">
        <v>245000</v>
      </c>
      <c r="I27" s="10">
        <v>245000</v>
      </c>
      <c r="J27" s="46">
        <f t="shared" si="0"/>
        <v>721718.41</v>
      </c>
    </row>
    <row r="28" spans="1:10" s="11" customFormat="1" ht="27" customHeight="1">
      <c r="A28" s="86" t="s">
        <v>321</v>
      </c>
      <c r="B28" s="86" t="s">
        <v>322</v>
      </c>
      <c r="C28" s="76">
        <v>1</v>
      </c>
      <c r="D28" s="49" t="s">
        <v>323</v>
      </c>
      <c r="E28" s="49" t="s">
        <v>324</v>
      </c>
      <c r="F28" s="84" t="s">
        <v>326</v>
      </c>
      <c r="G28" s="70">
        <v>1669255.98</v>
      </c>
      <c r="H28" s="10">
        <v>1791326.86</v>
      </c>
      <c r="I28" s="10"/>
      <c r="J28" s="46">
        <f t="shared" si="0"/>
        <v>3460582.84</v>
      </c>
    </row>
    <row r="29" spans="1:10" s="11" customFormat="1" ht="173.25" customHeight="1">
      <c r="A29" s="144" t="s">
        <v>455</v>
      </c>
      <c r="B29" s="86" t="s">
        <v>328</v>
      </c>
      <c r="C29" s="76">
        <v>2</v>
      </c>
      <c r="D29" s="38" t="s">
        <v>334</v>
      </c>
      <c r="E29" s="38"/>
      <c r="F29" s="79"/>
      <c r="G29" s="10">
        <f>'I. Situação Atual'!Y74</f>
        <v>0</v>
      </c>
      <c r="H29" s="10">
        <f>'I. Situação Atual'!Z74</f>
        <v>0</v>
      </c>
      <c r="I29" s="10">
        <f>'I. Situação Atual'!AA74</f>
        <v>0</v>
      </c>
      <c r="J29" s="46">
        <f t="shared" si="0"/>
        <v>0</v>
      </c>
    </row>
    <row r="30" spans="1:10" s="11" customFormat="1" ht="41.25" customHeight="1">
      <c r="A30" s="90" t="s">
        <v>358</v>
      </c>
      <c r="B30" s="90" t="s">
        <v>328</v>
      </c>
      <c r="C30" s="61">
        <v>1</v>
      </c>
      <c r="D30" s="49" t="s">
        <v>359</v>
      </c>
      <c r="E30" s="49" t="s">
        <v>360</v>
      </c>
      <c r="F30" s="69" t="s">
        <v>362</v>
      </c>
      <c r="G30" s="53"/>
      <c r="H30" s="10">
        <v>4082.45</v>
      </c>
      <c r="I30" s="10">
        <v>17000</v>
      </c>
      <c r="J30" s="46">
        <f t="shared" si="0"/>
        <v>21082.45</v>
      </c>
    </row>
    <row r="31" spans="1:10" s="11" customFormat="1">
      <c r="A31" s="171" t="s">
        <v>412</v>
      </c>
      <c r="B31" s="171"/>
      <c r="C31" s="172"/>
      <c r="D31" s="171"/>
      <c r="E31" s="171"/>
      <c r="F31" s="171"/>
      <c r="G31" s="173">
        <f>SUM(G4:G30)</f>
        <v>4103893.166666667</v>
      </c>
      <c r="H31" s="173">
        <f>SUM(H4:H30)</f>
        <v>8743782.2786666658</v>
      </c>
      <c r="I31" s="173">
        <f>SUM(I4:I30)</f>
        <v>9667404.2076666672</v>
      </c>
      <c r="J31" s="173">
        <f>SUM(J4:J30)</f>
        <v>22515079.652999997</v>
      </c>
    </row>
    <row r="32" spans="1:10" s="11" customFormat="1">
      <c r="A32" s="165"/>
      <c r="B32" s="165"/>
      <c r="C32" s="166"/>
      <c r="D32" s="165"/>
      <c r="E32" s="165"/>
      <c r="F32" s="165"/>
      <c r="G32" s="15"/>
      <c r="H32" s="15"/>
      <c r="I32" s="15"/>
      <c r="J32" s="17"/>
    </row>
    <row r="33" spans="1:10" s="11" customFormat="1">
      <c r="C33" s="12"/>
      <c r="D33" s="12"/>
      <c r="E33" s="12"/>
      <c r="F33" s="12"/>
      <c r="G33" s="15"/>
      <c r="H33" s="15"/>
      <c r="I33" s="15"/>
      <c r="J33" s="17"/>
    </row>
    <row r="34" spans="1:10" ht="15" customHeight="1">
      <c r="A34" s="1" t="s">
        <v>7</v>
      </c>
      <c r="B34" s="1" t="s">
        <v>8</v>
      </c>
      <c r="C34" s="1" t="s">
        <v>413</v>
      </c>
      <c r="D34" s="1" t="s">
        <v>9</v>
      </c>
      <c r="E34" s="1" t="s">
        <v>10</v>
      </c>
      <c r="F34" s="1" t="s">
        <v>15</v>
      </c>
      <c r="G34" s="31">
        <v>45931</v>
      </c>
      <c r="H34" s="31">
        <v>45962</v>
      </c>
      <c r="I34" s="31">
        <v>45992</v>
      </c>
      <c r="J34" s="31" t="s">
        <v>22</v>
      </c>
    </row>
    <row r="35" spans="1:10">
      <c r="A35" s="36" t="s">
        <v>35</v>
      </c>
      <c r="B35" s="36" t="s">
        <v>36</v>
      </c>
      <c r="C35" s="37">
        <v>1</v>
      </c>
      <c r="D35" s="49" t="s">
        <v>37</v>
      </c>
      <c r="E35" s="49"/>
      <c r="F35" s="39"/>
      <c r="G35" s="45"/>
      <c r="H35" s="45"/>
      <c r="I35" s="51">
        <v>35300.26</v>
      </c>
      <c r="J35" s="46">
        <f>SUM(G35:I35)</f>
        <v>35300.26</v>
      </c>
    </row>
    <row r="36" spans="1:10">
      <c r="A36" s="58" t="s">
        <v>39</v>
      </c>
      <c r="B36" s="58" t="s">
        <v>29</v>
      </c>
      <c r="C36" s="37">
        <v>1</v>
      </c>
      <c r="D36" s="49" t="s">
        <v>37</v>
      </c>
      <c r="E36" s="49"/>
      <c r="F36" s="39"/>
      <c r="G36" s="45"/>
      <c r="H36" s="10">
        <v>186771.65</v>
      </c>
      <c r="I36" s="10">
        <v>810000</v>
      </c>
      <c r="J36" s="46">
        <f>SUM(G36:I36)</f>
        <v>996771.65</v>
      </c>
    </row>
    <row r="37" spans="1:10">
      <c r="A37" s="58" t="s">
        <v>52</v>
      </c>
      <c r="B37" s="60" t="s">
        <v>53</v>
      </c>
      <c r="C37" s="61">
        <v>3</v>
      </c>
      <c r="D37" s="49" t="s">
        <v>54</v>
      </c>
      <c r="E37" s="49" t="s">
        <v>55</v>
      </c>
      <c r="F37" s="64" t="s">
        <v>57</v>
      </c>
      <c r="G37" s="10">
        <v>4223.6099999999997</v>
      </c>
      <c r="H37" s="10">
        <v>60000</v>
      </c>
      <c r="I37" s="10">
        <v>60000</v>
      </c>
      <c r="J37" s="46">
        <f>SUM(G37:I37)</f>
        <v>124223.61</v>
      </c>
    </row>
    <row r="38" spans="1:10" ht="30">
      <c r="A38" s="90" t="s">
        <v>95</v>
      </c>
      <c r="B38" s="90" t="s">
        <v>81</v>
      </c>
      <c r="C38" s="76">
        <v>2</v>
      </c>
      <c r="D38" s="49" t="s">
        <v>82</v>
      </c>
      <c r="E38" s="49" t="s">
        <v>92</v>
      </c>
      <c r="F38" s="84" t="s">
        <v>97</v>
      </c>
      <c r="G38" s="10">
        <v>2427.0700000000002</v>
      </c>
      <c r="H38" s="10">
        <v>4000</v>
      </c>
      <c r="I38" s="10">
        <v>4000</v>
      </c>
      <c r="J38" s="46">
        <f>SUM(G38:I38)</f>
        <v>10427.07</v>
      </c>
    </row>
    <row r="39" spans="1:10">
      <c r="A39" s="90" t="s">
        <v>134</v>
      </c>
      <c r="B39" s="90" t="s">
        <v>115</v>
      </c>
      <c r="C39" s="76">
        <v>2</v>
      </c>
      <c r="D39" s="49" t="s">
        <v>135</v>
      </c>
      <c r="E39" s="49" t="s">
        <v>136</v>
      </c>
      <c r="F39" s="81" t="s">
        <v>138</v>
      </c>
      <c r="G39" s="53"/>
      <c r="H39" s="10">
        <v>286247.78000000003</v>
      </c>
      <c r="I39" s="10">
        <v>298000</v>
      </c>
      <c r="J39" s="46">
        <f>SUM(G39:I39)</f>
        <v>584247.78</v>
      </c>
    </row>
    <row r="40" spans="1:10">
      <c r="A40" s="90" t="s">
        <v>139</v>
      </c>
      <c r="B40" s="90" t="s">
        <v>115</v>
      </c>
      <c r="C40" s="76">
        <v>2</v>
      </c>
      <c r="D40" s="81" t="s">
        <v>140</v>
      </c>
      <c r="E40" s="81" t="s">
        <v>141</v>
      </c>
      <c r="F40" s="73" t="s">
        <v>143</v>
      </c>
      <c r="G40" s="10">
        <v>84327.88</v>
      </c>
      <c r="H40" s="10">
        <v>90000</v>
      </c>
      <c r="I40" s="10">
        <v>90000</v>
      </c>
      <c r="J40" s="46">
        <f>G40+H40+I40</f>
        <v>264327.88</v>
      </c>
    </row>
    <row r="41" spans="1:10" ht="45">
      <c r="A41" s="90" t="s">
        <v>144</v>
      </c>
      <c r="B41" s="90" t="s">
        <v>115</v>
      </c>
      <c r="C41" s="76">
        <v>2</v>
      </c>
      <c r="D41" s="49" t="s">
        <v>145</v>
      </c>
      <c r="E41" s="102">
        <v>12859652000165</v>
      </c>
      <c r="F41" s="73" t="s">
        <v>147</v>
      </c>
      <c r="G41" s="53"/>
      <c r="H41" s="10">
        <v>66316.59</v>
      </c>
      <c r="I41" s="10">
        <v>95000</v>
      </c>
      <c r="J41" s="46">
        <f t="shared" ref="J41:J49" si="1">SUM(G41:I41)</f>
        <v>161316.59</v>
      </c>
    </row>
    <row r="42" spans="1:10">
      <c r="A42" s="90" t="s">
        <v>153</v>
      </c>
      <c r="B42" s="177" t="s">
        <v>115</v>
      </c>
      <c r="C42" s="106">
        <v>2</v>
      </c>
      <c r="D42" s="71" t="s">
        <v>154</v>
      </c>
      <c r="E42" s="71" t="s">
        <v>155</v>
      </c>
      <c r="F42" s="67" t="s">
        <v>157</v>
      </c>
      <c r="G42" s="53"/>
      <c r="H42" s="109">
        <v>5228.1599999999698</v>
      </c>
      <c r="I42" s="109">
        <v>231000</v>
      </c>
      <c r="J42" s="46">
        <f t="shared" si="1"/>
        <v>236228.15999999997</v>
      </c>
    </row>
    <row r="43" spans="1:10" ht="30">
      <c r="A43" s="90" t="s">
        <v>453</v>
      </c>
      <c r="B43" s="90" t="s">
        <v>109</v>
      </c>
      <c r="C43" s="76">
        <v>2</v>
      </c>
      <c r="D43" s="49" t="s">
        <v>168</v>
      </c>
      <c r="E43" s="49" t="s">
        <v>169</v>
      </c>
      <c r="F43" s="98" t="s">
        <v>171</v>
      </c>
      <c r="G43" s="112"/>
      <c r="H43" s="113">
        <v>12640.77</v>
      </c>
      <c r="I43" s="113">
        <v>12640.77</v>
      </c>
      <c r="J43" s="46">
        <f t="shared" si="1"/>
        <v>25281.54</v>
      </c>
    </row>
    <row r="44" spans="1:10">
      <c r="A44" s="86" t="s">
        <v>186</v>
      </c>
      <c r="B44" s="89" t="s">
        <v>109</v>
      </c>
      <c r="C44" s="93"/>
      <c r="D44" s="114" t="s">
        <v>182</v>
      </c>
      <c r="E44" s="49" t="s">
        <v>187</v>
      </c>
      <c r="F44" s="81" t="s">
        <v>189</v>
      </c>
      <c r="G44" s="70">
        <v>62.109999999986002</v>
      </c>
      <c r="H44" s="70">
        <v>155277.21</v>
      </c>
      <c r="I44" s="70">
        <v>155277.21</v>
      </c>
      <c r="J44" s="46">
        <f t="shared" si="1"/>
        <v>310616.52999999997</v>
      </c>
    </row>
    <row r="45" spans="1:10">
      <c r="A45" s="86" t="s">
        <v>195</v>
      </c>
      <c r="B45" s="89" t="s">
        <v>109</v>
      </c>
      <c r="C45" s="93"/>
      <c r="D45" s="114" t="s">
        <v>191</v>
      </c>
      <c r="E45" s="49" t="s">
        <v>187</v>
      </c>
      <c r="F45" s="81" t="s">
        <v>197</v>
      </c>
      <c r="G45" s="70">
        <v>165.79999999998799</v>
      </c>
      <c r="H45" s="70">
        <v>258893.8</v>
      </c>
      <c r="I45" s="70">
        <v>258893.8</v>
      </c>
      <c r="J45" s="46">
        <f t="shared" si="1"/>
        <v>517953.39999999997</v>
      </c>
    </row>
    <row r="46" spans="1:10">
      <c r="A46" s="75" t="s">
        <v>203</v>
      </c>
      <c r="B46" s="89" t="s">
        <v>109</v>
      </c>
      <c r="C46" s="93">
        <v>1</v>
      </c>
      <c r="D46" s="94" t="s">
        <v>204</v>
      </c>
      <c r="E46" s="71" t="s">
        <v>205</v>
      </c>
      <c r="F46" s="81" t="s">
        <v>207</v>
      </c>
      <c r="G46" s="45"/>
      <c r="H46" s="10">
        <v>439664.48</v>
      </c>
      <c r="I46" s="10">
        <v>1918496.1</v>
      </c>
      <c r="J46" s="46">
        <f t="shared" si="1"/>
        <v>2358160.58</v>
      </c>
    </row>
    <row r="47" spans="1:10">
      <c r="A47" s="86" t="s">
        <v>208</v>
      </c>
      <c r="B47" s="89" t="s">
        <v>109</v>
      </c>
      <c r="C47" s="93">
        <v>1</v>
      </c>
      <c r="D47" s="94" t="s">
        <v>209</v>
      </c>
      <c r="E47" s="71" t="s">
        <v>210</v>
      </c>
      <c r="F47" s="81" t="s">
        <v>212</v>
      </c>
      <c r="G47" s="45"/>
      <c r="H47" s="10">
        <v>117878.29</v>
      </c>
      <c r="I47" s="10">
        <v>1617878.59</v>
      </c>
      <c r="J47" s="46">
        <f t="shared" si="1"/>
        <v>1735756.8800000001</v>
      </c>
    </row>
    <row r="48" spans="1:10">
      <c r="A48" s="75" t="s">
        <v>213</v>
      </c>
      <c r="B48" s="89" t="s">
        <v>109</v>
      </c>
      <c r="C48" s="93">
        <v>1</v>
      </c>
      <c r="D48" s="94" t="s">
        <v>214</v>
      </c>
      <c r="E48" s="71" t="s">
        <v>215</v>
      </c>
      <c r="F48" s="81" t="s">
        <v>217</v>
      </c>
      <c r="G48" s="10">
        <v>169805.09</v>
      </c>
      <c r="H48" s="10">
        <v>1412211.24</v>
      </c>
      <c r="I48" s="65"/>
      <c r="J48" s="46">
        <f t="shared" si="1"/>
        <v>1582016.33</v>
      </c>
    </row>
    <row r="49" spans="1:10">
      <c r="A49" s="120" t="s">
        <v>456</v>
      </c>
      <c r="B49" s="89" t="s">
        <v>109</v>
      </c>
      <c r="C49" s="93">
        <v>1</v>
      </c>
      <c r="D49" s="94" t="s">
        <v>219</v>
      </c>
      <c r="E49" s="71" t="s">
        <v>215</v>
      </c>
      <c r="F49" s="81" t="s">
        <v>221</v>
      </c>
      <c r="G49" s="45"/>
      <c r="H49" s="10">
        <v>183319.962</v>
      </c>
      <c r="I49" s="10">
        <v>236438.33100000001</v>
      </c>
      <c r="J49" s="46">
        <f t="shared" si="1"/>
        <v>419758.29300000001</v>
      </c>
    </row>
    <row r="50" spans="1:10" ht="15" customHeight="1">
      <c r="A50" s="181" t="s">
        <v>412</v>
      </c>
      <c r="B50" s="181"/>
      <c r="C50" s="182"/>
      <c r="D50" s="181"/>
      <c r="E50" s="181"/>
      <c r="F50" s="181"/>
      <c r="G50" s="183">
        <f>SUM(G23:G49)</f>
        <v>6323671.1133333342</v>
      </c>
      <c r="H50" s="183">
        <f>SUM(H23:H49)</f>
        <v>14598354.847333333</v>
      </c>
      <c r="I50" s="183">
        <f>SUM(I23:I49)</f>
        <v>16439287.705333335</v>
      </c>
      <c r="J50" s="184">
        <f>SUM(J35:J49)</f>
        <v>9362386.5529999994</v>
      </c>
    </row>
    <row r="53" spans="1:10" ht="15" customHeight="1">
      <c r="A53" s="1" t="s">
        <v>7</v>
      </c>
      <c r="B53" s="1" t="s">
        <v>8</v>
      </c>
      <c r="C53" s="1" t="s">
        <v>413</v>
      </c>
      <c r="D53" s="1" t="s">
        <v>9</v>
      </c>
      <c r="E53" s="1" t="s">
        <v>10</v>
      </c>
      <c r="F53" s="1" t="s">
        <v>15</v>
      </c>
      <c r="G53" s="31">
        <v>45931</v>
      </c>
      <c r="H53" s="31">
        <v>45962</v>
      </c>
      <c r="I53" s="31">
        <v>45992</v>
      </c>
      <c r="J53" s="31" t="s">
        <v>22</v>
      </c>
    </row>
    <row r="54" spans="1:10" ht="45">
      <c r="A54" s="120" t="s">
        <v>457</v>
      </c>
      <c r="B54" s="89" t="s">
        <v>109</v>
      </c>
      <c r="C54" s="93">
        <v>2</v>
      </c>
      <c r="D54" s="94" t="s">
        <v>228</v>
      </c>
      <c r="E54" s="71" t="s">
        <v>229</v>
      </c>
      <c r="F54" s="81" t="s">
        <v>231</v>
      </c>
      <c r="G54" s="110">
        <v>1828046.22</v>
      </c>
      <c r="H54" s="109">
        <v>1998000</v>
      </c>
      <c r="I54" s="109">
        <v>1998000</v>
      </c>
      <c r="J54" s="46">
        <f t="shared" ref="J54:J62" si="2">SUM(G54:I54)</f>
        <v>5824046.2199999997</v>
      </c>
    </row>
    <row r="55" spans="1:10" ht="45">
      <c r="A55" s="120" t="s">
        <v>237</v>
      </c>
      <c r="B55" s="89" t="s">
        <v>109</v>
      </c>
      <c r="C55" s="93">
        <v>2</v>
      </c>
      <c r="D55" s="94" t="s">
        <v>228</v>
      </c>
      <c r="E55" s="71" t="s">
        <v>238</v>
      </c>
      <c r="F55" s="81" t="s">
        <v>240</v>
      </c>
      <c r="G55" s="109">
        <v>102000</v>
      </c>
      <c r="H55" s="109">
        <v>102000</v>
      </c>
      <c r="I55" s="109">
        <v>102000</v>
      </c>
      <c r="J55" s="46">
        <f t="shared" si="2"/>
        <v>306000</v>
      </c>
    </row>
    <row r="56" spans="1:10">
      <c r="A56" s="86" t="s">
        <v>241</v>
      </c>
      <c r="B56" s="89" t="s">
        <v>109</v>
      </c>
      <c r="C56" s="93">
        <v>1</v>
      </c>
      <c r="D56" s="71" t="s">
        <v>242</v>
      </c>
      <c r="E56" s="71" t="s">
        <v>243</v>
      </c>
      <c r="F56" s="81" t="s">
        <v>245</v>
      </c>
      <c r="G56" s="45"/>
      <c r="H56" s="10">
        <v>458615.91</v>
      </c>
      <c r="I56" s="10">
        <v>458615.91</v>
      </c>
      <c r="J56" s="46">
        <f t="shared" si="2"/>
        <v>917231.82</v>
      </c>
    </row>
    <row r="57" spans="1:10">
      <c r="A57" s="126" t="s">
        <v>272</v>
      </c>
      <c r="B57" s="127" t="s">
        <v>273</v>
      </c>
      <c r="C57" s="128">
        <v>1</v>
      </c>
      <c r="D57" s="129" t="s">
        <v>274</v>
      </c>
      <c r="E57" s="129" t="s">
        <v>275</v>
      </c>
      <c r="F57" s="130" t="s">
        <v>277</v>
      </c>
      <c r="G57" s="45"/>
      <c r="H57" s="10">
        <v>376555.8</v>
      </c>
      <c r="I57" s="10">
        <v>382896.8</v>
      </c>
      <c r="J57" s="46">
        <f t="shared" si="2"/>
        <v>759452.6</v>
      </c>
    </row>
    <row r="58" spans="1:10">
      <c r="A58" s="126" t="s">
        <v>278</v>
      </c>
      <c r="B58" s="127" t="s">
        <v>273</v>
      </c>
      <c r="C58" s="128">
        <v>1</v>
      </c>
      <c r="D58" s="129" t="s">
        <v>279</v>
      </c>
      <c r="E58" s="129" t="s">
        <v>280</v>
      </c>
      <c r="F58" s="130" t="s">
        <v>282</v>
      </c>
      <c r="G58" s="45"/>
      <c r="H58" s="10">
        <v>193823.77</v>
      </c>
      <c r="I58" s="10">
        <v>193823.77</v>
      </c>
      <c r="J58" s="46">
        <f t="shared" si="2"/>
        <v>387647.54</v>
      </c>
    </row>
    <row r="59" spans="1:10" ht="30">
      <c r="A59" s="157" t="s">
        <v>283</v>
      </c>
      <c r="B59" s="127" t="s">
        <v>273</v>
      </c>
      <c r="C59" s="128">
        <v>2</v>
      </c>
      <c r="D59" s="129" t="s">
        <v>284</v>
      </c>
      <c r="E59" s="129" t="s">
        <v>285</v>
      </c>
      <c r="F59" s="67" t="s">
        <v>287</v>
      </c>
      <c r="G59" s="178"/>
      <c r="H59" s="179">
        <v>158335.89000000001</v>
      </c>
      <c r="I59" s="180">
        <v>309551</v>
      </c>
      <c r="J59" s="46">
        <f t="shared" si="2"/>
        <v>467886.89</v>
      </c>
    </row>
    <row r="60" spans="1:10" ht="30">
      <c r="A60" s="138" t="s">
        <v>296</v>
      </c>
      <c r="B60" s="127" t="s">
        <v>273</v>
      </c>
      <c r="C60" s="128">
        <v>2</v>
      </c>
      <c r="D60" s="129" t="s">
        <v>297</v>
      </c>
      <c r="E60" s="129" t="s">
        <v>298</v>
      </c>
      <c r="F60" s="38" t="s">
        <v>300</v>
      </c>
      <c r="G60" s="70">
        <v>1241.6666666666699</v>
      </c>
      <c r="H60" s="70">
        <v>1241.6666666666699</v>
      </c>
      <c r="I60" s="70">
        <v>1241.6666666666699</v>
      </c>
      <c r="J60" s="46">
        <f t="shared" si="2"/>
        <v>3725.00000000001</v>
      </c>
    </row>
    <row r="61" spans="1:10">
      <c r="A61" s="138" t="s">
        <v>316</v>
      </c>
      <c r="B61" s="127" t="s">
        <v>273</v>
      </c>
      <c r="C61" s="128">
        <v>3</v>
      </c>
      <c r="D61" s="129" t="s">
        <v>45</v>
      </c>
      <c r="E61" s="129" t="s">
        <v>317</v>
      </c>
      <c r="F61" s="38"/>
      <c r="G61" s="10">
        <v>10619.33</v>
      </c>
      <c r="H61" s="10">
        <v>136350</v>
      </c>
      <c r="I61" s="10">
        <v>136350</v>
      </c>
      <c r="J61" s="46">
        <f t="shared" si="2"/>
        <v>283319.32999999996</v>
      </c>
    </row>
    <row r="62" spans="1:10">
      <c r="A62" s="138" t="s">
        <v>318</v>
      </c>
      <c r="B62" s="127" t="s">
        <v>273</v>
      </c>
      <c r="C62" s="128">
        <v>1</v>
      </c>
      <c r="D62" s="129" t="s">
        <v>319</v>
      </c>
      <c r="E62" s="129"/>
      <c r="F62" s="38"/>
      <c r="G62" s="10">
        <v>231718.41</v>
      </c>
      <c r="H62" s="10">
        <v>245000</v>
      </c>
      <c r="I62" s="10">
        <v>245000</v>
      </c>
      <c r="J62" s="46">
        <f t="shared" si="2"/>
        <v>721718.41</v>
      </c>
    </row>
    <row r="63" spans="1:10" ht="15" customHeight="1">
      <c r="A63" s="181" t="s">
        <v>412</v>
      </c>
      <c r="B63" s="181"/>
      <c r="C63" s="182"/>
      <c r="D63" s="181"/>
      <c r="E63" s="181"/>
      <c r="F63" s="181"/>
      <c r="G63" s="183">
        <f>SUM(G36:G62)</f>
        <v>8804239.3000000007</v>
      </c>
      <c r="H63" s="183">
        <f>SUM(H36:H62)</f>
        <v>21592689.816</v>
      </c>
      <c r="I63" s="183">
        <f>SUM(I36:I62)</f>
        <v>26100383.653000005</v>
      </c>
      <c r="J63" s="184">
        <f>SUM(J54:J62)</f>
        <v>9671027.8100000005</v>
      </c>
    </row>
    <row r="65" spans="1:16" ht="15" customHeight="1">
      <c r="P65" s="17"/>
    </row>
    <row r="66" spans="1:16" ht="15" customHeight="1">
      <c r="P66" s="17">
        <v>14712193.93</v>
      </c>
    </row>
    <row r="67" spans="1:16" ht="15" customHeight="1">
      <c r="P67" s="17">
        <v>9796183.0899999999</v>
      </c>
    </row>
    <row r="68" spans="1:16" ht="15" customHeight="1">
      <c r="A68" s="1" t="s">
        <v>7</v>
      </c>
      <c r="B68" s="1" t="s">
        <v>8</v>
      </c>
      <c r="C68" s="1" t="s">
        <v>413</v>
      </c>
      <c r="D68" s="1" t="s">
        <v>9</v>
      </c>
      <c r="E68" s="1" t="s">
        <v>10</v>
      </c>
      <c r="F68" s="1" t="s">
        <v>15</v>
      </c>
      <c r="G68" s="31">
        <v>45931</v>
      </c>
      <c r="H68" s="31">
        <v>45962</v>
      </c>
      <c r="I68" s="31">
        <v>45992</v>
      </c>
      <c r="J68" s="31" t="s">
        <v>22</v>
      </c>
      <c r="P68" s="17">
        <f>P66+P67</f>
        <v>24508377.02</v>
      </c>
    </row>
    <row r="69" spans="1:16" ht="30">
      <c r="A69" s="86" t="s">
        <v>321</v>
      </c>
      <c r="B69" s="86" t="s">
        <v>322</v>
      </c>
      <c r="C69" s="76">
        <v>1</v>
      </c>
      <c r="D69" s="49" t="s">
        <v>323</v>
      </c>
      <c r="E69" s="49" t="s">
        <v>324</v>
      </c>
      <c r="F69" s="84" t="s">
        <v>326</v>
      </c>
      <c r="G69" s="70">
        <v>1669255.98</v>
      </c>
      <c r="H69" s="10">
        <v>1791326.86</v>
      </c>
      <c r="I69" s="10"/>
      <c r="J69" s="46">
        <f>SUM(G69:I69)</f>
        <v>3460582.84</v>
      </c>
      <c r="P69" s="17"/>
    </row>
    <row r="70" spans="1:16" ht="30">
      <c r="A70" s="185" t="s">
        <v>458</v>
      </c>
      <c r="B70" s="86" t="s">
        <v>328</v>
      </c>
      <c r="C70" s="76">
        <v>2</v>
      </c>
      <c r="D70" s="38" t="s">
        <v>334</v>
      </c>
      <c r="E70" s="38"/>
      <c r="F70" s="79"/>
      <c r="G70" s="10">
        <f>'I. Situação Atual'!Y116</f>
        <v>0</v>
      </c>
      <c r="H70" s="10">
        <f>'I. Situação Atual'!Z116</f>
        <v>0</v>
      </c>
      <c r="I70" s="10">
        <f>'I. Situação Atual'!AA116</f>
        <v>0</v>
      </c>
      <c r="J70" s="46">
        <f>J29</f>
        <v>0</v>
      </c>
    </row>
    <row r="71" spans="1:16" ht="30">
      <c r="A71" s="90" t="s">
        <v>358</v>
      </c>
      <c r="B71" s="90" t="s">
        <v>328</v>
      </c>
      <c r="C71" s="61">
        <v>1</v>
      </c>
      <c r="D71" s="49" t="s">
        <v>359</v>
      </c>
      <c r="E71" s="49" t="s">
        <v>360</v>
      </c>
      <c r="F71" s="69" t="s">
        <v>362</v>
      </c>
      <c r="G71" s="53"/>
      <c r="H71" s="10">
        <v>4082.45</v>
      </c>
      <c r="I71" s="10">
        <v>17000</v>
      </c>
      <c r="J71" s="46">
        <f>SUM(G71:I71)</f>
        <v>21082.45</v>
      </c>
    </row>
    <row r="72" spans="1:16" ht="15" customHeight="1">
      <c r="A72" s="181" t="s">
        <v>412</v>
      </c>
      <c r="B72" s="181"/>
      <c r="C72" s="182"/>
      <c r="D72" s="181"/>
      <c r="E72" s="181"/>
      <c r="F72" s="181"/>
      <c r="G72" s="183">
        <f>SUM(G45:G71)</f>
        <v>19232624.91</v>
      </c>
      <c r="H72" s="183">
        <f>SUM(H45:H71)</f>
        <v>44160268.782000005</v>
      </c>
      <c r="I72" s="183">
        <f>SUM(I45:I71)</f>
        <v>50507841.326000005</v>
      </c>
      <c r="J72" s="184">
        <f>SUM(J69:J71)</f>
        <v>3481665.29</v>
      </c>
    </row>
    <row r="76" spans="1:16" ht="15" customHeight="1">
      <c r="J76" s="17">
        <f>J72+J63+J50</f>
        <v>22515079.653000001</v>
      </c>
    </row>
  </sheetData>
  <autoFilter ref="A3:F30" xr:uid="{00000000-0009-0000-0000-000002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9694"/>
  </sheetPr>
  <dimension ref="A1:XDK28"/>
  <sheetViews>
    <sheetView zoomScale="85" zoomScaleNormal="85" workbookViewId="0">
      <pane xSplit="4" ySplit="3" topLeftCell="E4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4.5" style="12" hidden="1" customWidth="1"/>
    <col min="4" max="4" width="19.1640625" style="12" customWidth="1"/>
    <col min="5" max="5" width="24.83203125" style="12" customWidth="1"/>
    <col min="6" max="6" width="12.33203125" style="12" customWidth="1"/>
    <col min="7" max="7" width="14.6640625" style="13" hidden="1" customWidth="1"/>
    <col min="8" max="8" width="15.33203125" style="14" hidden="1" customWidth="1"/>
    <col min="9" max="9" width="14.33203125" style="13" hidden="1" customWidth="1"/>
    <col min="10" max="10" width="15.1640625" style="13" hidden="1" customWidth="1"/>
    <col min="11" max="11" width="17" style="11" hidden="1" customWidth="1"/>
    <col min="12" max="12" width="15.5" style="11" hidden="1" customWidth="1"/>
    <col min="13" max="14" width="13.6640625" style="11" hidden="1" customWidth="1"/>
    <col min="15" max="18" width="13.6640625" style="15" hidden="1" customWidth="1"/>
    <col min="19" max="19" width="15.33203125" style="16" hidden="1" customWidth="1"/>
    <col min="20" max="24" width="13.6640625" style="15" hidden="1" customWidth="1"/>
    <col min="25" max="25" width="16.6640625" style="17" customWidth="1"/>
    <col min="26" max="26" width="25.33203125" style="18" customWidth="1"/>
    <col min="27" max="28" width="16.5" style="19" hidden="1" customWidth="1"/>
    <col min="29" max="30" width="16.5" style="11" hidden="1" customWidth="1"/>
    <col min="31" max="32" width="16.5" style="11" customWidth="1"/>
    <col min="33" max="16339" width="9.1640625" style="11"/>
    <col min="16340" max="16384" width="11.5" customWidth="1"/>
  </cols>
  <sheetData>
    <row r="1" spans="1:31" ht="18">
      <c r="A1" s="20" t="s">
        <v>0</v>
      </c>
      <c r="B1" s="21"/>
      <c r="D1" s="21"/>
      <c r="G1" s="22"/>
      <c r="I1" s="23"/>
      <c r="J1" s="24"/>
      <c r="K1" s="25"/>
      <c r="P1" s="19"/>
      <c r="Q1" s="19"/>
      <c r="X1" s="15" t="s">
        <v>1</v>
      </c>
      <c r="AB1" s="26"/>
      <c r="AE1" s="19"/>
    </row>
    <row r="2" spans="1:31" ht="18.75" customHeight="1">
      <c r="A2" s="11" t="s">
        <v>459</v>
      </c>
      <c r="B2" s="21"/>
      <c r="G2" s="22"/>
      <c r="H2" s="27"/>
      <c r="I2" s="23"/>
      <c r="K2" s="25"/>
      <c r="AB2" s="28"/>
      <c r="AE2" s="19"/>
    </row>
    <row r="3" spans="1:31" ht="45">
      <c r="A3" s="186" t="s">
        <v>7</v>
      </c>
      <c r="B3" s="186" t="s">
        <v>8</v>
      </c>
      <c r="C3" s="186" t="s">
        <v>413</v>
      </c>
      <c r="D3" s="186" t="s">
        <v>9</v>
      </c>
      <c r="E3" s="186" t="s">
        <v>10</v>
      </c>
      <c r="F3" s="186" t="s">
        <v>15</v>
      </c>
      <c r="G3" s="186" t="s">
        <v>16</v>
      </c>
      <c r="H3" s="187" t="s">
        <v>17</v>
      </c>
      <c r="I3" s="188" t="s">
        <v>18</v>
      </c>
      <c r="J3" s="188" t="s">
        <v>19</v>
      </c>
      <c r="K3" s="188" t="s">
        <v>20</v>
      </c>
      <c r="L3" s="188" t="s">
        <v>21</v>
      </c>
      <c r="M3" s="188">
        <v>45658</v>
      </c>
      <c r="N3" s="188">
        <v>45689</v>
      </c>
      <c r="O3" s="188">
        <v>45717</v>
      </c>
      <c r="P3" s="188">
        <v>45748</v>
      </c>
      <c r="Q3" s="188">
        <v>45778</v>
      </c>
      <c r="R3" s="188">
        <v>45809</v>
      </c>
      <c r="S3" s="188">
        <v>45839</v>
      </c>
      <c r="T3" s="188">
        <v>45870</v>
      </c>
      <c r="U3" s="188">
        <v>45901</v>
      </c>
      <c r="V3" s="188">
        <v>45931</v>
      </c>
      <c r="W3" s="188">
        <v>45962</v>
      </c>
      <c r="X3" s="188">
        <v>45992</v>
      </c>
      <c r="Y3" s="188" t="s">
        <v>22</v>
      </c>
      <c r="Z3" s="33"/>
      <c r="AA3" s="31"/>
      <c r="AB3" s="31"/>
      <c r="AC3" s="31"/>
      <c r="AD3" s="34"/>
      <c r="AE3" s="35"/>
    </row>
    <row r="4" spans="1:31" ht="14.25" customHeight="1">
      <c r="A4" s="36" t="s">
        <v>52</v>
      </c>
      <c r="B4" s="60" t="s">
        <v>53</v>
      </c>
      <c r="C4" s="61">
        <v>3</v>
      </c>
      <c r="D4" s="49" t="s">
        <v>54</v>
      </c>
      <c r="E4" s="49" t="s">
        <v>55</v>
      </c>
      <c r="F4" s="64" t="s">
        <v>57</v>
      </c>
      <c r="G4" s="43">
        <v>60000</v>
      </c>
      <c r="H4" s="42"/>
      <c r="I4" s="43">
        <f>G4*12</f>
        <v>720000</v>
      </c>
      <c r="J4" s="59">
        <v>116839.83</v>
      </c>
      <c r="K4" s="59">
        <v>0</v>
      </c>
      <c r="L4" s="9">
        <f t="shared" ref="L4:L14" si="0">SUM(J4:K4)</f>
        <v>116839.83</v>
      </c>
      <c r="M4" s="10"/>
      <c r="N4" s="10"/>
      <c r="O4" s="10">
        <f>G4</f>
        <v>60000</v>
      </c>
      <c r="P4" s="10">
        <f>G4</f>
        <v>60000</v>
      </c>
      <c r="Q4" s="10">
        <f>G4</f>
        <v>60000</v>
      </c>
      <c r="R4" s="45"/>
      <c r="S4" s="45"/>
      <c r="T4" s="65"/>
      <c r="U4" s="53"/>
      <c r="V4" s="53"/>
      <c r="W4" s="10">
        <f>G4</f>
        <v>60000</v>
      </c>
      <c r="X4" s="10">
        <f>G4</f>
        <v>60000</v>
      </c>
      <c r="Y4" s="46">
        <f t="shared" ref="Y4:Y14" si="1">SUM(T4:X4)</f>
        <v>120000</v>
      </c>
      <c r="AA4" s="19">
        <f t="shared" ref="AA4:AA9" si="2">SUM(G4:H4)*2</f>
        <v>120000</v>
      </c>
      <c r="AB4" s="48">
        <f>L4-AA4</f>
        <v>-3160.1699999999983</v>
      </c>
      <c r="AC4" s="48">
        <f>-V4-W4</f>
        <v>-60000</v>
      </c>
      <c r="AD4" s="48">
        <f>(SUM(G4:H4)*2)-L4</f>
        <v>3160.1699999999983</v>
      </c>
      <c r="AE4" s="48"/>
    </row>
    <row r="5" spans="1:31" ht="57.75" customHeight="1">
      <c r="A5" s="86" t="s">
        <v>124</v>
      </c>
      <c r="B5" s="86" t="s">
        <v>115</v>
      </c>
      <c r="C5" s="76">
        <v>3</v>
      </c>
      <c r="D5" s="49" t="s">
        <v>125</v>
      </c>
      <c r="E5" s="49">
        <v>3506307000157</v>
      </c>
      <c r="F5" s="38" t="s">
        <v>127</v>
      </c>
      <c r="G5" s="10">
        <v>80000</v>
      </c>
      <c r="H5" s="80"/>
      <c r="I5" s="10">
        <f>G5*12</f>
        <v>960000</v>
      </c>
      <c r="J5" s="10">
        <v>80000.320000000007</v>
      </c>
      <c r="K5" s="10">
        <v>0</v>
      </c>
      <c r="L5" s="9">
        <f t="shared" si="0"/>
        <v>80000.320000000007</v>
      </c>
      <c r="M5" s="45"/>
      <c r="N5" s="45"/>
      <c r="O5" s="53"/>
      <c r="P5" s="53"/>
      <c r="Q5" s="53"/>
      <c r="R5" s="53"/>
      <c r="S5" s="53"/>
      <c r="T5" s="10">
        <f>80000-12226</f>
        <v>67774</v>
      </c>
      <c r="U5" s="53"/>
      <c r="V5" s="10">
        <v>80000</v>
      </c>
      <c r="W5" s="10">
        <f>G5</f>
        <v>80000</v>
      </c>
      <c r="X5" s="10">
        <f>G5</f>
        <v>80000</v>
      </c>
      <c r="Y5" s="46">
        <f t="shared" si="1"/>
        <v>307774</v>
      </c>
      <c r="Z5" s="95"/>
      <c r="AA5" s="26">
        <f t="shared" si="2"/>
        <v>160000</v>
      </c>
      <c r="AB5" s="92"/>
      <c r="AC5" s="92">
        <f>L5-AA5</f>
        <v>-79999.679999999993</v>
      </c>
      <c r="AD5" s="48"/>
      <c r="AE5" s="48"/>
    </row>
    <row r="6" spans="1:31" ht="54.75" customHeight="1">
      <c r="A6" s="60" t="s">
        <v>172</v>
      </c>
      <c r="B6" s="89" t="s">
        <v>109</v>
      </c>
      <c r="C6" s="93">
        <v>1</v>
      </c>
      <c r="D6" s="94" t="s">
        <v>110</v>
      </c>
      <c r="E6" s="71" t="s">
        <v>173</v>
      </c>
      <c r="F6" s="81" t="s">
        <v>175</v>
      </c>
      <c r="G6" s="10"/>
      <c r="H6" s="42">
        <f>I6/12</f>
        <v>22669.34</v>
      </c>
      <c r="I6" s="43">
        <v>272032.08</v>
      </c>
      <c r="J6" s="3">
        <v>43507.09</v>
      </c>
      <c r="K6" s="3">
        <v>0</v>
      </c>
      <c r="L6" s="9">
        <f t="shared" si="0"/>
        <v>43507.09</v>
      </c>
      <c r="M6" s="45"/>
      <c r="N6" s="10"/>
      <c r="O6" s="45"/>
      <c r="P6" s="45"/>
      <c r="Q6" s="10">
        <f>22669-1831.59</f>
        <v>20837.41</v>
      </c>
      <c r="R6" s="53"/>
      <c r="S6" s="65"/>
      <c r="T6" s="10">
        <f>H6-1000</f>
        <v>21669.34</v>
      </c>
      <c r="U6" s="112"/>
      <c r="V6" s="70">
        <f>H6-20838</f>
        <v>1831.3400000000001</v>
      </c>
      <c r="W6" s="10">
        <f>H6</f>
        <v>22669.34</v>
      </c>
      <c r="X6" s="10">
        <f>H6</f>
        <v>22669.34</v>
      </c>
      <c r="Y6" s="46">
        <f t="shared" si="1"/>
        <v>68839.360000000001</v>
      </c>
      <c r="AA6" s="19">
        <f t="shared" si="2"/>
        <v>45338.68</v>
      </c>
      <c r="AB6" s="48">
        <f>L6-AA6</f>
        <v>-1831.5900000000038</v>
      </c>
      <c r="AC6" s="48"/>
      <c r="AD6" s="48">
        <f t="shared" ref="AD6:AD14" si="3">(SUM(G6:H6)*2)-L6</f>
        <v>1831.5900000000038</v>
      </c>
      <c r="AE6" s="48"/>
    </row>
    <row r="7" spans="1:31">
      <c r="A7" s="75" t="s">
        <v>176</v>
      </c>
      <c r="B7" s="89" t="s">
        <v>109</v>
      </c>
      <c r="C7" s="93">
        <v>1</v>
      </c>
      <c r="D7" s="114" t="s">
        <v>177</v>
      </c>
      <c r="E7" s="49" t="s">
        <v>178</v>
      </c>
      <c r="F7" s="81" t="s">
        <v>180</v>
      </c>
      <c r="G7" s="10"/>
      <c r="H7" s="80">
        <f>I7/12</f>
        <v>24316.78</v>
      </c>
      <c r="I7" s="10">
        <v>291801.36</v>
      </c>
      <c r="J7" s="3">
        <v>52296.57</v>
      </c>
      <c r="K7" s="3">
        <v>0</v>
      </c>
      <c r="L7" s="9">
        <f t="shared" si="0"/>
        <v>52296.57</v>
      </c>
      <c r="M7" s="45"/>
      <c r="N7" s="10"/>
      <c r="O7" s="10">
        <v>865.66</v>
      </c>
      <c r="P7" s="65">
        <f>H7-2497</f>
        <v>21819.78</v>
      </c>
      <c r="Q7" s="10">
        <f>H7-22360</f>
        <v>1956.7799999999988</v>
      </c>
      <c r="R7" s="10">
        <f>H7</f>
        <v>24316.78</v>
      </c>
      <c r="S7" s="53"/>
      <c r="T7" s="53"/>
      <c r="U7" s="53"/>
      <c r="V7" s="53"/>
      <c r="W7" s="10">
        <f>H7</f>
        <v>24316.78</v>
      </c>
      <c r="X7" s="10">
        <f>H7</f>
        <v>24316.78</v>
      </c>
      <c r="Y7" s="46">
        <f t="shared" si="1"/>
        <v>48633.56</v>
      </c>
      <c r="AA7" s="19">
        <f t="shared" si="2"/>
        <v>48633.56</v>
      </c>
      <c r="AB7" s="48">
        <f>L7-AA7</f>
        <v>3663.010000000002</v>
      </c>
      <c r="AC7" s="48"/>
      <c r="AD7" s="48">
        <f t="shared" si="3"/>
        <v>-3663.010000000002</v>
      </c>
      <c r="AE7" s="48"/>
    </row>
    <row r="8" spans="1:31" ht="41.25" customHeight="1">
      <c r="A8" s="89" t="s">
        <v>198</v>
      </c>
      <c r="B8" s="86" t="s">
        <v>109</v>
      </c>
      <c r="C8" s="76">
        <v>1</v>
      </c>
      <c r="D8" s="67" t="s">
        <v>199</v>
      </c>
      <c r="E8" s="67" t="s">
        <v>200</v>
      </c>
      <c r="F8" s="81" t="s">
        <v>202</v>
      </c>
      <c r="G8" s="10"/>
      <c r="H8" s="80">
        <v>116248.37</v>
      </c>
      <c r="I8" s="10">
        <f>H8*12</f>
        <v>1394980.44</v>
      </c>
      <c r="J8" s="10">
        <v>118871.46</v>
      </c>
      <c r="K8" s="3">
        <v>0</v>
      </c>
      <c r="L8" s="9">
        <f t="shared" si="0"/>
        <v>118871.46</v>
      </c>
      <c r="M8" s="45"/>
      <c r="N8" s="10"/>
      <c r="O8" s="45"/>
      <c r="P8" s="10">
        <f>117871-49371</f>
        <v>68500</v>
      </c>
      <c r="Q8" s="10">
        <f>H8-L8</f>
        <v>-2623.0900000000111</v>
      </c>
      <c r="R8" s="10">
        <f>H8</f>
        <v>116248.37</v>
      </c>
      <c r="S8" s="53"/>
      <c r="T8" s="53"/>
      <c r="U8" s="53"/>
      <c r="V8" s="70">
        <f>H8</f>
        <v>116248.37</v>
      </c>
      <c r="W8" s="10">
        <f>H8</f>
        <v>116248.37</v>
      </c>
      <c r="X8" s="10">
        <f>H8</f>
        <v>116248.37</v>
      </c>
      <c r="Y8" s="46">
        <f t="shared" si="1"/>
        <v>348745.11</v>
      </c>
      <c r="AA8" s="19">
        <f t="shared" si="2"/>
        <v>232496.74</v>
      </c>
      <c r="AB8" s="48"/>
      <c r="AC8" s="48">
        <v>-212997.86</v>
      </c>
      <c r="AD8" s="48">
        <f t="shared" si="3"/>
        <v>113625.27999999998</v>
      </c>
      <c r="AE8" s="48"/>
    </row>
    <row r="9" spans="1:31" ht="41.25" customHeight="1">
      <c r="A9" s="86" t="s">
        <v>254</v>
      </c>
      <c r="B9" s="89" t="s">
        <v>47</v>
      </c>
      <c r="C9" s="124">
        <v>1</v>
      </c>
      <c r="D9" s="71" t="s">
        <v>255</v>
      </c>
      <c r="E9" s="71" t="s">
        <v>256</v>
      </c>
      <c r="F9" s="81" t="s">
        <v>258</v>
      </c>
      <c r="G9" s="10"/>
      <c r="H9" s="80">
        <v>5954.2</v>
      </c>
      <c r="I9" s="10">
        <v>63975.839999999997</v>
      </c>
      <c r="J9" s="3">
        <v>5044.97</v>
      </c>
      <c r="K9" s="3">
        <v>0</v>
      </c>
      <c r="L9" s="9">
        <f t="shared" si="0"/>
        <v>5044.97</v>
      </c>
      <c r="M9" s="45"/>
      <c r="N9" s="45"/>
      <c r="O9" s="10">
        <f>H9-L9</f>
        <v>909.22999999999956</v>
      </c>
      <c r="P9" s="10">
        <f>H9-4688</f>
        <v>1266.1999999999998</v>
      </c>
      <c r="Q9" s="45"/>
      <c r="R9" s="10">
        <f>5331-L9</f>
        <v>286.02999999999975</v>
      </c>
      <c r="S9" s="70">
        <f>H9-4396</f>
        <v>1558.1999999999998</v>
      </c>
      <c r="T9" s="65">
        <f>H9</f>
        <v>5954.2</v>
      </c>
      <c r="U9" s="45"/>
      <c r="V9" s="10">
        <f>H9</f>
        <v>5954.2</v>
      </c>
      <c r="W9" s="10">
        <f>H9</f>
        <v>5954.2</v>
      </c>
      <c r="X9" s="10">
        <f>H9</f>
        <v>5954.2</v>
      </c>
      <c r="Y9" s="46">
        <f t="shared" si="1"/>
        <v>23816.799999999999</v>
      </c>
      <c r="AA9" s="19">
        <f t="shared" si="2"/>
        <v>11908.4</v>
      </c>
      <c r="AB9" s="48"/>
      <c r="AC9" s="48">
        <v>-643.349999999999</v>
      </c>
      <c r="AD9" s="48">
        <f t="shared" si="3"/>
        <v>6863.4299999999994</v>
      </c>
      <c r="AE9" s="48"/>
    </row>
    <row r="10" spans="1:31" ht="18.75" customHeight="1">
      <c r="A10" s="138" t="s">
        <v>314</v>
      </c>
      <c r="B10" s="127" t="s">
        <v>273</v>
      </c>
      <c r="C10" s="128">
        <v>3</v>
      </c>
      <c r="D10" s="129" t="s">
        <v>41</v>
      </c>
      <c r="E10" s="129" t="s">
        <v>315</v>
      </c>
      <c r="F10" s="38"/>
      <c r="G10" s="10">
        <v>40000</v>
      </c>
      <c r="H10" s="80"/>
      <c r="I10" s="10">
        <f>G10*12</f>
        <v>480000</v>
      </c>
      <c r="J10" s="59">
        <v>82840.02</v>
      </c>
      <c r="K10" s="59">
        <v>2965.4</v>
      </c>
      <c r="L10" s="9">
        <f t="shared" si="0"/>
        <v>85805.42</v>
      </c>
      <c r="M10" s="10"/>
      <c r="N10" s="10"/>
      <c r="O10" s="45"/>
      <c r="P10" s="70">
        <f>40000-12743</f>
        <v>27257</v>
      </c>
      <c r="Q10" s="53"/>
      <c r="R10" s="70">
        <f>G10-23261</f>
        <v>16739</v>
      </c>
      <c r="S10" s="53"/>
      <c r="T10" s="53"/>
      <c r="U10" s="53"/>
      <c r="V10" s="53"/>
      <c r="W10" s="10">
        <f>G10-5805</f>
        <v>34195</v>
      </c>
      <c r="X10" s="10">
        <f>G10</f>
        <v>40000</v>
      </c>
      <c r="Y10" s="46">
        <f t="shared" si="1"/>
        <v>74195</v>
      </c>
      <c r="AA10" s="19">
        <f>G10*2</f>
        <v>80000</v>
      </c>
      <c r="AB10" s="48">
        <f>L10-AA10</f>
        <v>5805.4199999999983</v>
      </c>
      <c r="AC10" s="48"/>
      <c r="AD10" s="48">
        <f t="shared" si="3"/>
        <v>-5805.4199999999983</v>
      </c>
      <c r="AE10" s="48"/>
    </row>
    <row r="11" spans="1:31" ht="41.25" customHeight="1">
      <c r="A11" s="90" t="s">
        <v>358</v>
      </c>
      <c r="B11" s="90" t="s">
        <v>328</v>
      </c>
      <c r="C11" s="61">
        <v>1</v>
      </c>
      <c r="D11" s="49" t="s">
        <v>359</v>
      </c>
      <c r="E11" s="49" t="s">
        <v>360</v>
      </c>
      <c r="F11" s="69" t="s">
        <v>362</v>
      </c>
      <c r="G11" s="10">
        <v>17000</v>
      </c>
      <c r="H11" s="42"/>
      <c r="I11" s="43">
        <f>G11*12</f>
        <v>204000</v>
      </c>
      <c r="J11" s="3">
        <v>26011.43</v>
      </c>
      <c r="K11" s="3">
        <v>0</v>
      </c>
      <c r="L11" s="9">
        <f t="shared" si="0"/>
        <v>26011.43</v>
      </c>
      <c r="M11" s="70"/>
      <c r="N11" s="70"/>
      <c r="O11" s="45"/>
      <c r="P11" s="45"/>
      <c r="Q11" s="70">
        <v>17000</v>
      </c>
      <c r="R11" s="70">
        <f>G11</f>
        <v>17000</v>
      </c>
      <c r="S11" s="70">
        <f>G11-14992</f>
        <v>2008</v>
      </c>
      <c r="T11" s="70">
        <f>G11-14992</f>
        <v>2008</v>
      </c>
      <c r="U11" s="53"/>
      <c r="V11" s="70">
        <v>9011</v>
      </c>
      <c r="W11" s="10">
        <f>G11</f>
        <v>17000</v>
      </c>
      <c r="X11" s="10">
        <f>G11</f>
        <v>17000</v>
      </c>
      <c r="Y11" s="46">
        <f t="shared" si="1"/>
        <v>45019</v>
      </c>
      <c r="Z11" s="54"/>
      <c r="AA11" s="19">
        <f>G11*2</f>
        <v>34000</v>
      </c>
      <c r="AB11" s="48"/>
      <c r="AC11" s="48">
        <v>-31532.95</v>
      </c>
      <c r="AD11" s="48">
        <f t="shared" si="3"/>
        <v>7988.57</v>
      </c>
      <c r="AE11" s="48"/>
    </row>
    <row r="12" spans="1:31" ht="27" customHeight="1">
      <c r="A12" s="155" t="s">
        <v>450</v>
      </c>
      <c r="B12" s="86" t="s">
        <v>328</v>
      </c>
      <c r="C12" s="76">
        <v>1</v>
      </c>
      <c r="D12" s="77" t="s">
        <v>370</v>
      </c>
      <c r="E12" s="77" t="s">
        <v>256</v>
      </c>
      <c r="F12" s="84" t="s">
        <v>373</v>
      </c>
      <c r="G12" s="10"/>
      <c r="H12" s="80">
        <f>I12/12</f>
        <v>5039.3474999999999</v>
      </c>
      <c r="I12" s="10">
        <v>60472.17</v>
      </c>
      <c r="J12" s="3">
        <v>1511.77</v>
      </c>
      <c r="K12" s="3">
        <v>0</v>
      </c>
      <c r="L12" s="9">
        <f t="shared" si="0"/>
        <v>1511.77</v>
      </c>
      <c r="M12" s="10"/>
      <c r="N12" s="10"/>
      <c r="O12" s="45"/>
      <c r="P12" s="45"/>
      <c r="Q12" s="10">
        <f>H12-166.38</f>
        <v>4872.9674999999997</v>
      </c>
      <c r="R12" s="70">
        <f>H12</f>
        <v>5039.3474999999999</v>
      </c>
      <c r="S12" s="108"/>
      <c r="T12" s="70">
        <f>H12-1512</f>
        <v>3527.3474999999999</v>
      </c>
      <c r="U12" s="70">
        <f>H12-1512</f>
        <v>3527.3474999999999</v>
      </c>
      <c r="V12" s="10">
        <f>H12</f>
        <v>5039.3474999999999</v>
      </c>
      <c r="W12" s="10">
        <f>H12</f>
        <v>5039.3474999999999</v>
      </c>
      <c r="X12" s="10">
        <f>H12</f>
        <v>5039.3474999999999</v>
      </c>
      <c r="Y12" s="46">
        <f t="shared" si="1"/>
        <v>22172.737499999999</v>
      </c>
      <c r="AA12" s="19">
        <f>H12*2</f>
        <v>10078.695</v>
      </c>
      <c r="AB12" s="48"/>
      <c r="AC12" s="48"/>
      <c r="AD12" s="48">
        <f t="shared" si="3"/>
        <v>8566.9249999999993</v>
      </c>
      <c r="AE12" s="48"/>
    </row>
    <row r="13" spans="1:31" ht="35.25" customHeight="1">
      <c r="A13" s="157" t="s">
        <v>381</v>
      </c>
      <c r="B13" s="157" t="s">
        <v>382</v>
      </c>
      <c r="C13" s="76">
        <v>2</v>
      </c>
      <c r="D13" s="49" t="s">
        <v>383</v>
      </c>
      <c r="E13" s="49" t="s">
        <v>384</v>
      </c>
      <c r="F13" s="159" t="s">
        <v>386</v>
      </c>
      <c r="G13" s="10">
        <v>3000</v>
      </c>
      <c r="H13" s="80"/>
      <c r="I13" s="10">
        <f>G13*12</f>
        <v>36000</v>
      </c>
      <c r="J13" s="3">
        <v>8738.57</v>
      </c>
      <c r="K13" s="3">
        <v>0</v>
      </c>
      <c r="L13" s="9">
        <f t="shared" si="0"/>
        <v>8738.57</v>
      </c>
      <c r="M13" s="10"/>
      <c r="N13" s="10"/>
      <c r="O13" s="45"/>
      <c r="P13" s="45"/>
      <c r="Q13" s="45"/>
      <c r="R13" s="45"/>
      <c r="S13" s="45"/>
      <c r="T13" s="45"/>
      <c r="U13" s="160"/>
      <c r="V13" s="160"/>
      <c r="W13" s="10">
        <f>G13</f>
        <v>3000</v>
      </c>
      <c r="X13" s="10">
        <f>G13</f>
        <v>3000</v>
      </c>
      <c r="Y13" s="46">
        <f t="shared" si="1"/>
        <v>6000</v>
      </c>
      <c r="AA13" s="19">
        <f>G13*2</f>
        <v>6000</v>
      </c>
      <c r="AB13" s="48"/>
      <c r="AC13" s="48">
        <v>-642</v>
      </c>
      <c r="AD13" s="48">
        <f t="shared" si="3"/>
        <v>-2738.5699999999997</v>
      </c>
      <c r="AE13" s="48"/>
    </row>
    <row r="14" spans="1:31" ht="14.25" customHeight="1">
      <c r="A14" s="157" t="s">
        <v>387</v>
      </c>
      <c r="B14" s="157" t="s">
        <v>382</v>
      </c>
      <c r="C14" s="76">
        <v>2</v>
      </c>
      <c r="D14" s="49" t="s">
        <v>388</v>
      </c>
      <c r="E14" s="49"/>
      <c r="F14" s="38" t="s">
        <v>390</v>
      </c>
      <c r="G14" s="10">
        <v>2000</v>
      </c>
      <c r="H14" s="80"/>
      <c r="I14" s="10">
        <f>G14*12</f>
        <v>24000</v>
      </c>
      <c r="J14" s="3">
        <v>4242.3999999999996</v>
      </c>
      <c r="K14" s="3">
        <v>0</v>
      </c>
      <c r="L14" s="9">
        <f t="shared" si="0"/>
        <v>4242.3999999999996</v>
      </c>
      <c r="M14" s="53"/>
      <c r="N14" s="45"/>
      <c r="O14" s="45"/>
      <c r="P14" s="45"/>
      <c r="Q14" s="10">
        <f>G14-307</f>
        <v>1693</v>
      </c>
      <c r="R14" s="45"/>
      <c r="S14" s="45"/>
      <c r="T14" s="45"/>
      <c r="U14" s="160"/>
      <c r="V14" s="160"/>
      <c r="W14" s="10">
        <f>G14</f>
        <v>2000</v>
      </c>
      <c r="X14" s="65">
        <f>G14</f>
        <v>2000</v>
      </c>
      <c r="Y14" s="46">
        <f t="shared" si="1"/>
        <v>4000</v>
      </c>
      <c r="AA14" s="19">
        <f>G14*2</f>
        <v>4000</v>
      </c>
      <c r="AB14" s="48">
        <f>L14-AA14</f>
        <v>242.39999999999964</v>
      </c>
      <c r="AC14" s="48"/>
      <c r="AD14" s="48">
        <f t="shared" si="3"/>
        <v>-242.39999999999964</v>
      </c>
      <c r="AE14" s="48"/>
    </row>
    <row r="15" spans="1:31">
      <c r="A15" s="189" t="s">
        <v>412</v>
      </c>
      <c r="B15" s="189"/>
      <c r="C15" s="186"/>
      <c r="D15" s="189"/>
      <c r="E15" s="189"/>
      <c r="F15" s="189"/>
      <c r="G15" s="190">
        <f t="shared" ref="G15:Y15" si="4">SUM(G4:G14)</f>
        <v>202000</v>
      </c>
      <c r="H15" s="191">
        <f t="shared" si="4"/>
        <v>174228.03750000001</v>
      </c>
      <c r="I15" s="190">
        <f t="shared" si="4"/>
        <v>4507261.8899999997</v>
      </c>
      <c r="J15" s="190">
        <f t="shared" si="4"/>
        <v>539904.43000000005</v>
      </c>
      <c r="K15" s="190">
        <f t="shared" si="4"/>
        <v>2965.4</v>
      </c>
      <c r="L15" s="190">
        <f t="shared" si="4"/>
        <v>542869.82999999996</v>
      </c>
      <c r="M15" s="190">
        <f t="shared" si="4"/>
        <v>0</v>
      </c>
      <c r="N15" s="190">
        <f t="shared" si="4"/>
        <v>0</v>
      </c>
      <c r="O15" s="190">
        <f t="shared" si="4"/>
        <v>61774.89</v>
      </c>
      <c r="P15" s="190">
        <f t="shared" si="4"/>
        <v>178842.98</v>
      </c>
      <c r="Q15" s="190">
        <f t="shared" si="4"/>
        <v>103737.06749999999</v>
      </c>
      <c r="R15" s="190">
        <f t="shared" si="4"/>
        <v>179629.5275</v>
      </c>
      <c r="S15" s="190">
        <f t="shared" si="4"/>
        <v>3566.2</v>
      </c>
      <c r="T15" s="190">
        <f t="shared" si="4"/>
        <v>100932.8875</v>
      </c>
      <c r="U15" s="190">
        <f t="shared" si="4"/>
        <v>3527.3474999999999</v>
      </c>
      <c r="V15" s="190">
        <f t="shared" si="4"/>
        <v>218084.25750000001</v>
      </c>
      <c r="W15" s="190">
        <f t="shared" si="4"/>
        <v>370423.03749999998</v>
      </c>
      <c r="X15" s="190">
        <f t="shared" si="4"/>
        <v>376228.03749999998</v>
      </c>
      <c r="Y15" s="192">
        <f t="shared" si="4"/>
        <v>1069195.5674999999</v>
      </c>
      <c r="AA15" s="173">
        <f>SUM(AA4:AA14)</f>
        <v>752456.07499999995</v>
      </c>
      <c r="AB15" s="173">
        <f>SUM(AB4:AB14)</f>
        <v>4719.0699999999979</v>
      </c>
      <c r="AC15" s="173">
        <f>SUM(AC4:AC14)</f>
        <v>-385815.83999999997</v>
      </c>
      <c r="AD15" s="175">
        <f>SUM(AD4:AD14)</f>
        <v>129586.56499999997</v>
      </c>
      <c r="AE15" s="48"/>
    </row>
    <row r="16" spans="1:31">
      <c r="A16" s="165"/>
      <c r="B16" s="165"/>
      <c r="C16" s="166"/>
      <c r="D16" s="165"/>
      <c r="E16" s="165"/>
      <c r="F16" s="165"/>
      <c r="G16" s="167"/>
      <c r="H16" s="168"/>
      <c r="I16" s="167"/>
      <c r="J16" s="167"/>
      <c r="K16" s="165"/>
      <c r="L16" s="169"/>
    </row>
    <row r="17" spans="9:31">
      <c r="I17" s="23">
        <f>I15/12</f>
        <v>375605.15749999997</v>
      </c>
      <c r="K17" s="19"/>
      <c r="AC17" s="19" t="e">
        <f>#REF!</f>
        <v>#REF!</v>
      </c>
      <c r="AD17" s="19"/>
      <c r="AE17" s="19"/>
    </row>
    <row r="18" spans="9:31">
      <c r="K18" s="19"/>
      <c r="AC18" s="19">
        <v>-6000000</v>
      </c>
      <c r="AD18" s="19"/>
      <c r="AE18" s="19"/>
    </row>
    <row r="19" spans="9:31">
      <c r="K19" s="19"/>
      <c r="AC19" s="19">
        <v>-1280820.8600000001</v>
      </c>
      <c r="AD19" s="19"/>
      <c r="AE19" s="19"/>
    </row>
    <row r="20" spans="9:31">
      <c r="K20" s="19"/>
      <c r="AD20" s="19"/>
      <c r="AE20" s="19"/>
    </row>
    <row r="21" spans="9:31">
      <c r="K21" s="19"/>
      <c r="AC21" s="19" t="e">
        <f>SUM(AC17:AC18)</f>
        <v>#REF!</v>
      </c>
      <c r="AD21" s="19"/>
      <c r="AE21" s="19"/>
    </row>
    <row r="22" spans="9:31">
      <c r="AC22" s="19" t="e">
        <f>AC21+#REF!</f>
        <v>#REF!</v>
      </c>
    </row>
    <row r="23" spans="9:31">
      <c r="AD23" s="19"/>
      <c r="AE23" s="19"/>
    </row>
    <row r="25" spans="9:31">
      <c r="AD25" s="19"/>
      <c r="AE25" s="19"/>
    </row>
    <row r="26" spans="9:31">
      <c r="AD26" s="19"/>
      <c r="AE26" s="19"/>
    </row>
    <row r="28" spans="9:31">
      <c r="AD28" s="19"/>
      <c r="AE28" s="19"/>
    </row>
  </sheetData>
  <autoFilter ref="A3:L14" xr:uid="{00000000-0009-0000-0000-000003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9694"/>
  </sheetPr>
  <dimension ref="A1:XCL83"/>
  <sheetViews>
    <sheetView zoomScale="85" zoomScaleNormal="85" workbookViewId="0">
      <pane xSplit="3" ySplit="3" topLeftCell="F84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9.1640625" style="12" customWidth="1"/>
    <col min="4" max="4" width="24.83203125" style="12" customWidth="1"/>
    <col min="5" max="5" width="18" style="12" customWidth="1"/>
    <col min="6" max="6" width="16.6640625" style="17" customWidth="1"/>
    <col min="7" max="7" width="16.5" style="11" customWidth="1"/>
    <col min="8" max="16314" width="9.1640625" style="11"/>
    <col min="16315" max="16384" width="11.5" customWidth="1"/>
  </cols>
  <sheetData>
    <row r="1" spans="1:6" ht="18">
      <c r="A1" s="20"/>
      <c r="B1" s="21"/>
      <c r="C1" s="21"/>
    </row>
    <row r="2" spans="1:6" ht="18.75" customHeight="1">
      <c r="B2" s="21"/>
    </row>
    <row r="3" spans="1:6">
      <c r="A3" s="1" t="s">
        <v>7</v>
      </c>
      <c r="B3" s="1" t="s">
        <v>8</v>
      </c>
      <c r="C3" s="1" t="s">
        <v>9</v>
      </c>
      <c r="D3" s="1" t="s">
        <v>10</v>
      </c>
      <c r="E3" s="1" t="s">
        <v>15</v>
      </c>
      <c r="F3" s="31" t="s">
        <v>22</v>
      </c>
    </row>
    <row r="4" spans="1:6" ht="27" customHeight="1">
      <c r="A4" s="36" t="s">
        <v>39</v>
      </c>
      <c r="B4" s="36" t="s">
        <v>29</v>
      </c>
      <c r="C4" s="49" t="s">
        <v>37</v>
      </c>
      <c r="D4" s="49"/>
      <c r="E4" s="39"/>
      <c r="F4" s="46">
        <v>1589464.95</v>
      </c>
    </row>
    <row r="5" spans="1:6" ht="27" customHeight="1">
      <c r="A5" s="57" t="s">
        <v>46</v>
      </c>
      <c r="B5" s="36" t="s">
        <v>47</v>
      </c>
      <c r="C5" s="49" t="s">
        <v>45</v>
      </c>
      <c r="D5" s="49" t="s">
        <v>48</v>
      </c>
      <c r="E5" s="49"/>
      <c r="F5" s="46">
        <v>999</v>
      </c>
    </row>
    <row r="6" spans="1:6" ht="54.75" customHeight="1">
      <c r="A6" s="58" t="s">
        <v>49</v>
      </c>
      <c r="B6" s="36" t="s">
        <v>47</v>
      </c>
      <c r="C6" s="49" t="s">
        <v>41</v>
      </c>
      <c r="D6" s="49" t="s">
        <v>460</v>
      </c>
      <c r="E6" s="49" t="s">
        <v>51</v>
      </c>
      <c r="F6" s="46">
        <v>3525.03</v>
      </c>
    </row>
    <row r="7" spans="1:6">
      <c r="A7" s="36" t="s">
        <v>52</v>
      </c>
      <c r="B7" s="60" t="s">
        <v>53</v>
      </c>
      <c r="C7" s="49" t="s">
        <v>54</v>
      </c>
      <c r="D7" s="49" t="s">
        <v>461</v>
      </c>
      <c r="E7" s="64" t="s">
        <v>57</v>
      </c>
      <c r="F7" s="46">
        <v>63161</v>
      </c>
    </row>
    <row r="8" spans="1:6" ht="30">
      <c r="A8" s="86" t="s">
        <v>462</v>
      </c>
      <c r="B8" s="86" t="s">
        <v>115</v>
      </c>
      <c r="C8" s="49" t="s">
        <v>125</v>
      </c>
      <c r="D8" s="49" t="s">
        <v>463</v>
      </c>
      <c r="E8" s="38" t="s">
        <v>127</v>
      </c>
      <c r="F8" s="46">
        <v>67774</v>
      </c>
    </row>
    <row r="9" spans="1:6" ht="27" customHeight="1">
      <c r="A9" s="89" t="s">
        <v>128</v>
      </c>
      <c r="B9" s="86" t="s">
        <v>115</v>
      </c>
      <c r="C9" s="49" t="s">
        <v>129</v>
      </c>
      <c r="D9" s="49" t="s">
        <v>130</v>
      </c>
      <c r="E9" s="49" t="s">
        <v>133</v>
      </c>
      <c r="F9" s="46">
        <v>77841.039999999994</v>
      </c>
    </row>
    <row r="10" spans="1:6" ht="30">
      <c r="A10" s="86" t="s">
        <v>134</v>
      </c>
      <c r="B10" s="86" t="s">
        <v>115</v>
      </c>
      <c r="C10" s="49" t="s">
        <v>135</v>
      </c>
      <c r="D10" s="49" t="s">
        <v>136</v>
      </c>
      <c r="E10" s="81" t="s">
        <v>138</v>
      </c>
      <c r="F10" s="46">
        <v>568923</v>
      </c>
    </row>
    <row r="11" spans="1:6" ht="54.75" customHeight="1">
      <c r="A11" s="86" t="s">
        <v>144</v>
      </c>
      <c r="B11" s="86" t="s">
        <v>115</v>
      </c>
      <c r="C11" s="49" t="s">
        <v>145</v>
      </c>
      <c r="D11" s="102">
        <v>12859652000165</v>
      </c>
      <c r="E11" s="73" t="s">
        <v>147</v>
      </c>
      <c r="F11" s="46">
        <v>25220</v>
      </c>
    </row>
    <row r="12" spans="1:6">
      <c r="A12" s="86" t="s">
        <v>148</v>
      </c>
      <c r="B12" s="89" t="s">
        <v>115</v>
      </c>
      <c r="C12" s="94" t="s">
        <v>149</v>
      </c>
      <c r="D12" s="71" t="s">
        <v>150</v>
      </c>
      <c r="E12" s="68" t="s">
        <v>152</v>
      </c>
      <c r="F12" s="46">
        <v>2125</v>
      </c>
    </row>
    <row r="13" spans="1:6" ht="30">
      <c r="A13" s="86" t="s">
        <v>153</v>
      </c>
      <c r="B13" s="89" t="s">
        <v>115</v>
      </c>
      <c r="C13" s="71" t="s">
        <v>154</v>
      </c>
      <c r="D13" s="71" t="s">
        <v>155</v>
      </c>
      <c r="E13" s="67" t="s">
        <v>157</v>
      </c>
      <c r="F13" s="46">
        <v>1291844</v>
      </c>
    </row>
    <row r="14" spans="1:6" ht="45">
      <c r="A14" s="185" t="s">
        <v>453</v>
      </c>
      <c r="B14" s="86" t="s">
        <v>109</v>
      </c>
      <c r="C14" s="49" t="s">
        <v>168</v>
      </c>
      <c r="D14" s="49" t="s">
        <v>169</v>
      </c>
      <c r="E14" s="98" t="s">
        <v>171</v>
      </c>
      <c r="F14" s="46">
        <v>12640.77</v>
      </c>
    </row>
    <row r="15" spans="1:6" ht="54.75" customHeight="1">
      <c r="A15" s="60" t="s">
        <v>172</v>
      </c>
      <c r="B15" s="89" t="s">
        <v>109</v>
      </c>
      <c r="C15" s="94" t="s">
        <v>110</v>
      </c>
      <c r="D15" s="71" t="s">
        <v>464</v>
      </c>
      <c r="E15" s="81" t="s">
        <v>175</v>
      </c>
      <c r="F15" s="46">
        <v>67008.02</v>
      </c>
    </row>
    <row r="16" spans="1:6">
      <c r="A16" s="75" t="s">
        <v>176</v>
      </c>
      <c r="B16" s="89" t="s">
        <v>109</v>
      </c>
      <c r="C16" s="114" t="s">
        <v>177</v>
      </c>
      <c r="D16" s="49" t="s">
        <v>178</v>
      </c>
      <c r="E16" s="81" t="s">
        <v>180</v>
      </c>
      <c r="F16" s="46">
        <v>24316.78</v>
      </c>
    </row>
    <row r="17" spans="1:6">
      <c r="A17" s="86" t="s">
        <v>181</v>
      </c>
      <c r="B17" s="89" t="s">
        <v>109</v>
      </c>
      <c r="C17" s="114" t="s">
        <v>182</v>
      </c>
      <c r="D17" s="49" t="s">
        <v>465</v>
      </c>
      <c r="E17" s="81" t="s">
        <v>185</v>
      </c>
      <c r="F17" s="46">
        <v>131667.49</v>
      </c>
    </row>
    <row r="18" spans="1:6" ht="38.25" customHeight="1">
      <c r="A18" s="86" t="s">
        <v>190</v>
      </c>
      <c r="B18" s="89" t="s">
        <v>109</v>
      </c>
      <c r="C18" s="114" t="s">
        <v>191</v>
      </c>
      <c r="D18" s="49" t="s">
        <v>192</v>
      </c>
      <c r="E18" s="81" t="s">
        <v>194</v>
      </c>
      <c r="F18" s="46">
        <v>183316.03</v>
      </c>
    </row>
    <row r="19" spans="1:6" ht="18.75" customHeight="1">
      <c r="A19" s="75" t="s">
        <v>203</v>
      </c>
      <c r="B19" s="89" t="s">
        <v>109</v>
      </c>
      <c r="C19" s="94" t="s">
        <v>204</v>
      </c>
      <c r="D19" s="71" t="s">
        <v>205</v>
      </c>
      <c r="E19" s="81" t="s">
        <v>207</v>
      </c>
      <c r="F19" s="46">
        <v>2385193</v>
      </c>
    </row>
    <row r="20" spans="1:6">
      <c r="A20" s="86" t="s">
        <v>208</v>
      </c>
      <c r="B20" s="89" t="s">
        <v>109</v>
      </c>
      <c r="C20" s="94" t="s">
        <v>209</v>
      </c>
      <c r="D20" s="71" t="s">
        <v>210</v>
      </c>
      <c r="E20" s="81" t="s">
        <v>212</v>
      </c>
      <c r="F20" s="46">
        <v>2117878.59</v>
      </c>
    </row>
    <row r="21" spans="1:6" ht="30">
      <c r="A21" s="75" t="s">
        <v>213</v>
      </c>
      <c r="B21" s="89" t="s">
        <v>109</v>
      </c>
      <c r="C21" s="94" t="s">
        <v>214</v>
      </c>
      <c r="D21" s="71" t="s">
        <v>215</v>
      </c>
      <c r="E21" s="81" t="s">
        <v>217</v>
      </c>
      <c r="F21" s="46">
        <v>1238298.95</v>
      </c>
    </row>
    <row r="22" spans="1:6" ht="27" customHeight="1">
      <c r="A22" s="75" t="s">
        <v>218</v>
      </c>
      <c r="B22" s="89" t="s">
        <v>109</v>
      </c>
      <c r="C22" s="94" t="s">
        <v>219</v>
      </c>
      <c r="D22" s="71" t="s">
        <v>215</v>
      </c>
      <c r="E22" s="81" t="s">
        <v>221</v>
      </c>
      <c r="F22" s="46">
        <v>236438.33100000001</v>
      </c>
    </row>
    <row r="23" spans="1:6" ht="76.5" customHeight="1">
      <c r="A23" s="120" t="s">
        <v>466</v>
      </c>
      <c r="B23" s="89" t="s">
        <v>109</v>
      </c>
      <c r="C23" s="94" t="s">
        <v>228</v>
      </c>
      <c r="D23" s="71" t="s">
        <v>229</v>
      </c>
      <c r="E23" s="81" t="s">
        <v>231</v>
      </c>
      <c r="F23" s="46">
        <v>2739808</v>
      </c>
    </row>
    <row r="24" spans="1:6">
      <c r="A24" s="75" t="s">
        <v>232</v>
      </c>
      <c r="B24" s="89" t="s">
        <v>109</v>
      </c>
      <c r="C24" s="94" t="s">
        <v>233</v>
      </c>
      <c r="D24" s="71" t="s">
        <v>229</v>
      </c>
      <c r="E24" s="38" t="s">
        <v>236</v>
      </c>
      <c r="F24" s="46">
        <v>2069132.125</v>
      </c>
    </row>
    <row r="25" spans="1:6" ht="76.5" customHeight="1">
      <c r="A25" s="120" t="s">
        <v>467</v>
      </c>
      <c r="B25" s="89" t="s">
        <v>109</v>
      </c>
      <c r="C25" s="94" t="s">
        <v>228</v>
      </c>
      <c r="D25" s="71" t="s">
        <v>238</v>
      </c>
      <c r="E25" s="81" t="s">
        <v>240</v>
      </c>
      <c r="F25" s="46">
        <v>125875.27</v>
      </c>
    </row>
    <row r="26" spans="1:6">
      <c r="A26" s="86" t="s">
        <v>241</v>
      </c>
      <c r="B26" s="89" t="s">
        <v>109</v>
      </c>
      <c r="C26" s="71" t="s">
        <v>242</v>
      </c>
      <c r="D26" s="71" t="s">
        <v>243</v>
      </c>
      <c r="E26" s="81" t="s">
        <v>245</v>
      </c>
      <c r="F26" s="46">
        <v>458615.91</v>
      </c>
    </row>
    <row r="27" spans="1:6" ht="27" customHeight="1">
      <c r="A27" s="86" t="s">
        <v>267</v>
      </c>
      <c r="B27" s="89" t="s">
        <v>47</v>
      </c>
      <c r="C27" s="71" t="s">
        <v>223</v>
      </c>
      <c r="D27" s="71" t="s">
        <v>268</v>
      </c>
      <c r="E27" s="81" t="s">
        <v>271</v>
      </c>
      <c r="F27" s="46">
        <v>8581.82</v>
      </c>
    </row>
    <row r="28" spans="1:6" ht="27" customHeight="1">
      <c r="A28" s="126" t="s">
        <v>272</v>
      </c>
      <c r="B28" s="127" t="s">
        <v>273</v>
      </c>
      <c r="C28" s="129" t="s">
        <v>274</v>
      </c>
      <c r="D28" s="129" t="s">
        <v>275</v>
      </c>
      <c r="E28" s="130" t="s">
        <v>277</v>
      </c>
      <c r="F28" s="46">
        <v>382896.8</v>
      </c>
    </row>
    <row r="29" spans="1:6" ht="14.25" customHeight="1">
      <c r="A29" s="126" t="s">
        <v>278</v>
      </c>
      <c r="B29" s="127" t="s">
        <v>273</v>
      </c>
      <c r="C29" s="129" t="s">
        <v>279</v>
      </c>
      <c r="D29" s="129" t="s">
        <v>280</v>
      </c>
      <c r="E29" s="130" t="s">
        <v>282</v>
      </c>
      <c r="F29" s="46">
        <v>193823.77</v>
      </c>
    </row>
    <row r="30" spans="1:6" ht="30">
      <c r="A30" s="157" t="s">
        <v>468</v>
      </c>
      <c r="B30" s="127" t="s">
        <v>273</v>
      </c>
      <c r="C30" s="129" t="s">
        <v>284</v>
      </c>
      <c r="D30" s="129" t="s">
        <v>285</v>
      </c>
      <c r="E30" s="67" t="s">
        <v>287</v>
      </c>
      <c r="F30" s="46">
        <v>368690</v>
      </c>
    </row>
    <row r="31" spans="1:6" ht="18.75" customHeight="1">
      <c r="A31" s="157" t="s">
        <v>314</v>
      </c>
      <c r="B31" s="127" t="s">
        <v>273</v>
      </c>
      <c r="C31" s="129" t="s">
        <v>41</v>
      </c>
      <c r="D31" s="129" t="s">
        <v>315</v>
      </c>
      <c r="E31" s="38"/>
      <c r="F31" s="46">
        <v>34195</v>
      </c>
    </row>
    <row r="32" spans="1:6" ht="14.25" customHeight="1">
      <c r="A32" s="157" t="s">
        <v>318</v>
      </c>
      <c r="B32" s="127" t="s">
        <v>273</v>
      </c>
      <c r="C32" s="129" t="s">
        <v>319</v>
      </c>
      <c r="D32" s="129"/>
      <c r="E32" s="38"/>
      <c r="F32" s="46">
        <v>343318</v>
      </c>
    </row>
    <row r="33" spans="1:6" ht="27" customHeight="1">
      <c r="A33" s="86" t="s">
        <v>321</v>
      </c>
      <c r="B33" s="86" t="s">
        <v>322</v>
      </c>
      <c r="C33" s="49" t="s">
        <v>323</v>
      </c>
      <c r="D33" s="49" t="s">
        <v>324</v>
      </c>
      <c r="E33" s="84" t="s">
        <v>326</v>
      </c>
      <c r="F33" s="46">
        <v>1791326.86</v>
      </c>
    </row>
    <row r="34" spans="1:6" ht="45">
      <c r="A34" s="86" t="s">
        <v>469</v>
      </c>
      <c r="B34" s="86" t="s">
        <v>328</v>
      </c>
      <c r="C34" s="38" t="s">
        <v>334</v>
      </c>
      <c r="D34" s="38"/>
      <c r="E34" s="79"/>
      <c r="F34" s="46">
        <v>28500</v>
      </c>
    </row>
    <row r="35" spans="1:6" ht="41.25" customHeight="1">
      <c r="A35" s="86" t="s">
        <v>358</v>
      </c>
      <c r="B35" s="90" t="s">
        <v>328</v>
      </c>
      <c r="C35" s="49" t="s">
        <v>359</v>
      </c>
      <c r="D35" s="49" t="s">
        <v>360</v>
      </c>
      <c r="E35" s="69" t="s">
        <v>362</v>
      </c>
      <c r="F35" s="46">
        <v>36008</v>
      </c>
    </row>
    <row r="36" spans="1:6" ht="35.25" customHeight="1">
      <c r="A36" s="157" t="s">
        <v>381</v>
      </c>
      <c r="B36" s="157" t="s">
        <v>382</v>
      </c>
      <c r="C36" s="49" t="s">
        <v>383</v>
      </c>
      <c r="D36" s="49" t="s">
        <v>384</v>
      </c>
      <c r="E36" s="159" t="s">
        <v>386</v>
      </c>
      <c r="F36" s="46">
        <v>6000</v>
      </c>
    </row>
    <row r="37" spans="1:6" ht="14.25" customHeight="1">
      <c r="A37" s="157" t="s">
        <v>387</v>
      </c>
      <c r="B37" s="157" t="s">
        <v>382</v>
      </c>
      <c r="C37" s="49" t="s">
        <v>388</v>
      </c>
      <c r="D37" s="49"/>
      <c r="E37" s="38" t="s">
        <v>390</v>
      </c>
      <c r="F37" s="46">
        <v>1500</v>
      </c>
    </row>
    <row r="38" spans="1:6">
      <c r="A38" s="75" t="s">
        <v>406</v>
      </c>
      <c r="B38" s="36" t="s">
        <v>470</v>
      </c>
      <c r="C38" s="71" t="s">
        <v>408</v>
      </c>
      <c r="D38" s="71" t="s">
        <v>409</v>
      </c>
      <c r="E38" s="69" t="s">
        <v>411</v>
      </c>
      <c r="F38" s="46">
        <v>109582.18</v>
      </c>
    </row>
    <row r="39" spans="1:6">
      <c r="A39" s="165"/>
      <c r="B39" s="165"/>
      <c r="C39" s="165"/>
      <c r="D39" s="165"/>
      <c r="E39" s="165"/>
      <c r="F39" s="46"/>
    </row>
    <row r="40" spans="1:6">
      <c r="A40" s="171" t="s">
        <v>412</v>
      </c>
      <c r="B40" s="171"/>
      <c r="C40" s="171"/>
      <c r="D40" s="171"/>
      <c r="E40" s="171"/>
      <c r="F40" s="193">
        <f>SUM(F4:F38)</f>
        <v>18785488.715999998</v>
      </c>
    </row>
    <row r="41" spans="1:6">
      <c r="A41" s="165"/>
      <c r="B41" s="165"/>
      <c r="C41" s="165"/>
      <c r="D41" s="165"/>
      <c r="E41" s="165"/>
    </row>
    <row r="43" spans="1:6">
      <c r="A43" s="1" t="s">
        <v>7</v>
      </c>
      <c r="B43" s="1" t="s">
        <v>8</v>
      </c>
      <c r="C43" s="1" t="s">
        <v>9</v>
      </c>
      <c r="D43" s="1" t="s">
        <v>10</v>
      </c>
      <c r="E43" s="1" t="s">
        <v>15</v>
      </c>
      <c r="F43" s="31" t="s">
        <v>22</v>
      </c>
    </row>
    <row r="44" spans="1:6">
      <c r="A44" s="36" t="s">
        <v>39</v>
      </c>
      <c r="B44" s="36" t="s">
        <v>29</v>
      </c>
      <c r="C44" s="49" t="s">
        <v>37</v>
      </c>
      <c r="D44" s="49"/>
      <c r="E44" s="39"/>
      <c r="F44" s="46">
        <v>1589464.95</v>
      </c>
    </row>
    <row r="45" spans="1:6" ht="30">
      <c r="A45" s="57" t="s">
        <v>46</v>
      </c>
      <c r="B45" s="36" t="s">
        <v>47</v>
      </c>
      <c r="C45" s="49" t="s">
        <v>45</v>
      </c>
      <c r="D45" s="49" t="s">
        <v>48</v>
      </c>
      <c r="E45" s="49"/>
      <c r="F45" s="46">
        <v>999</v>
      </c>
    </row>
    <row r="46" spans="1:6" ht="60">
      <c r="A46" s="58" t="s">
        <v>49</v>
      </c>
      <c r="B46" s="36" t="s">
        <v>47</v>
      </c>
      <c r="C46" s="49" t="s">
        <v>41</v>
      </c>
      <c r="D46" s="49" t="s">
        <v>460</v>
      </c>
      <c r="E46" s="49" t="s">
        <v>51</v>
      </c>
      <c r="F46" s="46">
        <v>3525.03</v>
      </c>
    </row>
    <row r="47" spans="1:6">
      <c r="A47" s="36" t="s">
        <v>52</v>
      </c>
      <c r="B47" s="60" t="s">
        <v>53</v>
      </c>
      <c r="C47" s="49" t="s">
        <v>54</v>
      </c>
      <c r="D47" s="49" t="s">
        <v>461</v>
      </c>
      <c r="E47" s="64" t="s">
        <v>57</v>
      </c>
      <c r="F47" s="46">
        <v>63161</v>
      </c>
    </row>
    <row r="48" spans="1:6" ht="30">
      <c r="A48" s="86" t="s">
        <v>462</v>
      </c>
      <c r="B48" s="86" t="s">
        <v>115</v>
      </c>
      <c r="C48" s="49" t="s">
        <v>125</v>
      </c>
      <c r="D48" s="49" t="s">
        <v>463</v>
      </c>
      <c r="E48" s="38" t="s">
        <v>127</v>
      </c>
      <c r="F48" s="46">
        <v>67774</v>
      </c>
    </row>
    <row r="49" spans="1:6" ht="30">
      <c r="A49" s="89" t="s">
        <v>128</v>
      </c>
      <c r="B49" s="86" t="s">
        <v>115</v>
      </c>
      <c r="C49" s="49" t="s">
        <v>129</v>
      </c>
      <c r="D49" s="49" t="s">
        <v>130</v>
      </c>
      <c r="E49" s="49" t="s">
        <v>133</v>
      </c>
      <c r="F49" s="46">
        <v>77841.039999999994</v>
      </c>
    </row>
    <row r="50" spans="1:6" ht="30">
      <c r="A50" s="86" t="s">
        <v>134</v>
      </c>
      <c r="B50" s="86" t="s">
        <v>115</v>
      </c>
      <c r="C50" s="49" t="s">
        <v>135</v>
      </c>
      <c r="D50" s="49" t="s">
        <v>136</v>
      </c>
      <c r="E50" s="81" t="s">
        <v>138</v>
      </c>
      <c r="F50" s="46">
        <v>568923</v>
      </c>
    </row>
    <row r="51" spans="1:6" ht="60">
      <c r="A51" s="86" t="s">
        <v>144</v>
      </c>
      <c r="B51" s="86" t="s">
        <v>115</v>
      </c>
      <c r="C51" s="49" t="s">
        <v>145</v>
      </c>
      <c r="D51" s="102">
        <v>12859652000165</v>
      </c>
      <c r="E51" s="73" t="s">
        <v>147</v>
      </c>
      <c r="F51" s="46">
        <v>25220</v>
      </c>
    </row>
    <row r="52" spans="1:6">
      <c r="A52" s="86" t="s">
        <v>148</v>
      </c>
      <c r="B52" s="89" t="s">
        <v>115</v>
      </c>
      <c r="C52" s="94" t="s">
        <v>149</v>
      </c>
      <c r="D52" s="71" t="s">
        <v>150</v>
      </c>
      <c r="E52" s="68" t="s">
        <v>152</v>
      </c>
      <c r="F52" s="46">
        <v>2125</v>
      </c>
    </row>
    <row r="53" spans="1:6" ht="30">
      <c r="A53" s="86" t="s">
        <v>153</v>
      </c>
      <c r="B53" s="89" t="s">
        <v>115</v>
      </c>
      <c r="C53" s="71" t="s">
        <v>154</v>
      </c>
      <c r="D53" s="71" t="s">
        <v>155</v>
      </c>
      <c r="E53" s="67" t="s">
        <v>157</v>
      </c>
      <c r="F53" s="46">
        <v>1291844</v>
      </c>
    </row>
    <row r="54" spans="1:6" ht="45">
      <c r="A54" s="185" t="s">
        <v>453</v>
      </c>
      <c r="B54" s="86" t="s">
        <v>109</v>
      </c>
      <c r="C54" s="49" t="s">
        <v>168</v>
      </c>
      <c r="D54" s="49" t="s">
        <v>169</v>
      </c>
      <c r="E54" s="98" t="s">
        <v>171</v>
      </c>
      <c r="F54" s="46">
        <v>12640.77</v>
      </c>
    </row>
    <row r="55" spans="1:6" ht="45">
      <c r="A55" s="60" t="s">
        <v>172</v>
      </c>
      <c r="B55" s="89" t="s">
        <v>109</v>
      </c>
      <c r="C55" s="94" t="s">
        <v>110</v>
      </c>
      <c r="D55" s="71" t="s">
        <v>464</v>
      </c>
      <c r="E55" s="81" t="s">
        <v>175</v>
      </c>
      <c r="F55" s="46">
        <v>67008.02</v>
      </c>
    </row>
    <row r="56" spans="1:6">
      <c r="A56" s="75" t="s">
        <v>176</v>
      </c>
      <c r="B56" s="89" t="s">
        <v>109</v>
      </c>
      <c r="C56" s="114" t="s">
        <v>177</v>
      </c>
      <c r="D56" s="49" t="s">
        <v>178</v>
      </c>
      <c r="E56" s="81" t="s">
        <v>180</v>
      </c>
      <c r="F56" s="46">
        <v>24316.78</v>
      </c>
    </row>
    <row r="57" spans="1:6">
      <c r="A57" s="86" t="s">
        <v>181</v>
      </c>
      <c r="B57" s="89" t="s">
        <v>109</v>
      </c>
      <c r="C57" s="114" t="s">
        <v>182</v>
      </c>
      <c r="D57" s="49" t="s">
        <v>465</v>
      </c>
      <c r="E57" s="81" t="s">
        <v>185</v>
      </c>
      <c r="F57" s="46">
        <v>131667.49</v>
      </c>
    </row>
    <row r="58" spans="1:6" ht="30">
      <c r="A58" s="86" t="s">
        <v>190</v>
      </c>
      <c r="B58" s="89" t="s">
        <v>109</v>
      </c>
      <c r="C58" s="114" t="s">
        <v>191</v>
      </c>
      <c r="D58" s="49" t="s">
        <v>192</v>
      </c>
      <c r="E58" s="81" t="s">
        <v>194</v>
      </c>
      <c r="F58" s="46">
        <v>183316.03</v>
      </c>
    </row>
    <row r="59" spans="1:6">
      <c r="A59" s="75" t="s">
        <v>203</v>
      </c>
      <c r="B59" s="89" t="s">
        <v>109</v>
      </c>
      <c r="C59" s="94" t="s">
        <v>204</v>
      </c>
      <c r="D59" s="71" t="s">
        <v>205</v>
      </c>
      <c r="E59" s="81" t="s">
        <v>207</v>
      </c>
      <c r="F59" s="46">
        <v>2385193</v>
      </c>
    </row>
    <row r="60" spans="1:6">
      <c r="A60" s="86" t="s">
        <v>208</v>
      </c>
      <c r="B60" s="89" t="s">
        <v>109</v>
      </c>
      <c r="C60" s="94" t="s">
        <v>209</v>
      </c>
      <c r="D60" s="71" t="s">
        <v>210</v>
      </c>
      <c r="E60" s="81" t="s">
        <v>212</v>
      </c>
      <c r="F60" s="46">
        <v>2117878.59</v>
      </c>
    </row>
    <row r="61" spans="1:6" ht="30">
      <c r="A61" s="75" t="s">
        <v>213</v>
      </c>
      <c r="B61" s="89" t="s">
        <v>109</v>
      </c>
      <c r="C61" s="94" t="s">
        <v>214</v>
      </c>
      <c r="D61" s="71" t="s">
        <v>215</v>
      </c>
      <c r="E61" s="81" t="s">
        <v>217</v>
      </c>
      <c r="F61" s="46">
        <v>1238298.95</v>
      </c>
    </row>
    <row r="62" spans="1:6" ht="15" customHeight="1">
      <c r="A62" s="171" t="s">
        <v>412</v>
      </c>
      <c r="B62" s="171"/>
      <c r="C62" s="171"/>
      <c r="D62" s="171"/>
      <c r="E62" s="171"/>
      <c r="F62" s="193">
        <f>SUM(F44:F61)</f>
        <v>9851196.6499999985</v>
      </c>
    </row>
    <row r="65" spans="1:6" ht="15" customHeight="1">
      <c r="A65" s="1" t="s">
        <v>7</v>
      </c>
      <c r="B65" s="1" t="s">
        <v>8</v>
      </c>
      <c r="C65" s="1" t="s">
        <v>9</v>
      </c>
      <c r="D65" s="1" t="s">
        <v>10</v>
      </c>
      <c r="E65" s="1" t="s">
        <v>15</v>
      </c>
      <c r="F65" s="31" t="s">
        <v>22</v>
      </c>
    </row>
    <row r="66" spans="1:6" ht="30">
      <c r="A66" s="75" t="s">
        <v>218</v>
      </c>
      <c r="B66" s="89" t="s">
        <v>109</v>
      </c>
      <c r="C66" s="94" t="s">
        <v>219</v>
      </c>
      <c r="D66" s="71" t="s">
        <v>215</v>
      </c>
      <c r="E66" s="81" t="s">
        <v>221</v>
      </c>
      <c r="F66" s="46">
        <v>236438.33100000001</v>
      </c>
    </row>
    <row r="67" spans="1:6" ht="60">
      <c r="A67" s="120" t="s">
        <v>466</v>
      </c>
      <c r="B67" s="89" t="s">
        <v>109</v>
      </c>
      <c r="C67" s="94" t="s">
        <v>228</v>
      </c>
      <c r="D67" s="71" t="s">
        <v>229</v>
      </c>
      <c r="E67" s="81" t="s">
        <v>231</v>
      </c>
      <c r="F67" s="46">
        <v>2739808</v>
      </c>
    </row>
    <row r="68" spans="1:6">
      <c r="A68" s="75" t="s">
        <v>232</v>
      </c>
      <c r="B68" s="89" t="s">
        <v>109</v>
      </c>
      <c r="C68" s="94" t="s">
        <v>233</v>
      </c>
      <c r="D68" s="71" t="s">
        <v>229</v>
      </c>
      <c r="E68" s="38" t="s">
        <v>236</v>
      </c>
      <c r="F68" s="46">
        <v>2069132.125</v>
      </c>
    </row>
    <row r="69" spans="1:6" ht="60">
      <c r="A69" s="120" t="s">
        <v>467</v>
      </c>
      <c r="B69" s="89" t="s">
        <v>109</v>
      </c>
      <c r="C69" s="94" t="s">
        <v>228</v>
      </c>
      <c r="D69" s="71" t="s">
        <v>238</v>
      </c>
      <c r="E69" s="81" t="s">
        <v>240</v>
      </c>
      <c r="F69" s="46">
        <v>125875.27</v>
      </c>
    </row>
    <row r="70" spans="1:6">
      <c r="A70" s="86" t="s">
        <v>241</v>
      </c>
      <c r="B70" s="89" t="s">
        <v>109</v>
      </c>
      <c r="C70" s="71" t="s">
        <v>242</v>
      </c>
      <c r="D70" s="71" t="s">
        <v>243</v>
      </c>
      <c r="E70" s="81" t="s">
        <v>245</v>
      </c>
      <c r="F70" s="46">
        <v>458615.91</v>
      </c>
    </row>
    <row r="71" spans="1:6" ht="30">
      <c r="A71" s="86" t="s">
        <v>267</v>
      </c>
      <c r="B71" s="89" t="s">
        <v>47</v>
      </c>
      <c r="C71" s="71" t="s">
        <v>223</v>
      </c>
      <c r="D71" s="71" t="s">
        <v>268</v>
      </c>
      <c r="E71" s="81" t="s">
        <v>271</v>
      </c>
      <c r="F71" s="46">
        <v>8581.82</v>
      </c>
    </row>
    <row r="72" spans="1:6" ht="30">
      <c r="A72" s="126" t="s">
        <v>272</v>
      </c>
      <c r="B72" s="127" t="s">
        <v>273</v>
      </c>
      <c r="C72" s="129" t="s">
        <v>274</v>
      </c>
      <c r="D72" s="129" t="s">
        <v>275</v>
      </c>
      <c r="E72" s="130" t="s">
        <v>277</v>
      </c>
      <c r="F72" s="46">
        <v>382896.8</v>
      </c>
    </row>
    <row r="73" spans="1:6">
      <c r="A73" s="126" t="s">
        <v>278</v>
      </c>
      <c r="B73" s="127" t="s">
        <v>273</v>
      </c>
      <c r="C73" s="129" t="s">
        <v>279</v>
      </c>
      <c r="D73" s="129" t="s">
        <v>280</v>
      </c>
      <c r="E73" s="130" t="s">
        <v>282</v>
      </c>
      <c r="F73" s="46">
        <v>193823.77</v>
      </c>
    </row>
    <row r="74" spans="1:6" ht="30">
      <c r="A74" s="157" t="s">
        <v>468</v>
      </c>
      <c r="B74" s="127" t="s">
        <v>273</v>
      </c>
      <c r="C74" s="129" t="s">
        <v>284</v>
      </c>
      <c r="D74" s="129" t="s">
        <v>285</v>
      </c>
      <c r="E74" s="67" t="s">
        <v>287</v>
      </c>
      <c r="F74" s="46">
        <v>368690</v>
      </c>
    </row>
    <row r="75" spans="1:6">
      <c r="A75" s="157" t="s">
        <v>314</v>
      </c>
      <c r="B75" s="127" t="s">
        <v>273</v>
      </c>
      <c r="C75" s="129" t="s">
        <v>41</v>
      </c>
      <c r="D75" s="129" t="s">
        <v>315</v>
      </c>
      <c r="E75" s="38"/>
      <c r="F75" s="46">
        <v>34195</v>
      </c>
    </row>
    <row r="76" spans="1:6">
      <c r="A76" s="157" t="s">
        <v>318</v>
      </c>
      <c r="B76" s="127" t="s">
        <v>273</v>
      </c>
      <c r="C76" s="129" t="s">
        <v>319</v>
      </c>
      <c r="D76" s="129"/>
      <c r="E76" s="38"/>
      <c r="F76" s="46">
        <v>343318</v>
      </c>
    </row>
    <row r="77" spans="1:6" ht="30">
      <c r="A77" s="86" t="s">
        <v>321</v>
      </c>
      <c r="B77" s="86" t="s">
        <v>322</v>
      </c>
      <c r="C77" s="49" t="s">
        <v>323</v>
      </c>
      <c r="D77" s="49" t="s">
        <v>324</v>
      </c>
      <c r="E77" s="84" t="s">
        <v>326</v>
      </c>
      <c r="F77" s="46">
        <v>1791326.86</v>
      </c>
    </row>
    <row r="78" spans="1:6" ht="45">
      <c r="A78" s="86" t="s">
        <v>469</v>
      </c>
      <c r="B78" s="86" t="s">
        <v>328</v>
      </c>
      <c r="C78" s="38" t="s">
        <v>334</v>
      </c>
      <c r="D78" s="38"/>
      <c r="E78" s="79"/>
      <c r="F78" s="46">
        <v>28500</v>
      </c>
    </row>
    <row r="79" spans="1:6" ht="45">
      <c r="A79" s="86" t="s">
        <v>358</v>
      </c>
      <c r="B79" s="90" t="s">
        <v>328</v>
      </c>
      <c r="C79" s="49" t="s">
        <v>359</v>
      </c>
      <c r="D79" s="49" t="s">
        <v>360</v>
      </c>
      <c r="E79" s="69" t="s">
        <v>362</v>
      </c>
      <c r="F79" s="46">
        <v>36008</v>
      </c>
    </row>
    <row r="80" spans="1:6" ht="30">
      <c r="A80" s="157" t="s">
        <v>381</v>
      </c>
      <c r="B80" s="157" t="s">
        <v>382</v>
      </c>
      <c r="C80" s="49" t="s">
        <v>383</v>
      </c>
      <c r="D80" s="49" t="s">
        <v>384</v>
      </c>
      <c r="E80" s="159" t="s">
        <v>386</v>
      </c>
      <c r="F80" s="46">
        <v>6000</v>
      </c>
    </row>
    <row r="81" spans="1:6">
      <c r="A81" s="157" t="s">
        <v>387</v>
      </c>
      <c r="B81" s="157" t="s">
        <v>382</v>
      </c>
      <c r="C81" s="49" t="s">
        <v>388</v>
      </c>
      <c r="D81" s="49"/>
      <c r="E81" s="38" t="s">
        <v>390</v>
      </c>
      <c r="F81" s="46">
        <v>1500</v>
      </c>
    </row>
    <row r="82" spans="1:6">
      <c r="A82" s="75" t="s">
        <v>406</v>
      </c>
      <c r="B82" s="36" t="s">
        <v>470</v>
      </c>
      <c r="C82" s="71" t="s">
        <v>408</v>
      </c>
      <c r="D82" s="71" t="s">
        <v>409</v>
      </c>
      <c r="E82" s="69" t="s">
        <v>411</v>
      </c>
      <c r="F82" s="46">
        <v>109582.18</v>
      </c>
    </row>
    <row r="83" spans="1:6" ht="15" customHeight="1">
      <c r="A83" s="171" t="s">
        <v>412</v>
      </c>
      <c r="B83" s="171"/>
      <c r="C83" s="171"/>
      <c r="D83" s="171"/>
      <c r="E83" s="171"/>
      <c r="F83" s="193">
        <f>SUM(F66:F82)</f>
        <v>8934292.0659999996</v>
      </c>
    </row>
  </sheetData>
  <autoFilter ref="A3:E38" xr:uid="{00000000-0009-0000-0000-000004000000}"/>
  <conditionalFormatting sqref="E24">
    <cfRule type="cellIs" dxfId="51" priority="2" operator="equal">
      <formula>"EXPIRADO"</formula>
    </cfRule>
    <cfRule type="cellIs" dxfId="50" priority="3" operator="equal">
      <formula>"NO PRAZO"</formula>
    </cfRule>
    <cfRule type="cellIs" dxfId="49" priority="4" operator="equal">
      <formula>"EM BREVE"</formula>
    </cfRule>
    <cfRule type="cellIs" dxfId="48" priority="5" operator="equal">
      <formula>0</formula>
    </cfRule>
  </conditionalFormatting>
  <conditionalFormatting sqref="E68">
    <cfRule type="cellIs" dxfId="47" priority="6" operator="equal">
      <formula>"EXPIRADO"</formula>
    </cfRule>
    <cfRule type="cellIs" dxfId="46" priority="7" operator="equal">
      <formula>"NO PRAZO"</formula>
    </cfRule>
    <cfRule type="cellIs" dxfId="45" priority="8" operator="equal">
      <formula>"EM BREVE"</formula>
    </cfRule>
    <cfRule type="cellIs" dxfId="44" priority="9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9694"/>
  </sheetPr>
  <dimension ref="A1:XCS97"/>
  <sheetViews>
    <sheetView zoomScale="85" zoomScaleNormal="85" workbookViewId="0">
      <pane xSplit="4" ySplit="3" topLeftCell="E4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4.5" style="12" hidden="1" customWidth="1"/>
    <col min="4" max="4" width="19.1640625" style="12" customWidth="1"/>
    <col min="5" max="5" width="24.33203125" style="12" customWidth="1"/>
    <col min="6" max="6" width="26.1640625" style="12" hidden="1" customWidth="1"/>
    <col min="7" max="7" width="16.33203125" style="12" hidden="1" customWidth="1"/>
    <col min="8" max="8" width="13" style="12" hidden="1" customWidth="1"/>
    <col min="9" max="9" width="17.1640625" style="12" hidden="1" customWidth="1"/>
    <col min="10" max="10" width="12.33203125" style="12" customWidth="1"/>
    <col min="11" max="11" width="14.6640625" style="13" hidden="1" customWidth="1"/>
    <col min="12" max="12" width="15.33203125" style="14" hidden="1" customWidth="1"/>
    <col min="13" max="13" width="14.33203125" style="13" hidden="1" customWidth="1"/>
    <col min="14" max="14" width="15.1640625" style="13" hidden="1" customWidth="1"/>
    <col min="15" max="15" width="17" style="11" hidden="1" customWidth="1"/>
    <col min="16" max="16" width="15.5" style="11" hidden="1" customWidth="1"/>
    <col min="17" max="18" width="13.6640625" style="11" hidden="1" customWidth="1"/>
    <col min="19" max="22" width="13.6640625" style="15" hidden="1" customWidth="1"/>
    <col min="23" max="23" width="15.33203125" style="16" hidden="1" customWidth="1"/>
    <col min="24" max="25" width="13.6640625" style="15" hidden="1" customWidth="1"/>
    <col min="26" max="26" width="16.6640625" style="17" customWidth="1"/>
    <col min="27" max="16321" width="9.1640625" style="11"/>
    <col min="16322" max="16384" width="11.5" customWidth="1"/>
  </cols>
  <sheetData>
    <row r="1" spans="1:26" ht="18">
      <c r="A1" s="20" t="s">
        <v>0</v>
      </c>
      <c r="B1" s="21"/>
      <c r="D1" s="21"/>
      <c r="K1" s="22"/>
      <c r="M1" s="23"/>
      <c r="N1" s="24"/>
      <c r="O1" s="25"/>
      <c r="T1" s="19"/>
      <c r="U1" s="19"/>
    </row>
    <row r="2" spans="1:26" ht="18.75" customHeight="1">
      <c r="B2" s="21"/>
      <c r="K2" s="22"/>
      <c r="L2" s="27"/>
      <c r="M2" s="23"/>
      <c r="O2" s="25"/>
    </row>
    <row r="3" spans="1:26" ht="45">
      <c r="A3" s="1" t="s">
        <v>7</v>
      </c>
      <c r="B3" s="1" t="s">
        <v>8</v>
      </c>
      <c r="C3" s="1" t="s">
        <v>413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29" t="s">
        <v>16</v>
      </c>
      <c r="L3" s="30" t="s">
        <v>17</v>
      </c>
      <c r="M3" s="31" t="s">
        <v>18</v>
      </c>
      <c r="N3" s="31" t="s">
        <v>19</v>
      </c>
      <c r="O3" s="31" t="s">
        <v>20</v>
      </c>
      <c r="P3" s="32" t="s">
        <v>21</v>
      </c>
      <c r="Q3" s="31">
        <v>45658</v>
      </c>
      <c r="R3" s="31">
        <v>45689</v>
      </c>
      <c r="S3" s="31">
        <v>45717</v>
      </c>
      <c r="T3" s="31">
        <v>45748</v>
      </c>
      <c r="U3" s="31">
        <v>45778</v>
      </c>
      <c r="V3" s="31">
        <v>45809</v>
      </c>
      <c r="W3" s="31">
        <v>45839</v>
      </c>
      <c r="X3" s="31">
        <v>45870</v>
      </c>
      <c r="Y3" s="31">
        <v>45901</v>
      </c>
      <c r="Z3" s="31" t="s">
        <v>22</v>
      </c>
    </row>
    <row r="4" spans="1:26" ht="27" customHeight="1">
      <c r="A4" s="36" t="s">
        <v>39</v>
      </c>
      <c r="B4" s="36" t="s">
        <v>29</v>
      </c>
      <c r="C4" s="37">
        <v>1</v>
      </c>
      <c r="D4" s="49" t="s">
        <v>37</v>
      </c>
      <c r="E4" s="49"/>
      <c r="F4" s="39"/>
      <c r="G4" s="39"/>
      <c r="H4" s="40"/>
      <c r="I4" s="40"/>
      <c r="J4" s="39"/>
      <c r="K4" s="43">
        <v>810000</v>
      </c>
      <c r="L4" s="42"/>
      <c r="M4" s="43">
        <f>K4*12</f>
        <v>9720000</v>
      </c>
      <c r="N4" s="59">
        <v>0</v>
      </c>
      <c r="O4" s="50">
        <v>0</v>
      </c>
      <c r="P4" s="9">
        <f t="shared" ref="P4:P11" si="0">SUM(N4:O4)</f>
        <v>0</v>
      </c>
      <c r="Q4" s="10"/>
      <c r="R4" s="10"/>
      <c r="S4" s="45"/>
      <c r="T4" s="53"/>
      <c r="U4" s="10">
        <f>810000-556810</f>
        <v>253190</v>
      </c>
      <c r="V4" s="10">
        <f>K4</f>
        <v>810000</v>
      </c>
      <c r="W4" s="10">
        <f>K4</f>
        <v>810000</v>
      </c>
      <c r="X4" s="10">
        <f>K4</f>
        <v>810000</v>
      </c>
      <c r="Y4" s="10">
        <f>K4</f>
        <v>810000</v>
      </c>
      <c r="Z4" s="46">
        <f>SUM(W4:Y4)+101000</f>
        <v>2531000</v>
      </c>
    </row>
    <row r="5" spans="1:26" ht="27" customHeight="1">
      <c r="A5" s="96" t="s">
        <v>128</v>
      </c>
      <c r="B5" s="86" t="s">
        <v>115</v>
      </c>
      <c r="C5" s="76">
        <v>2</v>
      </c>
      <c r="D5" s="49" t="s">
        <v>129</v>
      </c>
      <c r="E5" s="49" t="s">
        <v>130</v>
      </c>
      <c r="F5" s="38" t="s">
        <v>131</v>
      </c>
      <c r="G5" s="68">
        <v>45980</v>
      </c>
      <c r="H5" s="63" t="str">
        <f t="shared" ref="H5:H11" ca="1" si="1">IF((G5-TODAY())&lt;0,"EXPIRADO", IF((G5-TODAY())&lt;=60,"EM BREVE","NO PRAZO"))</f>
        <v>EM BREVE</v>
      </c>
      <c r="I5" s="38"/>
      <c r="J5" s="49" t="s">
        <v>133</v>
      </c>
      <c r="K5" s="10">
        <f>M5/12</f>
        <v>65625.02</v>
      </c>
      <c r="L5" s="80"/>
      <c r="M5" s="10">
        <v>787500.24</v>
      </c>
      <c r="N5" s="3">
        <v>55376.88</v>
      </c>
      <c r="O5" s="3">
        <v>5443</v>
      </c>
      <c r="P5" s="9">
        <f t="shared" si="0"/>
        <v>60819.88</v>
      </c>
      <c r="Q5" s="45"/>
      <c r="R5" s="45"/>
      <c r="S5" s="53"/>
      <c r="T5" s="53"/>
      <c r="U5" s="10">
        <f>K5-P5</f>
        <v>4805.1400000000067</v>
      </c>
      <c r="V5" s="10">
        <f>K5-60820</f>
        <v>4805.0200000000041</v>
      </c>
      <c r="W5" s="10">
        <f>K5-60820</f>
        <v>4805.0200000000041</v>
      </c>
      <c r="X5" s="10">
        <f>K5</f>
        <v>65625.02</v>
      </c>
      <c r="Y5" s="70"/>
      <c r="Z5" s="46">
        <f t="shared" ref="Z5:Z13" si="2">SUM(W5:Y5)</f>
        <v>70430.040000000008</v>
      </c>
    </row>
    <row r="6" spans="1:26" ht="48.75" customHeight="1">
      <c r="A6" s="87" t="s">
        <v>134</v>
      </c>
      <c r="B6" s="86" t="s">
        <v>115</v>
      </c>
      <c r="C6" s="76">
        <v>2</v>
      </c>
      <c r="D6" s="49" t="s">
        <v>135</v>
      </c>
      <c r="E6" s="49" t="s">
        <v>136</v>
      </c>
      <c r="F6" s="81" t="s">
        <v>137</v>
      </c>
      <c r="G6" s="68">
        <v>45866</v>
      </c>
      <c r="H6" s="63" t="str">
        <f t="shared" ca="1" si="1"/>
        <v>EXPIRADO</v>
      </c>
      <c r="I6" s="38" t="s">
        <v>471</v>
      </c>
      <c r="J6" s="81" t="s">
        <v>138</v>
      </c>
      <c r="K6" s="10">
        <v>298000</v>
      </c>
      <c r="L6" s="80"/>
      <c r="M6" s="10">
        <v>3119907.74</v>
      </c>
      <c r="N6" s="10">
        <v>271060.23</v>
      </c>
      <c r="O6" s="3">
        <v>0</v>
      </c>
      <c r="P6" s="9">
        <f t="shared" si="0"/>
        <v>271060.23</v>
      </c>
      <c r="Q6" s="45"/>
      <c r="R6" s="70"/>
      <c r="S6" s="45"/>
      <c r="T6" s="51">
        <f>291576.42-21573</f>
        <v>270003.42</v>
      </c>
      <c r="U6" s="10">
        <f>K6-P6</f>
        <v>26939.770000000019</v>
      </c>
      <c r="V6" s="10">
        <f>K6</f>
        <v>298000</v>
      </c>
      <c r="W6" s="65">
        <f>K6-271060</f>
        <v>26940</v>
      </c>
      <c r="X6" s="10"/>
      <c r="Y6" s="70"/>
      <c r="Z6" s="46">
        <f t="shared" si="2"/>
        <v>26940</v>
      </c>
    </row>
    <row r="7" spans="1:26" ht="36" customHeight="1">
      <c r="A7" s="87" t="s">
        <v>139</v>
      </c>
      <c r="B7" s="86" t="s">
        <v>115</v>
      </c>
      <c r="C7" s="76">
        <v>2</v>
      </c>
      <c r="D7" s="81" t="s">
        <v>140</v>
      </c>
      <c r="E7" s="81" t="s">
        <v>141</v>
      </c>
      <c r="F7" s="81" t="s">
        <v>142</v>
      </c>
      <c r="G7" s="68">
        <v>46062</v>
      </c>
      <c r="H7" s="63" t="str">
        <f t="shared" ca="1" si="1"/>
        <v>NO PRAZO</v>
      </c>
      <c r="I7" s="38"/>
      <c r="J7" s="73" t="s">
        <v>143</v>
      </c>
      <c r="K7" s="10">
        <v>90000</v>
      </c>
      <c r="L7" s="80"/>
      <c r="M7" s="10">
        <f>K7*12</f>
        <v>1080000</v>
      </c>
      <c r="N7" s="3">
        <v>116120.9</v>
      </c>
      <c r="O7" s="3">
        <v>0</v>
      </c>
      <c r="P7" s="9">
        <f t="shared" si="0"/>
        <v>116120.9</v>
      </c>
      <c r="Q7" s="10"/>
      <c r="R7" s="65"/>
      <c r="S7" s="45"/>
      <c r="T7" s="53"/>
      <c r="U7" s="53"/>
      <c r="V7" s="53"/>
      <c r="W7" s="53"/>
      <c r="X7" s="10">
        <f>90000-26121</f>
        <v>63879</v>
      </c>
      <c r="Y7" s="70">
        <f>K7</f>
        <v>90000</v>
      </c>
      <c r="Z7" s="46">
        <f t="shared" si="2"/>
        <v>153879</v>
      </c>
    </row>
    <row r="8" spans="1:26" ht="54.75" customHeight="1">
      <c r="A8" s="86" t="s">
        <v>167</v>
      </c>
      <c r="B8" s="86" t="s">
        <v>109</v>
      </c>
      <c r="C8" s="76">
        <v>2</v>
      </c>
      <c r="D8" s="49" t="s">
        <v>168</v>
      </c>
      <c r="E8" s="49" t="s">
        <v>169</v>
      </c>
      <c r="F8" s="38" t="s">
        <v>170</v>
      </c>
      <c r="G8" s="111">
        <v>46127</v>
      </c>
      <c r="H8" s="63" t="str">
        <f t="shared" ca="1" si="1"/>
        <v>NO PRAZO</v>
      </c>
      <c r="I8" s="38"/>
      <c r="J8" s="98" t="s">
        <v>171</v>
      </c>
      <c r="K8" s="10"/>
      <c r="L8" s="80">
        <f>12640.77</f>
        <v>12640.77</v>
      </c>
      <c r="M8" s="10">
        <f>L8*12</f>
        <v>151689.24</v>
      </c>
      <c r="N8" s="3">
        <v>0</v>
      </c>
      <c r="O8" s="3">
        <v>0</v>
      </c>
      <c r="P8" s="9">
        <f t="shared" si="0"/>
        <v>0</v>
      </c>
      <c r="Q8" s="10"/>
      <c r="R8" s="10"/>
      <c r="S8" s="45"/>
      <c r="T8" s="45"/>
      <c r="U8" s="10">
        <f>L8-536</f>
        <v>12104.77</v>
      </c>
      <c r="V8" s="53"/>
      <c r="W8" s="10">
        <f>L8</f>
        <v>12640.77</v>
      </c>
      <c r="X8" s="10">
        <f>L8</f>
        <v>12640.77</v>
      </c>
      <c r="Y8" s="70">
        <f>L8</f>
        <v>12640.77</v>
      </c>
      <c r="Z8" s="46">
        <f t="shared" si="2"/>
        <v>37922.31</v>
      </c>
    </row>
    <row r="9" spans="1:26">
      <c r="A9" s="75" t="s">
        <v>176</v>
      </c>
      <c r="B9" s="89" t="s">
        <v>109</v>
      </c>
      <c r="C9" s="93">
        <v>1</v>
      </c>
      <c r="D9" s="114" t="s">
        <v>177</v>
      </c>
      <c r="E9" s="49" t="s">
        <v>178</v>
      </c>
      <c r="F9" s="81" t="s">
        <v>179</v>
      </c>
      <c r="G9" s="68">
        <v>46131</v>
      </c>
      <c r="H9" s="63" t="str">
        <f t="shared" ca="1" si="1"/>
        <v>NO PRAZO</v>
      </c>
      <c r="I9" s="38"/>
      <c r="J9" s="81" t="s">
        <v>180</v>
      </c>
      <c r="K9" s="10"/>
      <c r="L9" s="80">
        <f>M9/12</f>
        <v>24316.78</v>
      </c>
      <c r="M9" s="10">
        <v>291801.36</v>
      </c>
      <c r="N9" s="3">
        <v>50982.01</v>
      </c>
      <c r="O9" s="3">
        <v>0</v>
      </c>
      <c r="P9" s="9">
        <f t="shared" si="0"/>
        <v>50982.01</v>
      </c>
      <c r="Q9" s="45"/>
      <c r="R9" s="10"/>
      <c r="S9" s="10">
        <v>865.66</v>
      </c>
      <c r="T9" s="65">
        <f>L9-2497</f>
        <v>21819.78</v>
      </c>
      <c r="U9" s="10">
        <f>L9-22360</f>
        <v>1956.7799999999988</v>
      </c>
      <c r="V9" s="10">
        <f>L9</f>
        <v>24316.78</v>
      </c>
      <c r="W9" s="53"/>
      <c r="X9" s="53"/>
      <c r="Y9" s="70">
        <f>L9-2348</f>
        <v>21968.78</v>
      </c>
      <c r="Z9" s="46">
        <f t="shared" si="2"/>
        <v>21968.78</v>
      </c>
    </row>
    <row r="10" spans="1:26" ht="76.5" customHeight="1">
      <c r="A10" s="86" t="s">
        <v>181</v>
      </c>
      <c r="B10" s="89" t="s">
        <v>109</v>
      </c>
      <c r="C10" s="93">
        <v>1</v>
      </c>
      <c r="D10" s="114" t="s">
        <v>182</v>
      </c>
      <c r="E10" s="49" t="s">
        <v>472</v>
      </c>
      <c r="F10" s="81" t="s">
        <v>183</v>
      </c>
      <c r="G10" s="68">
        <v>45929</v>
      </c>
      <c r="H10" s="63" t="str">
        <f t="shared" ca="1" si="1"/>
        <v>EXPIRADO</v>
      </c>
      <c r="I10" s="38" t="s">
        <v>473</v>
      </c>
      <c r="J10" s="81" t="s">
        <v>185</v>
      </c>
      <c r="K10" s="10"/>
      <c r="L10" s="80">
        <v>131667.49</v>
      </c>
      <c r="M10" s="10">
        <f>L10*12</f>
        <v>1580009.88</v>
      </c>
      <c r="N10" s="3">
        <v>264774.55</v>
      </c>
      <c r="O10" s="3">
        <v>0</v>
      </c>
      <c r="P10" s="9">
        <f t="shared" si="0"/>
        <v>264774.55</v>
      </c>
      <c r="Q10" s="45"/>
      <c r="R10" s="10"/>
      <c r="S10" s="45"/>
      <c r="T10" s="10">
        <v>131667</v>
      </c>
      <c r="U10" s="45"/>
      <c r="V10" s="10">
        <f>L10</f>
        <v>131667.49</v>
      </c>
      <c r="W10" s="53"/>
      <c r="X10" s="53"/>
      <c r="Y10" s="70">
        <f>L10</f>
        <v>131667.49</v>
      </c>
      <c r="Z10" s="46">
        <f t="shared" si="2"/>
        <v>131667.49</v>
      </c>
    </row>
    <row r="11" spans="1:26" ht="38.25" customHeight="1">
      <c r="A11" s="86" t="s">
        <v>190</v>
      </c>
      <c r="B11" s="89" t="s">
        <v>109</v>
      </c>
      <c r="C11" s="93">
        <v>1</v>
      </c>
      <c r="D11" s="114" t="s">
        <v>191</v>
      </c>
      <c r="E11" s="49" t="s">
        <v>192</v>
      </c>
      <c r="F11" s="81" t="s">
        <v>193</v>
      </c>
      <c r="G11" s="68">
        <v>45745</v>
      </c>
      <c r="H11" s="63" t="str">
        <f t="shared" ca="1" si="1"/>
        <v>EXPIRADO</v>
      </c>
      <c r="I11" s="38" t="s">
        <v>474</v>
      </c>
      <c r="J11" s="81" t="s">
        <v>194</v>
      </c>
      <c r="K11" s="10"/>
      <c r="L11" s="80">
        <v>183316.03</v>
      </c>
      <c r="M11" s="10">
        <f>L11*12</f>
        <v>2199792.36</v>
      </c>
      <c r="N11" s="3">
        <v>183316.03</v>
      </c>
      <c r="O11" s="3">
        <v>0</v>
      </c>
      <c r="P11" s="9">
        <f t="shared" si="0"/>
        <v>183316.03</v>
      </c>
      <c r="Q11" s="45"/>
      <c r="R11" s="10"/>
      <c r="S11" s="65">
        <f>L11-P11</f>
        <v>0</v>
      </c>
      <c r="T11" s="10">
        <f>L11</f>
        <v>183316.03</v>
      </c>
      <c r="U11" s="45"/>
      <c r="V11" s="53"/>
      <c r="W11" s="53"/>
      <c r="X11" s="10">
        <f>L11</f>
        <v>183316.03</v>
      </c>
      <c r="Y11" s="70">
        <f>L11</f>
        <v>183316.03</v>
      </c>
      <c r="Z11" s="46">
        <f t="shared" si="2"/>
        <v>366632.06</v>
      </c>
    </row>
    <row r="12" spans="1:26" ht="37.5" customHeight="1">
      <c r="A12" s="87" t="s">
        <v>475</v>
      </c>
      <c r="B12" s="89" t="s">
        <v>109</v>
      </c>
      <c r="C12" s="93">
        <v>1</v>
      </c>
      <c r="D12" s="114" t="s">
        <v>191</v>
      </c>
      <c r="E12" s="49"/>
      <c r="F12" s="81" t="s">
        <v>476</v>
      </c>
      <c r="G12" s="68"/>
      <c r="H12" s="63"/>
      <c r="I12" s="63"/>
      <c r="J12" s="81"/>
      <c r="K12" s="10"/>
      <c r="L12" s="80"/>
      <c r="M12" s="10"/>
      <c r="N12" s="3"/>
      <c r="O12" s="3"/>
      <c r="P12" s="9"/>
      <c r="Q12" s="10"/>
      <c r="R12" s="10"/>
      <c r="S12" s="10"/>
      <c r="T12" s="10"/>
      <c r="U12" s="10"/>
      <c r="V12" s="10"/>
      <c r="W12" s="10"/>
      <c r="X12" s="10"/>
      <c r="Y12" s="70"/>
      <c r="Z12" s="46">
        <f t="shared" si="2"/>
        <v>0</v>
      </c>
    </row>
    <row r="13" spans="1:26" ht="41.25" customHeight="1">
      <c r="A13" s="89" t="s">
        <v>198</v>
      </c>
      <c r="B13" s="86" t="s">
        <v>109</v>
      </c>
      <c r="C13" s="76">
        <v>1</v>
      </c>
      <c r="D13" s="67" t="s">
        <v>199</v>
      </c>
      <c r="E13" s="67" t="s">
        <v>200</v>
      </c>
      <c r="F13" s="81" t="s">
        <v>201</v>
      </c>
      <c r="G13" s="111">
        <v>45902</v>
      </c>
      <c r="H13" s="63" t="str">
        <f t="shared" ref="H13:H28" ca="1" si="3">IF((G13-TODAY())&lt;0,"EXPIRADO", IF((G13-TODAY())&lt;=60,"EM BREVE","NO PRAZO"))</f>
        <v>EXPIRADO</v>
      </c>
      <c r="I13" s="38"/>
      <c r="J13" s="81" t="s">
        <v>202</v>
      </c>
      <c r="K13" s="10"/>
      <c r="L13" s="80">
        <v>117871.46</v>
      </c>
      <c r="M13" s="10">
        <f>L13*12</f>
        <v>1414457.52</v>
      </c>
      <c r="N13" s="10">
        <v>235742.92</v>
      </c>
      <c r="O13" s="3">
        <v>0</v>
      </c>
      <c r="P13" s="9">
        <f t="shared" ref="P13:P35" si="4">SUM(N13:O13)</f>
        <v>235742.92</v>
      </c>
      <c r="Q13" s="45"/>
      <c r="R13" s="10"/>
      <c r="S13" s="45"/>
      <c r="T13" s="10">
        <f>117871-49371</f>
        <v>68500</v>
      </c>
      <c r="U13" s="10">
        <f>L13-P13</f>
        <v>-117871.46</v>
      </c>
      <c r="V13" s="10">
        <f>L13</f>
        <v>117871.46</v>
      </c>
      <c r="W13" s="53"/>
      <c r="X13" s="53"/>
      <c r="Y13" s="108">
        <f>L13</f>
        <v>117871.46</v>
      </c>
      <c r="Z13" s="46">
        <f t="shared" si="2"/>
        <v>117871.46</v>
      </c>
    </row>
    <row r="14" spans="1:26" ht="18.75" customHeight="1">
      <c r="A14" s="75" t="s">
        <v>203</v>
      </c>
      <c r="B14" s="89" t="s">
        <v>109</v>
      </c>
      <c r="C14" s="93">
        <v>1</v>
      </c>
      <c r="D14" s="94" t="s">
        <v>204</v>
      </c>
      <c r="E14" s="71" t="s">
        <v>205</v>
      </c>
      <c r="F14" s="81" t="s">
        <v>206</v>
      </c>
      <c r="G14" s="68">
        <v>46402</v>
      </c>
      <c r="H14" s="63" t="str">
        <f t="shared" ca="1" si="3"/>
        <v>NO PRAZO</v>
      </c>
      <c r="I14" s="63"/>
      <c r="J14" s="81" t="s">
        <v>207</v>
      </c>
      <c r="K14" s="10"/>
      <c r="L14" s="115">
        <v>1889237.76</v>
      </c>
      <c r="M14" s="10">
        <f>L14*12</f>
        <v>22670853.120000001</v>
      </c>
      <c r="N14" s="3">
        <v>2846580.63</v>
      </c>
      <c r="O14" s="116">
        <v>0</v>
      </c>
      <c r="P14" s="9">
        <f t="shared" si="4"/>
        <v>2846580.63</v>
      </c>
      <c r="Q14" s="45"/>
      <c r="R14" s="10"/>
      <c r="S14" s="45"/>
      <c r="T14" s="10">
        <f>1882331-116567</f>
        <v>1765764</v>
      </c>
      <c r="U14" s="45"/>
      <c r="V14" s="10">
        <f>L14</f>
        <v>1889237.76</v>
      </c>
      <c r="W14" s="53"/>
      <c r="X14" s="10">
        <f>L14-957343</f>
        <v>931894.76</v>
      </c>
      <c r="Y14" s="70">
        <f>L14</f>
        <v>1889237.76</v>
      </c>
      <c r="Z14" s="46">
        <f>SUM(W14:Y14)+1000000</f>
        <v>3821132.52</v>
      </c>
    </row>
    <row r="15" spans="1:26" ht="41.25" customHeight="1">
      <c r="A15" s="86" t="s">
        <v>208</v>
      </c>
      <c r="B15" s="89" t="s">
        <v>109</v>
      </c>
      <c r="C15" s="93">
        <v>1</v>
      </c>
      <c r="D15" s="94" t="s">
        <v>209</v>
      </c>
      <c r="E15" s="71" t="s">
        <v>210</v>
      </c>
      <c r="F15" s="81" t="s">
        <v>211</v>
      </c>
      <c r="G15" s="68">
        <v>46097</v>
      </c>
      <c r="H15" s="63" t="str">
        <f t="shared" ca="1" si="3"/>
        <v>NO PRAZO</v>
      </c>
      <c r="I15" s="38" t="s">
        <v>477</v>
      </c>
      <c r="J15" s="81" t="s">
        <v>212</v>
      </c>
      <c r="K15" s="10"/>
      <c r="L15" s="80">
        <v>1617878.59</v>
      </c>
      <c r="M15" s="43">
        <f>L15*12</f>
        <v>19414543.080000002</v>
      </c>
      <c r="N15" s="3">
        <v>2426817.89</v>
      </c>
      <c r="O15" s="117">
        <v>0</v>
      </c>
      <c r="P15" s="9">
        <f t="shared" si="4"/>
        <v>2426817.89</v>
      </c>
      <c r="Q15" s="45"/>
      <c r="R15" s="10"/>
      <c r="S15" s="45"/>
      <c r="T15" s="10">
        <f>L15</f>
        <v>1617878.59</v>
      </c>
      <c r="U15" s="45"/>
      <c r="V15" s="10">
        <f>L15</f>
        <v>1617878.59</v>
      </c>
      <c r="W15" s="53"/>
      <c r="X15" s="10">
        <f>L15-808939</f>
        <v>808939.59000000008</v>
      </c>
      <c r="Y15" s="70">
        <f>L15</f>
        <v>1617878.59</v>
      </c>
      <c r="Z15" s="46">
        <f>SUM(W15:Y15)+1000000</f>
        <v>3426818.18</v>
      </c>
    </row>
    <row r="16" spans="1:26" ht="41.25" customHeight="1">
      <c r="A16" s="75" t="s">
        <v>213</v>
      </c>
      <c r="B16" s="89" t="s">
        <v>109</v>
      </c>
      <c r="C16" s="93">
        <v>1</v>
      </c>
      <c r="D16" s="94" t="s">
        <v>214</v>
      </c>
      <c r="E16" s="71" t="s">
        <v>215</v>
      </c>
      <c r="F16" s="81" t="s">
        <v>216</v>
      </c>
      <c r="G16" s="68">
        <v>46020</v>
      </c>
      <c r="H16" s="63" t="str">
        <f t="shared" ca="1" si="3"/>
        <v>EM BREVE</v>
      </c>
      <c r="I16" s="63"/>
      <c r="J16" s="81" t="s">
        <v>217</v>
      </c>
      <c r="K16" s="10"/>
      <c r="L16" s="80">
        <f>1205875.51+32423.44</f>
        <v>1238298.95</v>
      </c>
      <c r="M16" s="43">
        <f>L16*12</f>
        <v>14859587.399999999</v>
      </c>
      <c r="N16" s="3">
        <v>1859307.31</v>
      </c>
      <c r="O16" s="3">
        <v>0</v>
      </c>
      <c r="P16" s="9">
        <f t="shared" si="4"/>
        <v>1859307.31</v>
      </c>
      <c r="Q16" s="45"/>
      <c r="R16" s="10"/>
      <c r="S16" s="10">
        <f>L16-O16</f>
        <v>1238298.95</v>
      </c>
      <c r="T16" s="10">
        <f>1238299-555</f>
        <v>1237744</v>
      </c>
      <c r="U16" s="45"/>
      <c r="V16" s="10">
        <f>L16</f>
        <v>1238298.95</v>
      </c>
      <c r="W16" s="53"/>
      <c r="X16" s="10">
        <f>L16-621008</f>
        <v>617290.94999999995</v>
      </c>
      <c r="Y16" s="70">
        <f>L16</f>
        <v>1238298.95</v>
      </c>
      <c r="Z16" s="46">
        <f t="shared" ref="Z16:Z35" si="5">SUM(W16:Y16)</f>
        <v>1855589.9</v>
      </c>
    </row>
    <row r="17" spans="1:26" ht="27" customHeight="1">
      <c r="A17" s="75" t="s">
        <v>218</v>
      </c>
      <c r="B17" s="89" t="s">
        <v>109</v>
      </c>
      <c r="C17" s="93">
        <v>1</v>
      </c>
      <c r="D17" s="94" t="s">
        <v>219</v>
      </c>
      <c r="E17" s="71" t="s">
        <v>215</v>
      </c>
      <c r="F17" s="81" t="s">
        <v>220</v>
      </c>
      <c r="G17" s="68">
        <v>46166</v>
      </c>
      <c r="H17" s="63" t="str">
        <f t="shared" ca="1" si="3"/>
        <v>NO PRAZO</v>
      </c>
      <c r="I17" s="38"/>
      <c r="J17" s="81" t="s">
        <v>221</v>
      </c>
      <c r="K17" s="118"/>
      <c r="L17" s="42">
        <v>236438.33100000001</v>
      </c>
      <c r="M17" s="43">
        <f>L17*12</f>
        <v>2837259.9720000001</v>
      </c>
      <c r="N17" s="3">
        <v>332837.48</v>
      </c>
      <c r="O17" s="3">
        <v>0</v>
      </c>
      <c r="P17" s="9">
        <f t="shared" si="4"/>
        <v>332837.48</v>
      </c>
      <c r="Q17" s="45"/>
      <c r="R17" s="10"/>
      <c r="S17" s="45"/>
      <c r="T17" s="10">
        <v>190000</v>
      </c>
      <c r="U17" s="45"/>
      <c r="V17" s="10">
        <f>L17-171405</f>
        <v>65033.331000000006</v>
      </c>
      <c r="W17" s="53"/>
      <c r="X17" s="10">
        <f>L17-96399</f>
        <v>140039.33100000001</v>
      </c>
      <c r="Y17" s="70">
        <f>L17</f>
        <v>236438.33100000001</v>
      </c>
      <c r="Z17" s="46">
        <f t="shared" si="5"/>
        <v>376477.66200000001</v>
      </c>
    </row>
    <row r="18" spans="1:26" ht="76.5" customHeight="1">
      <c r="A18" s="75" t="s">
        <v>478</v>
      </c>
      <c r="B18" s="89" t="s">
        <v>109</v>
      </c>
      <c r="C18" s="93">
        <v>2</v>
      </c>
      <c r="D18" s="94" t="s">
        <v>228</v>
      </c>
      <c r="E18" s="71" t="s">
        <v>229</v>
      </c>
      <c r="F18" s="81" t="s">
        <v>230</v>
      </c>
      <c r="G18" s="68">
        <v>46114</v>
      </c>
      <c r="H18" s="63" t="str">
        <f t="shared" ca="1" si="3"/>
        <v>NO PRAZO</v>
      </c>
      <c r="I18" s="38"/>
      <c r="J18" s="81" t="s">
        <v>231</v>
      </c>
      <c r="K18" s="10">
        <v>1600000</v>
      </c>
      <c r="L18" s="42"/>
      <c r="M18" s="43">
        <f>K18*12</f>
        <v>19200000</v>
      </c>
      <c r="N18" s="3">
        <f>1387659.05</f>
        <v>1387659.05</v>
      </c>
      <c r="O18" s="3">
        <v>6102.62</v>
      </c>
      <c r="P18" s="9">
        <f t="shared" si="4"/>
        <v>1393761.6700000002</v>
      </c>
      <c r="Q18" s="45"/>
      <c r="R18" s="45"/>
      <c r="S18" s="45"/>
      <c r="T18" s="45"/>
      <c r="U18" s="45"/>
      <c r="V18" s="10">
        <f>K18-836351</f>
        <v>763649</v>
      </c>
      <c r="W18" s="70">
        <f>K18-1393762</f>
        <v>206238</v>
      </c>
      <c r="X18" s="10">
        <f>K18</f>
        <v>1600000</v>
      </c>
      <c r="Y18" s="10"/>
      <c r="Z18" s="46">
        <f t="shared" si="5"/>
        <v>1806238</v>
      </c>
    </row>
    <row r="19" spans="1:26" ht="76.5" customHeight="1">
      <c r="A19" s="75" t="s">
        <v>232</v>
      </c>
      <c r="B19" s="89" t="s">
        <v>109</v>
      </c>
      <c r="C19" s="93">
        <v>2</v>
      </c>
      <c r="D19" s="94" t="s">
        <v>233</v>
      </c>
      <c r="E19" s="71" t="s">
        <v>229</v>
      </c>
      <c r="F19" s="81" t="s">
        <v>234</v>
      </c>
      <c r="G19" s="68">
        <v>46022</v>
      </c>
      <c r="H19" s="63" t="str">
        <f t="shared" ca="1" si="3"/>
        <v>EM BREVE</v>
      </c>
      <c r="I19" s="38"/>
      <c r="J19" s="38" t="s">
        <v>236</v>
      </c>
      <c r="K19" s="10">
        <f>M19/12</f>
        <v>1924342.125</v>
      </c>
      <c r="L19" s="42"/>
      <c r="M19" s="43">
        <f>8383552.34+14708553.16</f>
        <v>23092105.5</v>
      </c>
      <c r="N19" s="10">
        <v>2198081.7799999998</v>
      </c>
      <c r="O19" s="3">
        <v>378631.87</v>
      </c>
      <c r="P19" s="9">
        <f t="shared" si="4"/>
        <v>2576713.65</v>
      </c>
      <c r="Q19" s="45"/>
      <c r="R19" s="45"/>
      <c r="S19" s="45"/>
      <c r="T19" s="45"/>
      <c r="U19" s="45"/>
      <c r="V19" s="10">
        <f>K19-P19</f>
        <v>-652371.52499999991</v>
      </c>
      <c r="W19" s="45"/>
      <c r="X19" s="10">
        <f>K19-652371.53</f>
        <v>1271970.595</v>
      </c>
      <c r="Y19" s="10"/>
      <c r="Z19" s="46">
        <f t="shared" si="5"/>
        <v>1271970.595</v>
      </c>
    </row>
    <row r="20" spans="1:26" ht="76.5" customHeight="1">
      <c r="A20" s="75" t="s">
        <v>479</v>
      </c>
      <c r="B20" s="89" t="s">
        <v>109</v>
      </c>
      <c r="C20" s="93">
        <v>2</v>
      </c>
      <c r="D20" s="94" t="s">
        <v>228</v>
      </c>
      <c r="E20" s="71" t="s">
        <v>238</v>
      </c>
      <c r="F20" s="81" t="s">
        <v>239</v>
      </c>
      <c r="G20" s="68">
        <v>46146</v>
      </c>
      <c r="H20" s="63" t="str">
        <f t="shared" ca="1" si="3"/>
        <v>NO PRAZO</v>
      </c>
      <c r="I20" s="38"/>
      <c r="J20" s="81" t="s">
        <v>240</v>
      </c>
      <c r="K20" s="10">
        <v>145000</v>
      </c>
      <c r="L20" s="42"/>
      <c r="M20" s="43">
        <f>K20*12</f>
        <v>1740000</v>
      </c>
      <c r="N20" s="3">
        <f>64791.35+188772.36</f>
        <v>253563.71</v>
      </c>
      <c r="O20" s="3">
        <v>10932</v>
      </c>
      <c r="P20" s="9">
        <f t="shared" si="4"/>
        <v>264495.70999999996</v>
      </c>
      <c r="Q20" s="45"/>
      <c r="R20" s="45"/>
      <c r="S20" s="45"/>
      <c r="T20" s="45"/>
      <c r="U20" s="45"/>
      <c r="V20" s="45"/>
      <c r="W20" s="45"/>
      <c r="X20" s="10">
        <f>K20-119495.71</f>
        <v>25504.289999999994</v>
      </c>
      <c r="Y20" s="10">
        <f>K20</f>
        <v>145000</v>
      </c>
      <c r="Z20" s="46">
        <f t="shared" si="5"/>
        <v>170504.28999999998</v>
      </c>
    </row>
    <row r="21" spans="1:26" ht="40.5" customHeight="1">
      <c r="A21" s="86" t="s">
        <v>241</v>
      </c>
      <c r="B21" s="89" t="s">
        <v>109</v>
      </c>
      <c r="C21" s="93">
        <v>1</v>
      </c>
      <c r="D21" s="71" t="s">
        <v>242</v>
      </c>
      <c r="E21" s="71" t="s">
        <v>243</v>
      </c>
      <c r="F21" s="81" t="s">
        <v>244</v>
      </c>
      <c r="G21" s="68">
        <v>46097</v>
      </c>
      <c r="H21" s="63" t="str">
        <f t="shared" ca="1" si="3"/>
        <v>NO PRAZO</v>
      </c>
      <c r="I21" s="38" t="s">
        <v>480</v>
      </c>
      <c r="J21" s="81" t="s">
        <v>245</v>
      </c>
      <c r="K21" s="10"/>
      <c r="L21" s="42">
        <v>458615.91</v>
      </c>
      <c r="M21" s="43">
        <f>L21*12</f>
        <v>5503390.9199999999</v>
      </c>
      <c r="N21" s="3">
        <v>917231.82</v>
      </c>
      <c r="O21" s="3"/>
      <c r="P21" s="9">
        <f t="shared" si="4"/>
        <v>917231.82</v>
      </c>
      <c r="Q21" s="45"/>
      <c r="R21" s="10"/>
      <c r="S21" s="10">
        <f>L21-O21</f>
        <v>458615.91</v>
      </c>
      <c r="T21" s="45"/>
      <c r="U21" s="45"/>
      <c r="V21" s="10">
        <f>L21</f>
        <v>458615.91</v>
      </c>
      <c r="W21" s="45"/>
      <c r="X21" s="45"/>
      <c r="Y21" s="10">
        <f>L21</f>
        <v>458615.91</v>
      </c>
      <c r="Z21" s="46">
        <f t="shared" si="5"/>
        <v>458615.91</v>
      </c>
    </row>
    <row r="22" spans="1:26" ht="14.25" customHeight="1">
      <c r="A22" s="86" t="s">
        <v>246</v>
      </c>
      <c r="B22" s="86" t="s">
        <v>109</v>
      </c>
      <c r="C22" s="76">
        <v>2</v>
      </c>
      <c r="D22" s="38" t="s">
        <v>247</v>
      </c>
      <c r="E22" s="38" t="s">
        <v>248</v>
      </c>
      <c r="F22" s="38" t="s">
        <v>249</v>
      </c>
      <c r="G22" s="68">
        <v>45901</v>
      </c>
      <c r="H22" s="63" t="str">
        <f t="shared" ca="1" si="3"/>
        <v>EXPIRADO</v>
      </c>
      <c r="I22" s="38"/>
      <c r="J22" s="98" t="s">
        <v>250</v>
      </c>
      <c r="K22" s="10">
        <v>100</v>
      </c>
      <c r="L22" s="80"/>
      <c r="M22" s="10">
        <f>K22*12</f>
        <v>1200</v>
      </c>
      <c r="N22" s="3">
        <v>200</v>
      </c>
      <c r="O22" s="3">
        <v>139</v>
      </c>
      <c r="P22" s="9">
        <f t="shared" si="4"/>
        <v>339</v>
      </c>
      <c r="Q22" s="10"/>
      <c r="R22" s="10"/>
      <c r="S22" s="10">
        <f>K22</f>
        <v>100</v>
      </c>
      <c r="T22" s="45"/>
      <c r="U22" s="45"/>
      <c r="V22" s="45"/>
      <c r="W22" s="45"/>
      <c r="X22" s="45"/>
      <c r="Y22" s="65">
        <f>K22</f>
        <v>100</v>
      </c>
      <c r="Z22" s="46">
        <f t="shared" si="5"/>
        <v>100</v>
      </c>
    </row>
    <row r="23" spans="1:26" ht="14.25" customHeight="1">
      <c r="A23" s="86" t="s">
        <v>251</v>
      </c>
      <c r="B23" s="86" t="s">
        <v>109</v>
      </c>
      <c r="C23" s="76">
        <v>2</v>
      </c>
      <c r="D23" s="38" t="s">
        <v>247</v>
      </c>
      <c r="E23" s="38" t="s">
        <v>252</v>
      </c>
      <c r="F23" s="38" t="s">
        <v>249</v>
      </c>
      <c r="G23" s="68">
        <v>45901</v>
      </c>
      <c r="H23" s="63" t="str">
        <f t="shared" ca="1" si="3"/>
        <v>EXPIRADO</v>
      </c>
      <c r="I23" s="38"/>
      <c r="J23" s="98" t="s">
        <v>253</v>
      </c>
      <c r="K23" s="10">
        <v>15000</v>
      </c>
      <c r="L23" s="80"/>
      <c r="M23" s="10">
        <f>K23*12</f>
        <v>180000</v>
      </c>
      <c r="N23" s="3">
        <v>30000</v>
      </c>
      <c r="O23" s="3">
        <v>0</v>
      </c>
      <c r="P23" s="9">
        <f t="shared" si="4"/>
        <v>30000</v>
      </c>
      <c r="Q23" s="10"/>
      <c r="R23" s="45"/>
      <c r="S23" s="51">
        <f>K23</f>
        <v>15000</v>
      </c>
      <c r="T23" s="45"/>
      <c r="U23" s="45"/>
      <c r="V23" s="45"/>
      <c r="W23" s="45"/>
      <c r="X23" s="45"/>
      <c r="Y23" s="65">
        <f>K23</f>
        <v>15000</v>
      </c>
      <c r="Z23" s="46">
        <f t="shared" si="5"/>
        <v>15000</v>
      </c>
    </row>
    <row r="24" spans="1:26" ht="41.25" customHeight="1">
      <c r="A24" s="86" t="s">
        <v>254</v>
      </c>
      <c r="B24" s="123" t="s">
        <v>47</v>
      </c>
      <c r="C24" s="124">
        <v>1</v>
      </c>
      <c r="D24" s="71" t="s">
        <v>255</v>
      </c>
      <c r="E24" s="71" t="s">
        <v>256</v>
      </c>
      <c r="F24" s="81" t="s">
        <v>257</v>
      </c>
      <c r="G24" s="68">
        <v>45889</v>
      </c>
      <c r="H24" s="63" t="str">
        <f t="shared" ca="1" si="3"/>
        <v>EXPIRADO</v>
      </c>
      <c r="I24" s="38"/>
      <c r="J24" s="81" t="s">
        <v>258</v>
      </c>
      <c r="K24" s="10"/>
      <c r="L24" s="80">
        <f>M24/12</f>
        <v>5331.32</v>
      </c>
      <c r="M24" s="10">
        <v>63975.839999999997</v>
      </c>
      <c r="N24" s="3">
        <v>4395.71</v>
      </c>
      <c r="O24" s="3">
        <v>0</v>
      </c>
      <c r="P24" s="9">
        <f t="shared" si="4"/>
        <v>4395.71</v>
      </c>
      <c r="Q24" s="45"/>
      <c r="R24" s="45"/>
      <c r="S24" s="10">
        <f>L24-P24</f>
        <v>935.60999999999967</v>
      </c>
      <c r="T24" s="10">
        <f>L24-4688</f>
        <v>643.31999999999971</v>
      </c>
      <c r="U24" s="45"/>
      <c r="V24" s="10">
        <f>5331-P24</f>
        <v>935.29</v>
      </c>
      <c r="W24" s="70">
        <f>L24-4396</f>
        <v>935.31999999999971</v>
      </c>
      <c r="X24" s="65">
        <f>L24</f>
        <v>5331.32</v>
      </c>
      <c r="Y24" s="10">
        <f>L24</f>
        <v>5331.32</v>
      </c>
      <c r="Z24" s="46">
        <f t="shared" si="5"/>
        <v>11597.96</v>
      </c>
    </row>
    <row r="25" spans="1:26" ht="38.25" customHeight="1">
      <c r="A25" s="90" t="s">
        <v>259</v>
      </c>
      <c r="B25" s="123" t="s">
        <v>47</v>
      </c>
      <c r="C25" s="124">
        <v>1</v>
      </c>
      <c r="D25" s="94" t="s">
        <v>209</v>
      </c>
      <c r="E25" s="71" t="s">
        <v>260</v>
      </c>
      <c r="F25" s="81" t="s">
        <v>261</v>
      </c>
      <c r="G25" s="68">
        <v>45938</v>
      </c>
      <c r="H25" s="63" t="str">
        <f t="shared" ca="1" si="3"/>
        <v>EXPIRADO</v>
      </c>
      <c r="I25" s="38"/>
      <c r="J25" s="81" t="s">
        <v>262</v>
      </c>
      <c r="K25" s="10"/>
      <c r="L25" s="80">
        <v>23452.22</v>
      </c>
      <c r="M25" s="10">
        <f>L25*12</f>
        <v>281426.64</v>
      </c>
      <c r="N25" s="125">
        <v>46904.44</v>
      </c>
      <c r="O25" s="3">
        <v>0</v>
      </c>
      <c r="P25" s="9">
        <f t="shared" si="4"/>
        <v>46904.44</v>
      </c>
      <c r="Q25" s="53"/>
      <c r="R25" s="10"/>
      <c r="S25" s="45"/>
      <c r="T25" s="45"/>
      <c r="U25" s="45"/>
      <c r="V25" s="70">
        <f>L25</f>
        <v>23452.22</v>
      </c>
      <c r="W25" s="45"/>
      <c r="X25" s="45"/>
      <c r="Y25" s="10">
        <f>L25</f>
        <v>23452.22</v>
      </c>
      <c r="Z25" s="46">
        <f t="shared" si="5"/>
        <v>23452.22</v>
      </c>
    </row>
    <row r="26" spans="1:26" ht="27" customHeight="1">
      <c r="A26" s="86" t="s">
        <v>267</v>
      </c>
      <c r="B26" s="123" t="s">
        <v>47</v>
      </c>
      <c r="C26" s="124">
        <v>1</v>
      </c>
      <c r="D26" s="71" t="s">
        <v>223</v>
      </c>
      <c r="E26" s="71" t="s">
        <v>268</v>
      </c>
      <c r="F26" s="81" t="s">
        <v>269</v>
      </c>
      <c r="G26" s="68">
        <v>46068</v>
      </c>
      <c r="H26" s="63" t="str">
        <f t="shared" ca="1" si="3"/>
        <v>NO PRAZO</v>
      </c>
      <c r="I26" s="38"/>
      <c r="J26" s="81" t="s">
        <v>271</v>
      </c>
      <c r="K26" s="10"/>
      <c r="L26" s="42">
        <f>M26/12</f>
        <v>4290.91</v>
      </c>
      <c r="M26" s="43">
        <v>51490.92</v>
      </c>
      <c r="N26" s="3">
        <v>4537</v>
      </c>
      <c r="O26" s="3">
        <v>0</v>
      </c>
      <c r="P26" s="9">
        <f t="shared" si="4"/>
        <v>4537</v>
      </c>
      <c r="Q26" s="53"/>
      <c r="R26" s="10"/>
      <c r="S26" s="45"/>
      <c r="T26" s="45"/>
      <c r="U26" s="45"/>
      <c r="V26" s="10">
        <f>L26</f>
        <v>4290.91</v>
      </c>
      <c r="W26" s="45"/>
      <c r="X26" s="10">
        <f>L26</f>
        <v>4290.91</v>
      </c>
      <c r="Y26" s="10">
        <f>L26</f>
        <v>4290.91</v>
      </c>
      <c r="Z26" s="46">
        <f t="shared" si="5"/>
        <v>8581.82</v>
      </c>
    </row>
    <row r="27" spans="1:26" ht="27" customHeight="1">
      <c r="A27" s="126" t="s">
        <v>272</v>
      </c>
      <c r="B27" s="127" t="s">
        <v>273</v>
      </c>
      <c r="C27" s="128">
        <v>1</v>
      </c>
      <c r="D27" s="129" t="s">
        <v>274</v>
      </c>
      <c r="E27" s="129" t="s">
        <v>275</v>
      </c>
      <c r="F27" s="81" t="s">
        <v>276</v>
      </c>
      <c r="G27" s="68">
        <v>46434</v>
      </c>
      <c r="H27" s="63" t="str">
        <f t="shared" ca="1" si="3"/>
        <v>NO PRAZO</v>
      </c>
      <c r="I27" s="63"/>
      <c r="J27" s="130" t="s">
        <v>277</v>
      </c>
      <c r="K27" s="10"/>
      <c r="L27" s="80">
        <v>382896.8</v>
      </c>
      <c r="M27" s="10">
        <f>L27*12</f>
        <v>4594761.5999999996</v>
      </c>
      <c r="N27" s="3">
        <v>385232.05</v>
      </c>
      <c r="O27" s="3">
        <v>0</v>
      </c>
      <c r="P27" s="9">
        <f t="shared" si="4"/>
        <v>385232.05</v>
      </c>
      <c r="Q27" s="53"/>
      <c r="R27" s="53"/>
      <c r="S27" s="10">
        <f>L27-P27</f>
        <v>-2335.25</v>
      </c>
      <c r="T27" s="45"/>
      <c r="U27" s="45"/>
      <c r="V27" s="10">
        <f>L27-P27</f>
        <v>-2335.25</v>
      </c>
      <c r="W27" s="45"/>
      <c r="X27" s="10">
        <f>L27</f>
        <v>382896.8</v>
      </c>
      <c r="Y27" s="10">
        <f>L27</f>
        <v>382896.8</v>
      </c>
      <c r="Z27" s="46">
        <f t="shared" si="5"/>
        <v>765793.6</v>
      </c>
    </row>
    <row r="28" spans="1:26" ht="14.25" customHeight="1">
      <c r="A28" s="126" t="s">
        <v>278</v>
      </c>
      <c r="B28" s="127" t="s">
        <v>273</v>
      </c>
      <c r="C28" s="128">
        <v>1</v>
      </c>
      <c r="D28" s="129" t="s">
        <v>279</v>
      </c>
      <c r="E28" s="129" t="s">
        <v>280</v>
      </c>
      <c r="F28" s="81" t="s">
        <v>281</v>
      </c>
      <c r="G28" s="68">
        <v>45854</v>
      </c>
      <c r="H28" s="63" t="str">
        <f t="shared" ca="1" si="3"/>
        <v>EXPIRADO</v>
      </c>
      <c r="I28" s="63" t="s">
        <v>102</v>
      </c>
      <c r="J28" s="130" t="s">
        <v>282</v>
      </c>
      <c r="K28" s="10"/>
      <c r="L28" s="80">
        <v>193823.77</v>
      </c>
      <c r="M28" s="10">
        <f>L28*12</f>
        <v>2325885.2399999998</v>
      </c>
      <c r="N28" s="3">
        <v>193823.77</v>
      </c>
      <c r="O28" s="3">
        <v>0</v>
      </c>
      <c r="P28" s="9">
        <f t="shared" si="4"/>
        <v>193823.77</v>
      </c>
      <c r="Q28" s="53"/>
      <c r="R28" s="53"/>
      <c r="S28" s="45"/>
      <c r="T28" s="10">
        <f>L28</f>
        <v>193823.77</v>
      </c>
      <c r="U28" s="45"/>
      <c r="V28" s="10">
        <f>L28</f>
        <v>193823.77</v>
      </c>
      <c r="W28" s="65"/>
      <c r="X28" s="10">
        <f>L28</f>
        <v>193823.77</v>
      </c>
      <c r="Y28" s="10">
        <f>L28</f>
        <v>193823.77</v>
      </c>
      <c r="Z28" s="46">
        <f t="shared" si="5"/>
        <v>387647.54</v>
      </c>
    </row>
    <row r="29" spans="1:26" ht="35.25" customHeight="1">
      <c r="A29" s="138" t="s">
        <v>301</v>
      </c>
      <c r="B29" s="127" t="s">
        <v>273</v>
      </c>
      <c r="C29" s="128">
        <v>2</v>
      </c>
      <c r="D29" s="129" t="s">
        <v>297</v>
      </c>
      <c r="E29" s="129" t="s">
        <v>302</v>
      </c>
      <c r="F29" s="38" t="s">
        <v>299</v>
      </c>
      <c r="G29" s="38"/>
      <c r="H29" s="63"/>
      <c r="I29" s="63"/>
      <c r="J29" s="38"/>
      <c r="K29" s="10">
        <f>M29/12</f>
        <v>832.5</v>
      </c>
      <c r="L29" s="80"/>
      <c r="M29" s="10">
        <v>9990</v>
      </c>
      <c r="N29" s="3">
        <v>1638</v>
      </c>
      <c r="O29" s="3">
        <v>0</v>
      </c>
      <c r="P29" s="9">
        <f t="shared" si="4"/>
        <v>1638</v>
      </c>
      <c r="Q29" s="45"/>
      <c r="R29" s="45"/>
      <c r="S29" s="70">
        <f>K29-P29</f>
        <v>-805.5</v>
      </c>
      <c r="T29" s="70">
        <f>K29-27</f>
        <v>805.5</v>
      </c>
      <c r="U29" s="70">
        <f>K29</f>
        <v>832.5</v>
      </c>
      <c r="V29" s="45"/>
      <c r="W29" s="45"/>
      <c r="X29" s="45"/>
      <c r="Y29" s="70">
        <f>K29</f>
        <v>832.5</v>
      </c>
      <c r="Z29" s="46">
        <f t="shared" si="5"/>
        <v>832.5</v>
      </c>
    </row>
    <row r="30" spans="1:26" ht="27" customHeight="1">
      <c r="A30" s="126" t="s">
        <v>305</v>
      </c>
      <c r="B30" s="127" t="s">
        <v>273</v>
      </c>
      <c r="C30" s="128">
        <v>2</v>
      </c>
      <c r="D30" s="129" t="s">
        <v>306</v>
      </c>
      <c r="E30" s="129" t="s">
        <v>307</v>
      </c>
      <c r="F30" s="81" t="s">
        <v>308</v>
      </c>
      <c r="G30" s="68">
        <v>45920</v>
      </c>
      <c r="H30" s="63" t="str">
        <f ca="1">IF((G30-TODAY())&lt;0,"EXPIRADO", IF((G30-TODAY())&lt;=60,"EM BREVE","NO PRAZO"))</f>
        <v>EXPIRADO</v>
      </c>
      <c r="I30" s="63"/>
      <c r="J30" s="81" t="s">
        <v>309</v>
      </c>
      <c r="K30" s="10"/>
      <c r="L30" s="80">
        <f>M30/12</f>
        <v>39124.22</v>
      </c>
      <c r="M30" s="10">
        <v>469490.64</v>
      </c>
      <c r="N30" s="3">
        <v>82722.66</v>
      </c>
      <c r="O30" s="3"/>
      <c r="P30" s="9">
        <f t="shared" si="4"/>
        <v>82722.66</v>
      </c>
      <c r="Q30" s="10"/>
      <c r="R30" s="10"/>
      <c r="S30" s="45"/>
      <c r="T30" s="45"/>
      <c r="U30" s="45"/>
      <c r="V30" s="45"/>
      <c r="W30" s="45"/>
      <c r="X30" s="45"/>
      <c r="Y30" s="108">
        <f>L30-4474.2</f>
        <v>34650.020000000004</v>
      </c>
      <c r="Z30" s="46">
        <f t="shared" si="5"/>
        <v>34650.020000000004</v>
      </c>
    </row>
    <row r="31" spans="1:26" ht="18.75" customHeight="1">
      <c r="A31" s="138" t="s">
        <v>314</v>
      </c>
      <c r="B31" s="127" t="s">
        <v>273</v>
      </c>
      <c r="C31" s="128">
        <v>3</v>
      </c>
      <c r="D31" s="129" t="s">
        <v>41</v>
      </c>
      <c r="E31" s="129" t="s">
        <v>315</v>
      </c>
      <c r="F31" s="38"/>
      <c r="G31" s="38"/>
      <c r="H31" s="63"/>
      <c r="I31" s="63"/>
      <c r="J31" s="38"/>
      <c r="K31" s="10">
        <v>40000</v>
      </c>
      <c r="L31" s="80"/>
      <c r="M31" s="10">
        <f>K31*12</f>
        <v>480000</v>
      </c>
      <c r="N31" s="59">
        <v>69292.17</v>
      </c>
      <c r="O31" s="59">
        <v>2965.4</v>
      </c>
      <c r="P31" s="9">
        <f t="shared" si="4"/>
        <v>72257.569999999992</v>
      </c>
      <c r="Q31" s="10"/>
      <c r="R31" s="10"/>
      <c r="S31" s="45"/>
      <c r="T31" s="70">
        <f>40000-12743</f>
        <v>27257</v>
      </c>
      <c r="U31" s="53"/>
      <c r="V31" s="70">
        <f>K31-23261</f>
        <v>16739</v>
      </c>
      <c r="W31" s="53"/>
      <c r="X31" s="70">
        <f>K31-32258</f>
        <v>7742</v>
      </c>
      <c r="Y31" s="70">
        <f>K31</f>
        <v>40000</v>
      </c>
      <c r="Z31" s="46">
        <f t="shared" si="5"/>
        <v>47742</v>
      </c>
    </row>
    <row r="32" spans="1:26" ht="14.25" customHeight="1">
      <c r="A32" s="138" t="s">
        <v>316</v>
      </c>
      <c r="B32" s="127" t="s">
        <v>273</v>
      </c>
      <c r="C32" s="128">
        <v>3</v>
      </c>
      <c r="D32" s="129" t="s">
        <v>45</v>
      </c>
      <c r="E32" s="129" t="s">
        <v>317</v>
      </c>
      <c r="F32" s="38"/>
      <c r="G32" s="38"/>
      <c r="H32" s="63"/>
      <c r="I32" s="63"/>
      <c r="J32" s="38"/>
      <c r="K32" s="10">
        <v>136350</v>
      </c>
      <c r="L32" s="80"/>
      <c r="M32" s="10">
        <f>K32*12</f>
        <v>1636200</v>
      </c>
      <c r="N32" s="3">
        <v>1162.83</v>
      </c>
      <c r="O32" s="3">
        <v>0</v>
      </c>
      <c r="P32" s="9">
        <f t="shared" si="4"/>
        <v>1162.83</v>
      </c>
      <c r="Q32" s="51"/>
      <c r="R32" s="10"/>
      <c r="S32" s="70">
        <f>K32-P32</f>
        <v>135187.17000000001</v>
      </c>
      <c r="T32" s="70">
        <f>K32</f>
        <v>136350</v>
      </c>
      <c r="U32" s="53"/>
      <c r="V32" s="53"/>
      <c r="W32" s="70">
        <f>K32-1163</f>
        <v>135187</v>
      </c>
      <c r="X32" s="70">
        <f>K32</f>
        <v>136350</v>
      </c>
      <c r="Y32" s="70">
        <f>K32</f>
        <v>136350</v>
      </c>
      <c r="Z32" s="46">
        <f t="shared" si="5"/>
        <v>407887</v>
      </c>
    </row>
    <row r="33" spans="1:26" ht="14.25" customHeight="1">
      <c r="A33" s="138" t="s">
        <v>318</v>
      </c>
      <c r="B33" s="127" t="s">
        <v>273</v>
      </c>
      <c r="C33" s="128">
        <v>1</v>
      </c>
      <c r="D33" s="129" t="s">
        <v>319</v>
      </c>
      <c r="E33" s="129"/>
      <c r="F33" s="38" t="s">
        <v>320</v>
      </c>
      <c r="G33" s="38"/>
      <c r="H33" s="63"/>
      <c r="I33" s="63"/>
      <c r="J33" s="38"/>
      <c r="K33" s="10">
        <v>245000</v>
      </c>
      <c r="L33" s="80"/>
      <c r="M33" s="10">
        <f>K33*12</f>
        <v>2940000</v>
      </c>
      <c r="N33" s="3">
        <v>258564.89</v>
      </c>
      <c r="O33" s="3">
        <v>0</v>
      </c>
      <c r="P33" s="9">
        <f t="shared" si="4"/>
        <v>258564.89</v>
      </c>
      <c r="Q33" s="45"/>
      <c r="R33" s="45"/>
      <c r="S33" s="70">
        <f>K33-P33</f>
        <v>-13564.890000000014</v>
      </c>
      <c r="T33" s="53"/>
      <c r="U33" s="70">
        <f>K33-8976</f>
        <v>236024</v>
      </c>
      <c r="V33" s="70">
        <f>K33-49349</f>
        <v>195651</v>
      </c>
      <c r="W33" s="53"/>
      <c r="X33" s="70">
        <f>K33-13565</f>
        <v>231435</v>
      </c>
      <c r="Y33" s="70">
        <f>K33</f>
        <v>245000</v>
      </c>
      <c r="Z33" s="46">
        <f t="shared" si="5"/>
        <v>476435</v>
      </c>
    </row>
    <row r="34" spans="1:26" ht="173.25" customHeight="1">
      <c r="A34" s="87" t="s">
        <v>481</v>
      </c>
      <c r="B34" s="86" t="s">
        <v>328</v>
      </c>
      <c r="C34" s="76">
        <v>2</v>
      </c>
      <c r="D34" s="38" t="s">
        <v>334</v>
      </c>
      <c r="E34" s="38"/>
      <c r="F34" s="38" t="s">
        <v>335</v>
      </c>
      <c r="G34" s="38" t="s">
        <v>336</v>
      </c>
      <c r="H34" s="63"/>
      <c r="I34" s="63"/>
      <c r="J34" s="79"/>
      <c r="K34" s="145">
        <v>285000</v>
      </c>
      <c r="L34" s="80"/>
      <c r="M34" s="10">
        <f>K34*12</f>
        <v>3420000</v>
      </c>
      <c r="N34" s="3">
        <f>237631.38+50000</f>
        <v>287631.38</v>
      </c>
      <c r="O34" s="3">
        <v>0</v>
      </c>
      <c r="P34" s="9">
        <f t="shared" si="4"/>
        <v>287631.38</v>
      </c>
      <c r="Q34" s="53"/>
      <c r="R34" s="145"/>
      <c r="S34" s="45"/>
      <c r="T34" s="53"/>
      <c r="U34" s="53"/>
      <c r="V34" s="145">
        <f>285000-P34</f>
        <v>-2631.3800000000047</v>
      </c>
      <c r="W34" s="53"/>
      <c r="X34" s="145">
        <v>285000</v>
      </c>
      <c r="Y34" s="145">
        <v>285000</v>
      </c>
      <c r="Z34" s="46">
        <f t="shared" si="5"/>
        <v>570000</v>
      </c>
    </row>
    <row r="35" spans="1:26" ht="219.75" customHeight="1">
      <c r="A35" s="147" t="s">
        <v>337</v>
      </c>
      <c r="B35" s="86" t="s">
        <v>328</v>
      </c>
      <c r="C35" s="76">
        <v>2</v>
      </c>
      <c r="D35" s="38" t="s">
        <v>334</v>
      </c>
      <c r="E35" s="38"/>
      <c r="F35" s="148" t="s">
        <v>338</v>
      </c>
      <c r="G35" s="38" t="s">
        <v>339</v>
      </c>
      <c r="H35" s="63"/>
      <c r="I35" s="63"/>
      <c r="J35" s="79"/>
      <c r="K35" s="145">
        <v>28500</v>
      </c>
      <c r="L35" s="80"/>
      <c r="M35" s="10">
        <f>K35*12</f>
        <v>342000</v>
      </c>
      <c r="N35" s="3">
        <f>35030.6+24893</f>
        <v>59923.6</v>
      </c>
      <c r="O35" s="3">
        <v>0</v>
      </c>
      <c r="P35" s="9">
        <f t="shared" si="4"/>
        <v>59923.6</v>
      </c>
      <c r="Q35" s="53"/>
      <c r="R35" s="145"/>
      <c r="S35" s="45"/>
      <c r="T35" s="53"/>
      <c r="U35" s="53"/>
      <c r="V35" s="145">
        <f>28500-24893</f>
        <v>3607</v>
      </c>
      <c r="W35" s="53"/>
      <c r="X35" s="53"/>
      <c r="Y35" s="145">
        <v>28500</v>
      </c>
      <c r="Z35" s="46">
        <f t="shared" si="5"/>
        <v>28500</v>
      </c>
    </row>
    <row r="36" spans="1:26">
      <c r="A36" s="165"/>
      <c r="B36" s="165"/>
      <c r="C36" s="166"/>
      <c r="D36" s="165"/>
      <c r="E36" s="165"/>
      <c r="F36" s="166"/>
      <c r="G36" s="165"/>
      <c r="H36" s="165"/>
      <c r="I36" s="165"/>
      <c r="J36" s="165"/>
      <c r="K36" s="167"/>
      <c r="L36" s="168"/>
      <c r="M36" s="167"/>
      <c r="N36" s="167"/>
      <c r="O36" s="165"/>
      <c r="P36" s="169"/>
      <c r="W36" s="170"/>
      <c r="Z36" s="19"/>
    </row>
    <row r="37" spans="1:26">
      <c r="A37" s="171" t="s">
        <v>412</v>
      </c>
      <c r="B37" s="171"/>
      <c r="C37" s="172"/>
      <c r="D37" s="171"/>
      <c r="E37" s="171"/>
      <c r="F37" s="172"/>
      <c r="G37" s="171"/>
      <c r="H37" s="171"/>
      <c r="I37" s="171"/>
      <c r="J37" s="171"/>
      <c r="K37" s="173">
        <f t="shared" ref="K37:Z37" si="6">SUM(K4:K35)</f>
        <v>5683749.6449999996</v>
      </c>
      <c r="L37" s="174">
        <f t="shared" si="6"/>
        <v>6559201.3109999998</v>
      </c>
      <c r="M37" s="173">
        <f t="shared" si="6"/>
        <v>146459319.21200001</v>
      </c>
      <c r="N37" s="173">
        <f t="shared" si="6"/>
        <v>14825481.690000003</v>
      </c>
      <c r="O37" s="173">
        <f t="shared" si="6"/>
        <v>404213.89</v>
      </c>
      <c r="P37" s="173">
        <f t="shared" si="6"/>
        <v>15229695.580000002</v>
      </c>
      <c r="Q37" s="173">
        <f t="shared" si="6"/>
        <v>0</v>
      </c>
      <c r="R37" s="173">
        <f t="shared" si="6"/>
        <v>0</v>
      </c>
      <c r="S37" s="173">
        <f t="shared" si="6"/>
        <v>1832297.6599999997</v>
      </c>
      <c r="T37" s="173">
        <f t="shared" si="6"/>
        <v>5845572.4100000001</v>
      </c>
      <c r="U37" s="173">
        <f t="shared" si="6"/>
        <v>417981.50000000006</v>
      </c>
      <c r="V37" s="173">
        <f t="shared" si="6"/>
        <v>7200535.3260000004</v>
      </c>
      <c r="W37" s="173">
        <f t="shared" si="6"/>
        <v>1196746.1100000001</v>
      </c>
      <c r="X37" s="173">
        <f t="shared" si="6"/>
        <v>7777970.1359999999</v>
      </c>
      <c r="Y37" s="173">
        <f t="shared" si="6"/>
        <v>8348161.6109999996</v>
      </c>
      <c r="Z37" s="173">
        <f t="shared" si="6"/>
        <v>19423877.857000001</v>
      </c>
    </row>
    <row r="38" spans="1:26">
      <c r="A38" s="165"/>
      <c r="B38" s="165"/>
      <c r="C38" s="166"/>
      <c r="D38" s="165"/>
      <c r="E38" s="165"/>
      <c r="F38" s="166"/>
      <c r="G38" s="165"/>
      <c r="H38" s="165"/>
      <c r="I38" s="165"/>
      <c r="J38" s="165"/>
      <c r="K38" s="167"/>
      <c r="L38" s="168"/>
      <c r="M38" s="167"/>
      <c r="N38" s="167"/>
      <c r="O38" s="165"/>
      <c r="P38" s="169"/>
    </row>
    <row r="39" spans="1:26">
      <c r="O39" s="19"/>
      <c r="Y39" s="15" t="s">
        <v>482</v>
      </c>
      <c r="Z39" s="17">
        <v>21927315.199999999</v>
      </c>
    </row>
    <row r="40" spans="1:26">
      <c r="O40" s="19"/>
      <c r="Y40" s="15" t="s">
        <v>483</v>
      </c>
      <c r="Z40" s="17">
        <v>1032613.04</v>
      </c>
    </row>
    <row r="41" spans="1:26">
      <c r="O41" s="19"/>
      <c r="Y41" s="15" t="s">
        <v>484</v>
      </c>
      <c r="Z41" s="17">
        <v>855000</v>
      </c>
    </row>
    <row r="42" spans="1:26">
      <c r="O42" s="19"/>
    </row>
    <row r="43" spans="1:26">
      <c r="O43" s="19"/>
      <c r="Z43" s="17">
        <f>Z39-Z40-Z41</f>
        <v>20039702.16</v>
      </c>
    </row>
    <row r="45" spans="1:26">
      <c r="Y45" s="15" t="s">
        <v>485</v>
      </c>
      <c r="Z45" s="17">
        <v>205548.5</v>
      </c>
    </row>
    <row r="46" spans="1:26" ht="15" customHeight="1">
      <c r="Z46" s="17">
        <v>4401.63</v>
      </c>
    </row>
    <row r="47" spans="1:26">
      <c r="Z47" s="17">
        <v>221.06</v>
      </c>
    </row>
    <row r="48" spans="1:26">
      <c r="Z48" s="17">
        <v>1619.08</v>
      </c>
    </row>
    <row r="49" spans="1:26" ht="15" customHeight="1">
      <c r="Z49" s="17">
        <v>0.49</v>
      </c>
    </row>
    <row r="50" spans="1:26">
      <c r="Z50" s="17">
        <v>6739</v>
      </c>
    </row>
    <row r="51" spans="1:26" ht="15" customHeight="1">
      <c r="Z51" s="17">
        <v>257776</v>
      </c>
    </row>
    <row r="52" spans="1:26" ht="15" customHeight="1">
      <c r="Z52" s="17">
        <v>136055.06</v>
      </c>
    </row>
    <row r="53" spans="1:26" ht="15" customHeight="1">
      <c r="Z53" s="17">
        <v>350.77</v>
      </c>
    </row>
    <row r="54" spans="1:26" ht="15" customHeight="1">
      <c r="Z54" s="17">
        <v>2250</v>
      </c>
    </row>
    <row r="56" spans="1:26" ht="15" customHeight="1">
      <c r="Z56" s="17">
        <f>Z43-SUM(Z45:Z54)</f>
        <v>19424740.57</v>
      </c>
    </row>
    <row r="57" spans="1:26" ht="15" customHeight="1">
      <c r="Y57" s="15" t="s">
        <v>486</v>
      </c>
      <c r="Z57" s="17" t="s">
        <v>487</v>
      </c>
    </row>
    <row r="58" spans="1:26" ht="15" customHeight="1">
      <c r="Z58" s="17">
        <f>Z56-Z37</f>
        <v>862.71299999952316</v>
      </c>
    </row>
    <row r="60" spans="1:26" ht="45">
      <c r="A60" s="1" t="s">
        <v>7</v>
      </c>
      <c r="B60" s="1" t="s">
        <v>8</v>
      </c>
      <c r="C60" s="1" t="s">
        <v>413</v>
      </c>
      <c r="D60" s="1" t="s">
        <v>9</v>
      </c>
      <c r="E60" s="1" t="s">
        <v>10</v>
      </c>
      <c r="F60" s="1" t="s">
        <v>11</v>
      </c>
      <c r="G60" s="1" t="s">
        <v>12</v>
      </c>
      <c r="H60" s="1" t="s">
        <v>13</v>
      </c>
      <c r="I60" s="1" t="s">
        <v>14</v>
      </c>
      <c r="J60" s="1" t="s">
        <v>15</v>
      </c>
      <c r="K60" s="29" t="s">
        <v>16</v>
      </c>
      <c r="L60" s="30" t="s">
        <v>17</v>
      </c>
      <c r="M60" s="31" t="s">
        <v>18</v>
      </c>
      <c r="N60" s="31" t="s">
        <v>19</v>
      </c>
      <c r="O60" s="31" t="s">
        <v>20</v>
      </c>
      <c r="P60" s="32" t="s">
        <v>21</v>
      </c>
      <c r="Q60" s="31">
        <v>45658</v>
      </c>
      <c r="R60" s="31">
        <v>45689</v>
      </c>
      <c r="S60" s="31">
        <v>45717</v>
      </c>
      <c r="T60" s="31">
        <v>45748</v>
      </c>
      <c r="U60" s="31">
        <v>45778</v>
      </c>
      <c r="V60" s="31">
        <v>45809</v>
      </c>
      <c r="W60" s="31">
        <v>45839</v>
      </c>
      <c r="X60" s="31">
        <v>45870</v>
      </c>
      <c r="Y60" s="31">
        <v>45901</v>
      </c>
      <c r="Z60" s="31" t="s">
        <v>22</v>
      </c>
    </row>
    <row r="61" spans="1:26">
      <c r="A61" s="36" t="s">
        <v>39</v>
      </c>
      <c r="B61" s="37" t="s">
        <v>29</v>
      </c>
      <c r="C61" s="37">
        <v>1</v>
      </c>
      <c r="D61" s="49" t="s">
        <v>37</v>
      </c>
      <c r="E61" s="49"/>
      <c r="F61" s="39"/>
      <c r="G61" s="39"/>
      <c r="H61" s="40"/>
      <c r="I61" s="40"/>
      <c r="J61" s="39"/>
      <c r="K61" s="43">
        <v>810000</v>
      </c>
      <c r="L61" s="42"/>
      <c r="M61" s="43">
        <f>K61*12</f>
        <v>9720000</v>
      </c>
      <c r="N61" s="59">
        <v>0</v>
      </c>
      <c r="O61" s="50">
        <v>0</v>
      </c>
      <c r="P61" s="9">
        <f t="shared" ref="P61:P72" si="7">SUM(N61:O61)</f>
        <v>0</v>
      </c>
      <c r="Q61" s="10"/>
      <c r="R61" s="10"/>
      <c r="S61" s="45"/>
      <c r="T61" s="53"/>
      <c r="U61" s="10">
        <f>810000-556810</f>
        <v>253190</v>
      </c>
      <c r="V61" s="10">
        <f>K61</f>
        <v>810000</v>
      </c>
      <c r="W61" s="10">
        <f>K61</f>
        <v>810000</v>
      </c>
      <c r="X61" s="10">
        <f>K61</f>
        <v>810000</v>
      </c>
      <c r="Y61" s="10">
        <f>K61</f>
        <v>810000</v>
      </c>
      <c r="Z61" s="46">
        <f>SUM(W61:Y61)+101000</f>
        <v>2531000</v>
      </c>
    </row>
    <row r="62" spans="1:26" ht="30">
      <c r="A62" s="89" t="s">
        <v>128</v>
      </c>
      <c r="B62" s="76" t="s">
        <v>115</v>
      </c>
      <c r="C62" s="76">
        <v>2</v>
      </c>
      <c r="D62" s="49" t="s">
        <v>129</v>
      </c>
      <c r="E62" s="49" t="s">
        <v>130</v>
      </c>
      <c r="F62" s="38" t="s">
        <v>131</v>
      </c>
      <c r="G62" s="68">
        <v>45980</v>
      </c>
      <c r="H62" s="63" t="str">
        <f t="shared" ref="H62:H72" ca="1" si="8">IF((G62-TODAY())&lt;0,"EXPIRADO", IF((G62-TODAY())&lt;=60,"EM BREVE","NO PRAZO"))</f>
        <v>EM BREVE</v>
      </c>
      <c r="I62" s="38"/>
      <c r="J62" s="49" t="s">
        <v>133</v>
      </c>
      <c r="K62" s="10">
        <f>M62/12</f>
        <v>65625.02</v>
      </c>
      <c r="L62" s="80"/>
      <c r="M62" s="10">
        <v>787500.24</v>
      </c>
      <c r="N62" s="3">
        <v>55376.88</v>
      </c>
      <c r="O62" s="3">
        <v>5443</v>
      </c>
      <c r="P62" s="9">
        <f t="shared" si="7"/>
        <v>60819.88</v>
      </c>
      <c r="Q62" s="45"/>
      <c r="R62" s="45"/>
      <c r="S62" s="53"/>
      <c r="T62" s="53"/>
      <c r="U62" s="10">
        <f>K62-P62</f>
        <v>4805.1400000000067</v>
      </c>
      <c r="V62" s="10">
        <f>K62-60820</f>
        <v>4805.0200000000041</v>
      </c>
      <c r="W62" s="10">
        <f>K62-60820</f>
        <v>4805.0200000000041</v>
      </c>
      <c r="X62" s="10">
        <f>K62</f>
        <v>65625.02</v>
      </c>
      <c r="Y62" s="70"/>
      <c r="Z62" s="46">
        <f t="shared" ref="Z62:Z69" si="9">SUM(W62:Y62)</f>
        <v>70430.040000000008</v>
      </c>
    </row>
    <row r="63" spans="1:26" ht="45">
      <c r="A63" s="86" t="s">
        <v>134</v>
      </c>
      <c r="B63" s="76" t="s">
        <v>115</v>
      </c>
      <c r="C63" s="76">
        <v>2</v>
      </c>
      <c r="D63" s="49" t="s">
        <v>135</v>
      </c>
      <c r="E63" s="49" t="s">
        <v>136</v>
      </c>
      <c r="F63" s="81" t="s">
        <v>137</v>
      </c>
      <c r="G63" s="68">
        <v>45866</v>
      </c>
      <c r="H63" s="63" t="str">
        <f t="shared" ca="1" si="8"/>
        <v>EXPIRADO</v>
      </c>
      <c r="I63" s="38" t="s">
        <v>471</v>
      </c>
      <c r="J63" s="81" t="s">
        <v>138</v>
      </c>
      <c r="K63" s="10">
        <v>298000</v>
      </c>
      <c r="L63" s="80"/>
      <c r="M63" s="10">
        <v>3119907.74</v>
      </c>
      <c r="N63" s="10">
        <v>271060.23</v>
      </c>
      <c r="O63" s="3">
        <v>0</v>
      </c>
      <c r="P63" s="9">
        <f t="shared" si="7"/>
        <v>271060.23</v>
      </c>
      <c r="Q63" s="45"/>
      <c r="R63" s="70"/>
      <c r="S63" s="45"/>
      <c r="T63" s="51">
        <f>291576.42-21573</f>
        <v>270003.42</v>
      </c>
      <c r="U63" s="10">
        <f>K63-P63</f>
        <v>26939.770000000019</v>
      </c>
      <c r="V63" s="10">
        <f>K63</f>
        <v>298000</v>
      </c>
      <c r="W63" s="65">
        <f>K63-271060</f>
        <v>26940</v>
      </c>
      <c r="X63" s="10"/>
      <c r="Y63" s="70"/>
      <c r="Z63" s="46">
        <f t="shared" si="9"/>
        <v>26940</v>
      </c>
    </row>
    <row r="64" spans="1:26" ht="30">
      <c r="A64" s="86" t="s">
        <v>139</v>
      </c>
      <c r="B64" s="76" t="s">
        <v>115</v>
      </c>
      <c r="C64" s="76">
        <v>2</v>
      </c>
      <c r="D64" s="81" t="s">
        <v>140</v>
      </c>
      <c r="E64" s="81" t="s">
        <v>141</v>
      </c>
      <c r="F64" s="81" t="s">
        <v>142</v>
      </c>
      <c r="G64" s="68">
        <v>46062</v>
      </c>
      <c r="H64" s="63" t="str">
        <f t="shared" ca="1" si="8"/>
        <v>NO PRAZO</v>
      </c>
      <c r="I64" s="38"/>
      <c r="J64" s="73" t="s">
        <v>143</v>
      </c>
      <c r="K64" s="10">
        <v>90000</v>
      </c>
      <c r="L64" s="80"/>
      <c r="M64" s="10">
        <f>K64*12</f>
        <v>1080000</v>
      </c>
      <c r="N64" s="3">
        <v>116120.9</v>
      </c>
      <c r="O64" s="3">
        <v>0</v>
      </c>
      <c r="P64" s="9">
        <f t="shared" si="7"/>
        <v>116120.9</v>
      </c>
      <c r="Q64" s="10"/>
      <c r="R64" s="65"/>
      <c r="S64" s="45"/>
      <c r="T64" s="53"/>
      <c r="U64" s="53"/>
      <c r="V64" s="53"/>
      <c r="W64" s="53"/>
      <c r="X64" s="10">
        <f>90000-26121</f>
        <v>63879</v>
      </c>
      <c r="Y64" s="70">
        <f>K64</f>
        <v>90000</v>
      </c>
      <c r="Z64" s="46">
        <f t="shared" si="9"/>
        <v>153879</v>
      </c>
    </row>
    <row r="65" spans="1:26" ht="45">
      <c r="A65" s="86" t="s">
        <v>453</v>
      </c>
      <c r="B65" s="76" t="s">
        <v>109</v>
      </c>
      <c r="C65" s="76">
        <v>2</v>
      </c>
      <c r="D65" s="49" t="s">
        <v>168</v>
      </c>
      <c r="E65" s="49" t="s">
        <v>169</v>
      </c>
      <c r="F65" s="38" t="s">
        <v>170</v>
      </c>
      <c r="G65" s="111">
        <v>46127</v>
      </c>
      <c r="H65" s="63" t="str">
        <f t="shared" ca="1" si="8"/>
        <v>NO PRAZO</v>
      </c>
      <c r="I65" s="38"/>
      <c r="J65" s="98" t="s">
        <v>171</v>
      </c>
      <c r="K65" s="10"/>
      <c r="L65" s="80">
        <f>12640.77</f>
        <v>12640.77</v>
      </c>
      <c r="M65" s="10">
        <f>L65*12</f>
        <v>151689.24</v>
      </c>
      <c r="N65" s="3">
        <v>0</v>
      </c>
      <c r="O65" s="3">
        <v>0</v>
      </c>
      <c r="P65" s="9">
        <f t="shared" si="7"/>
        <v>0</v>
      </c>
      <c r="Q65" s="10"/>
      <c r="R65" s="10"/>
      <c r="S65" s="45"/>
      <c r="T65" s="45"/>
      <c r="U65" s="10">
        <f>L65-536</f>
        <v>12104.77</v>
      </c>
      <c r="V65" s="53"/>
      <c r="W65" s="10">
        <f>L65</f>
        <v>12640.77</v>
      </c>
      <c r="X65" s="10">
        <f>L65</f>
        <v>12640.77</v>
      </c>
      <c r="Y65" s="70">
        <f>L65</f>
        <v>12640.77</v>
      </c>
      <c r="Z65" s="46">
        <f t="shared" si="9"/>
        <v>37922.31</v>
      </c>
    </row>
    <row r="66" spans="1:26">
      <c r="A66" s="75" t="s">
        <v>176</v>
      </c>
      <c r="B66" s="93" t="s">
        <v>109</v>
      </c>
      <c r="C66" s="93">
        <v>1</v>
      </c>
      <c r="D66" s="114" t="s">
        <v>177</v>
      </c>
      <c r="E66" s="49" t="s">
        <v>178</v>
      </c>
      <c r="F66" s="81" t="s">
        <v>179</v>
      </c>
      <c r="G66" s="68">
        <v>46131</v>
      </c>
      <c r="H66" s="63" t="str">
        <f t="shared" ca="1" si="8"/>
        <v>NO PRAZO</v>
      </c>
      <c r="I66" s="38"/>
      <c r="J66" s="81" t="s">
        <v>180</v>
      </c>
      <c r="K66" s="10"/>
      <c r="L66" s="80">
        <f>M66/12</f>
        <v>24316.78</v>
      </c>
      <c r="M66" s="10">
        <v>291801.36</v>
      </c>
      <c r="N66" s="3">
        <v>50982.01</v>
      </c>
      <c r="O66" s="3">
        <v>0</v>
      </c>
      <c r="P66" s="9">
        <f t="shared" si="7"/>
        <v>50982.01</v>
      </c>
      <c r="Q66" s="45"/>
      <c r="R66" s="10"/>
      <c r="S66" s="10">
        <v>865.66</v>
      </c>
      <c r="T66" s="65">
        <f>L66-2497</f>
        <v>21819.78</v>
      </c>
      <c r="U66" s="10">
        <f>L66-22360</f>
        <v>1956.7799999999988</v>
      </c>
      <c r="V66" s="10">
        <f>L66</f>
        <v>24316.78</v>
      </c>
      <c r="W66" s="53"/>
      <c r="X66" s="53"/>
      <c r="Y66" s="70">
        <f>L66-2348</f>
        <v>21968.78</v>
      </c>
      <c r="Z66" s="46">
        <f t="shared" si="9"/>
        <v>21968.78</v>
      </c>
    </row>
    <row r="67" spans="1:26" ht="75">
      <c r="A67" s="86" t="s">
        <v>181</v>
      </c>
      <c r="B67" s="93" t="s">
        <v>109</v>
      </c>
      <c r="C67" s="93">
        <v>1</v>
      </c>
      <c r="D67" s="114" t="s">
        <v>182</v>
      </c>
      <c r="E67" s="49" t="s">
        <v>472</v>
      </c>
      <c r="F67" s="81" t="s">
        <v>183</v>
      </c>
      <c r="G67" s="68">
        <v>45929</v>
      </c>
      <c r="H67" s="63" t="str">
        <f t="shared" ca="1" si="8"/>
        <v>EXPIRADO</v>
      </c>
      <c r="I67" s="38" t="s">
        <v>473</v>
      </c>
      <c r="J67" s="81" t="s">
        <v>185</v>
      </c>
      <c r="K67" s="10"/>
      <c r="L67" s="80">
        <v>131667.49</v>
      </c>
      <c r="M67" s="10">
        <f t="shared" ref="M67:M72" si="10">L67*12</f>
        <v>1580009.88</v>
      </c>
      <c r="N67" s="3">
        <v>264774.55</v>
      </c>
      <c r="O67" s="3">
        <v>0</v>
      </c>
      <c r="P67" s="9">
        <f t="shared" si="7"/>
        <v>264774.55</v>
      </c>
      <c r="Q67" s="45"/>
      <c r="R67" s="10"/>
      <c r="S67" s="45"/>
      <c r="T67" s="10">
        <v>131667</v>
      </c>
      <c r="U67" s="45"/>
      <c r="V67" s="10">
        <f>L67</f>
        <v>131667.49</v>
      </c>
      <c r="W67" s="53"/>
      <c r="X67" s="53"/>
      <c r="Y67" s="70">
        <f t="shared" ref="Y67:Y72" si="11">L67</f>
        <v>131667.49</v>
      </c>
      <c r="Z67" s="46">
        <f t="shared" si="9"/>
        <v>131667.49</v>
      </c>
    </row>
    <row r="68" spans="1:26" ht="45">
      <c r="A68" s="86" t="s">
        <v>190</v>
      </c>
      <c r="B68" s="93" t="s">
        <v>109</v>
      </c>
      <c r="C68" s="93">
        <v>1</v>
      </c>
      <c r="D68" s="114" t="s">
        <v>191</v>
      </c>
      <c r="E68" s="49" t="s">
        <v>192</v>
      </c>
      <c r="F68" s="81" t="s">
        <v>193</v>
      </c>
      <c r="G68" s="68">
        <v>45745</v>
      </c>
      <c r="H68" s="63" t="str">
        <f t="shared" ca="1" si="8"/>
        <v>EXPIRADO</v>
      </c>
      <c r="I68" s="38" t="s">
        <v>474</v>
      </c>
      <c r="J68" s="81" t="s">
        <v>194</v>
      </c>
      <c r="K68" s="10"/>
      <c r="L68" s="80">
        <v>183316.03</v>
      </c>
      <c r="M68" s="10">
        <f t="shared" si="10"/>
        <v>2199792.36</v>
      </c>
      <c r="N68" s="3">
        <v>183316.03</v>
      </c>
      <c r="O68" s="3">
        <v>0</v>
      </c>
      <c r="P68" s="9">
        <f t="shared" si="7"/>
        <v>183316.03</v>
      </c>
      <c r="Q68" s="45"/>
      <c r="R68" s="10"/>
      <c r="S68" s="65">
        <f>L68-P68</f>
        <v>0</v>
      </c>
      <c r="T68" s="10">
        <f>L68</f>
        <v>183316.03</v>
      </c>
      <c r="U68" s="45"/>
      <c r="V68" s="53"/>
      <c r="W68" s="53"/>
      <c r="X68" s="10">
        <f>L68</f>
        <v>183316.03</v>
      </c>
      <c r="Y68" s="70">
        <f t="shared" si="11"/>
        <v>183316.03</v>
      </c>
      <c r="Z68" s="46">
        <f t="shared" si="9"/>
        <v>366632.06</v>
      </c>
    </row>
    <row r="69" spans="1:26" ht="45">
      <c r="A69" s="89" t="s">
        <v>198</v>
      </c>
      <c r="B69" s="76" t="s">
        <v>109</v>
      </c>
      <c r="C69" s="76">
        <v>1</v>
      </c>
      <c r="D69" s="67" t="s">
        <v>199</v>
      </c>
      <c r="E69" s="67" t="s">
        <v>200</v>
      </c>
      <c r="F69" s="81" t="s">
        <v>201</v>
      </c>
      <c r="G69" s="111">
        <v>45902</v>
      </c>
      <c r="H69" s="63" t="str">
        <f t="shared" ca="1" si="8"/>
        <v>EXPIRADO</v>
      </c>
      <c r="I69" s="38"/>
      <c r="J69" s="81" t="s">
        <v>202</v>
      </c>
      <c r="K69" s="10"/>
      <c r="L69" s="80">
        <v>117871.46</v>
      </c>
      <c r="M69" s="10">
        <f t="shared" si="10"/>
        <v>1414457.52</v>
      </c>
      <c r="N69" s="10">
        <v>235742.92</v>
      </c>
      <c r="O69" s="3">
        <v>0</v>
      </c>
      <c r="P69" s="9">
        <f t="shared" si="7"/>
        <v>235742.92</v>
      </c>
      <c r="Q69" s="45"/>
      <c r="R69" s="10"/>
      <c r="S69" s="45"/>
      <c r="T69" s="10">
        <f>117871-49371</f>
        <v>68500</v>
      </c>
      <c r="U69" s="10">
        <f>L69-P69</f>
        <v>-117871.46</v>
      </c>
      <c r="V69" s="10">
        <f>L69</f>
        <v>117871.46</v>
      </c>
      <c r="W69" s="53"/>
      <c r="X69" s="53"/>
      <c r="Y69" s="108">
        <f t="shared" si="11"/>
        <v>117871.46</v>
      </c>
      <c r="Z69" s="46">
        <f t="shared" si="9"/>
        <v>117871.46</v>
      </c>
    </row>
    <row r="70" spans="1:26">
      <c r="A70" s="75" t="s">
        <v>203</v>
      </c>
      <c r="B70" s="93" t="s">
        <v>109</v>
      </c>
      <c r="C70" s="93">
        <v>1</v>
      </c>
      <c r="D70" s="94" t="s">
        <v>204</v>
      </c>
      <c r="E70" s="71" t="s">
        <v>205</v>
      </c>
      <c r="F70" s="81" t="s">
        <v>206</v>
      </c>
      <c r="G70" s="68">
        <v>46402</v>
      </c>
      <c r="H70" s="63" t="str">
        <f t="shared" ca="1" si="8"/>
        <v>NO PRAZO</v>
      </c>
      <c r="I70" s="63"/>
      <c r="J70" s="81" t="s">
        <v>207</v>
      </c>
      <c r="K70" s="10"/>
      <c r="L70" s="115">
        <v>1889237.76</v>
      </c>
      <c r="M70" s="10">
        <f t="shared" si="10"/>
        <v>22670853.120000001</v>
      </c>
      <c r="N70" s="3">
        <v>2846580.63</v>
      </c>
      <c r="O70" s="116">
        <v>0</v>
      </c>
      <c r="P70" s="9">
        <f t="shared" si="7"/>
        <v>2846580.63</v>
      </c>
      <c r="Q70" s="45"/>
      <c r="R70" s="10"/>
      <c r="S70" s="45"/>
      <c r="T70" s="10">
        <f>1882331-116567</f>
        <v>1765764</v>
      </c>
      <c r="U70" s="45"/>
      <c r="V70" s="10">
        <f>L70</f>
        <v>1889237.76</v>
      </c>
      <c r="W70" s="53"/>
      <c r="X70" s="10">
        <f>L70-957343</f>
        <v>931894.76</v>
      </c>
      <c r="Y70" s="70">
        <f t="shared" si="11"/>
        <v>1889237.76</v>
      </c>
      <c r="Z70" s="46">
        <f>SUM(W70:Y70)+1000000</f>
        <v>3821132.52</v>
      </c>
    </row>
    <row r="71" spans="1:26" ht="45">
      <c r="A71" s="75" t="s">
        <v>213</v>
      </c>
      <c r="B71" s="93" t="s">
        <v>109</v>
      </c>
      <c r="C71" s="93">
        <v>1</v>
      </c>
      <c r="D71" s="94" t="s">
        <v>214</v>
      </c>
      <c r="E71" s="71" t="s">
        <v>215</v>
      </c>
      <c r="F71" s="81" t="s">
        <v>216</v>
      </c>
      <c r="G71" s="68">
        <v>46020</v>
      </c>
      <c r="H71" s="63" t="str">
        <f t="shared" ca="1" si="8"/>
        <v>EM BREVE</v>
      </c>
      <c r="I71" s="63"/>
      <c r="J71" s="81" t="s">
        <v>217</v>
      </c>
      <c r="K71" s="10"/>
      <c r="L71" s="80">
        <f>1205875.51+32423.44</f>
        <v>1238298.95</v>
      </c>
      <c r="M71" s="43">
        <f t="shared" si="10"/>
        <v>14859587.399999999</v>
      </c>
      <c r="N71" s="3">
        <v>1859307.31</v>
      </c>
      <c r="O71" s="3">
        <v>0</v>
      </c>
      <c r="P71" s="9">
        <f t="shared" si="7"/>
        <v>1859307.31</v>
      </c>
      <c r="Q71" s="45"/>
      <c r="R71" s="10"/>
      <c r="S71" s="10">
        <f>L71-O71</f>
        <v>1238298.95</v>
      </c>
      <c r="T71" s="10">
        <f>1238299-555</f>
        <v>1237744</v>
      </c>
      <c r="U71" s="45"/>
      <c r="V71" s="10">
        <f>L71</f>
        <v>1238298.95</v>
      </c>
      <c r="W71" s="53"/>
      <c r="X71" s="10">
        <f>L71-621008</f>
        <v>617290.94999999995</v>
      </c>
      <c r="Y71" s="70">
        <f t="shared" si="11"/>
        <v>1238298.95</v>
      </c>
      <c r="Z71" s="46">
        <f>SUM(W71:Y71)</f>
        <v>1855589.9</v>
      </c>
    </row>
    <row r="72" spans="1:26" ht="30">
      <c r="A72" s="75" t="s">
        <v>218</v>
      </c>
      <c r="B72" s="93" t="s">
        <v>109</v>
      </c>
      <c r="C72" s="93">
        <v>1</v>
      </c>
      <c r="D72" s="94" t="s">
        <v>219</v>
      </c>
      <c r="E72" s="71" t="s">
        <v>215</v>
      </c>
      <c r="F72" s="81" t="s">
        <v>220</v>
      </c>
      <c r="G72" s="68">
        <v>46166</v>
      </c>
      <c r="H72" s="63" t="str">
        <f t="shared" ca="1" si="8"/>
        <v>NO PRAZO</v>
      </c>
      <c r="I72" s="38"/>
      <c r="J72" s="81" t="s">
        <v>221</v>
      </c>
      <c r="K72" s="118"/>
      <c r="L72" s="42">
        <v>236438.33100000001</v>
      </c>
      <c r="M72" s="43">
        <f t="shared" si="10"/>
        <v>2837259.9720000001</v>
      </c>
      <c r="N72" s="3">
        <v>332837.48</v>
      </c>
      <c r="O72" s="3">
        <v>0</v>
      </c>
      <c r="P72" s="9">
        <f t="shared" si="7"/>
        <v>332837.48</v>
      </c>
      <c r="Q72" s="45"/>
      <c r="R72" s="10"/>
      <c r="S72" s="45"/>
      <c r="T72" s="10">
        <v>190000</v>
      </c>
      <c r="U72" s="45"/>
      <c r="V72" s="10">
        <f>L72-171405</f>
        <v>65033.331000000006</v>
      </c>
      <c r="W72" s="53"/>
      <c r="X72" s="10">
        <f>L72-96399</f>
        <v>140039.33100000001</v>
      </c>
      <c r="Y72" s="70">
        <f t="shared" si="11"/>
        <v>236438.33100000001</v>
      </c>
      <c r="Z72" s="46">
        <f>SUM(W72:Y72)</f>
        <v>376477.66200000001</v>
      </c>
    </row>
    <row r="73" spans="1:26">
      <c r="A73" s="171" t="s">
        <v>412</v>
      </c>
      <c r="B73" s="171"/>
      <c r="C73" s="172"/>
      <c r="D73" s="171"/>
      <c r="E73" s="171"/>
      <c r="F73" s="172"/>
      <c r="G73" s="171"/>
      <c r="H73" s="171"/>
      <c r="I73" s="171"/>
      <c r="J73" s="171"/>
      <c r="K73" s="173">
        <f t="shared" ref="K73:V73" si="12">SUM(K41:K71)</f>
        <v>1263625.02</v>
      </c>
      <c r="L73" s="174">
        <f t="shared" si="12"/>
        <v>3597349.24</v>
      </c>
      <c r="M73" s="173">
        <f t="shared" si="12"/>
        <v>57875598.859999999</v>
      </c>
      <c r="N73" s="173">
        <f t="shared" si="12"/>
        <v>5883261.46</v>
      </c>
      <c r="O73" s="173">
        <f t="shared" si="12"/>
        <v>5443</v>
      </c>
      <c r="P73" s="173">
        <f t="shared" si="12"/>
        <v>5888704.46</v>
      </c>
      <c r="Q73" s="173">
        <f t="shared" si="12"/>
        <v>45658</v>
      </c>
      <c r="R73" s="173">
        <f t="shared" si="12"/>
        <v>45689</v>
      </c>
      <c r="S73" s="173">
        <f t="shared" si="12"/>
        <v>1284881.6099999999</v>
      </c>
      <c r="T73" s="173">
        <f t="shared" si="12"/>
        <v>3724562.23</v>
      </c>
      <c r="U73" s="173">
        <f t="shared" si="12"/>
        <v>226903.00000000006</v>
      </c>
      <c r="V73" s="173">
        <f t="shared" si="12"/>
        <v>4560006.46</v>
      </c>
      <c r="W73" s="173">
        <f>SUM(W61:W72)</f>
        <v>854385.79</v>
      </c>
      <c r="X73" s="173">
        <f>SUM(X61:X72)</f>
        <v>2824685.8610000005</v>
      </c>
      <c r="Y73" s="173">
        <f>SUM(Y61:Y72)</f>
        <v>4731439.5710000005</v>
      </c>
      <c r="Z73" s="193">
        <f>SUM(Z61:Z72)</f>
        <v>9511511.222000001</v>
      </c>
    </row>
    <row r="77" spans="1:26" ht="45">
      <c r="A77" s="1" t="s">
        <v>7</v>
      </c>
      <c r="B77" s="1" t="s">
        <v>8</v>
      </c>
      <c r="C77" s="1" t="s">
        <v>413</v>
      </c>
      <c r="D77" s="1" t="s">
        <v>9</v>
      </c>
      <c r="E77" s="1" t="s">
        <v>10</v>
      </c>
      <c r="F77" s="1" t="s">
        <v>11</v>
      </c>
      <c r="G77" s="1" t="s">
        <v>12</v>
      </c>
      <c r="H77" s="1" t="s">
        <v>13</v>
      </c>
      <c r="I77" s="1" t="s">
        <v>14</v>
      </c>
      <c r="J77" s="1" t="s">
        <v>15</v>
      </c>
      <c r="K77" s="29" t="s">
        <v>16</v>
      </c>
      <c r="L77" s="30" t="s">
        <v>17</v>
      </c>
      <c r="M77" s="31" t="s">
        <v>18</v>
      </c>
      <c r="N77" s="31" t="s">
        <v>19</v>
      </c>
      <c r="O77" s="31" t="s">
        <v>20</v>
      </c>
      <c r="P77" s="32" t="s">
        <v>21</v>
      </c>
      <c r="Q77" s="31">
        <v>45658</v>
      </c>
      <c r="R77" s="31">
        <v>45689</v>
      </c>
      <c r="S77" s="31">
        <v>45717</v>
      </c>
      <c r="T77" s="31">
        <v>45748</v>
      </c>
      <c r="U77" s="31">
        <v>45778</v>
      </c>
      <c r="V77" s="31">
        <v>45809</v>
      </c>
      <c r="W77" s="31">
        <v>45839</v>
      </c>
      <c r="X77" s="31">
        <v>45870</v>
      </c>
      <c r="Y77" s="31">
        <v>45901</v>
      </c>
      <c r="Z77" s="31" t="s">
        <v>22</v>
      </c>
    </row>
    <row r="78" spans="1:26" ht="45">
      <c r="A78" s="86" t="s">
        <v>208</v>
      </c>
      <c r="B78" s="93" t="s">
        <v>109</v>
      </c>
      <c r="C78" s="93">
        <v>1</v>
      </c>
      <c r="D78" s="94" t="s">
        <v>209</v>
      </c>
      <c r="E78" s="71" t="s">
        <v>210</v>
      </c>
      <c r="F78" s="81" t="s">
        <v>211</v>
      </c>
      <c r="G78" s="68">
        <v>46097</v>
      </c>
      <c r="H78" s="63" t="str">
        <f t="shared" ref="H78:H88" ca="1" si="13">IF((G78-TODAY())&lt;0,"EXPIRADO", IF((G78-TODAY())&lt;=60,"EM BREVE","NO PRAZO"))</f>
        <v>NO PRAZO</v>
      </c>
      <c r="I78" s="38" t="s">
        <v>477</v>
      </c>
      <c r="J78" s="81" t="s">
        <v>212</v>
      </c>
      <c r="K78" s="10"/>
      <c r="L78" s="80">
        <v>1617878.59</v>
      </c>
      <c r="M78" s="43">
        <f>L78*12</f>
        <v>19414543.080000002</v>
      </c>
      <c r="N78" s="3">
        <v>2426817.89</v>
      </c>
      <c r="O78" s="117">
        <v>0</v>
      </c>
      <c r="P78" s="9">
        <f t="shared" ref="P78:P93" si="14">SUM(N78:O78)</f>
        <v>2426817.89</v>
      </c>
      <c r="Q78" s="45"/>
      <c r="R78" s="10"/>
      <c r="S78" s="45"/>
      <c r="T78" s="10">
        <f>L78</f>
        <v>1617878.59</v>
      </c>
      <c r="U78" s="45"/>
      <c r="V78" s="10">
        <f>L78</f>
        <v>1617878.59</v>
      </c>
      <c r="W78" s="53"/>
      <c r="X78" s="10">
        <f>L78-808939</f>
        <v>808939.59000000008</v>
      </c>
      <c r="Y78" s="70">
        <f>L78</f>
        <v>1617878.59</v>
      </c>
      <c r="Z78" s="46">
        <f>SUM(W78:Y78)+1000000</f>
        <v>3426818.18</v>
      </c>
    </row>
    <row r="79" spans="1:26" ht="61.5" customHeight="1">
      <c r="A79" s="75" t="s">
        <v>488</v>
      </c>
      <c r="B79" s="93" t="s">
        <v>109</v>
      </c>
      <c r="C79" s="93">
        <v>2</v>
      </c>
      <c r="D79" s="94" t="s">
        <v>228</v>
      </c>
      <c r="E79" s="71" t="s">
        <v>229</v>
      </c>
      <c r="F79" s="81" t="s">
        <v>230</v>
      </c>
      <c r="G79" s="68">
        <v>46114</v>
      </c>
      <c r="H79" s="63" t="str">
        <f t="shared" ca="1" si="13"/>
        <v>NO PRAZO</v>
      </c>
      <c r="I79" s="38"/>
      <c r="J79" s="81" t="s">
        <v>231</v>
      </c>
      <c r="K79" s="10">
        <v>1600000</v>
      </c>
      <c r="L79" s="42"/>
      <c r="M79" s="43">
        <f>K79*12</f>
        <v>19200000</v>
      </c>
      <c r="N79" s="3">
        <f>1387659.05</f>
        <v>1387659.05</v>
      </c>
      <c r="O79" s="3">
        <v>6102.62</v>
      </c>
      <c r="P79" s="9">
        <f t="shared" si="14"/>
        <v>1393761.6700000002</v>
      </c>
      <c r="Q79" s="45"/>
      <c r="R79" s="45"/>
      <c r="S79" s="45"/>
      <c r="T79" s="45"/>
      <c r="U79" s="45"/>
      <c r="V79" s="10">
        <f>K79-836351</f>
        <v>763649</v>
      </c>
      <c r="W79" s="70">
        <f>K79-1393762</f>
        <v>206238</v>
      </c>
      <c r="X79" s="10">
        <f>K79</f>
        <v>1600000</v>
      </c>
      <c r="Y79" s="10"/>
      <c r="Z79" s="46">
        <f t="shared" ref="Z79:Z93" si="15">SUM(W79:Y79)</f>
        <v>1806238</v>
      </c>
    </row>
    <row r="80" spans="1:26">
      <c r="A80" s="75" t="s">
        <v>232</v>
      </c>
      <c r="B80" s="93" t="s">
        <v>109</v>
      </c>
      <c r="C80" s="93">
        <v>2</v>
      </c>
      <c r="D80" s="94" t="s">
        <v>233</v>
      </c>
      <c r="E80" s="71" t="s">
        <v>229</v>
      </c>
      <c r="F80" s="81" t="s">
        <v>234</v>
      </c>
      <c r="G80" s="68">
        <v>46022</v>
      </c>
      <c r="H80" s="63" t="str">
        <f t="shared" ca="1" si="13"/>
        <v>EM BREVE</v>
      </c>
      <c r="I80" s="38"/>
      <c r="J80" s="38" t="s">
        <v>236</v>
      </c>
      <c r="K80" s="10">
        <f>M80/12</f>
        <v>1924342.125</v>
      </c>
      <c r="L80" s="42"/>
      <c r="M80" s="43">
        <f>8383552.34+14708553.16</f>
        <v>23092105.5</v>
      </c>
      <c r="N80" s="10">
        <v>2198081.7799999998</v>
      </c>
      <c r="O80" s="3">
        <v>378631.87</v>
      </c>
      <c r="P80" s="9">
        <f t="shared" si="14"/>
        <v>2576713.65</v>
      </c>
      <c r="Q80" s="45"/>
      <c r="R80" s="45"/>
      <c r="S80" s="45"/>
      <c r="T80" s="45"/>
      <c r="U80" s="45"/>
      <c r="V80" s="10">
        <f>K80-P80</f>
        <v>-652371.52499999991</v>
      </c>
      <c r="W80" s="45"/>
      <c r="X80" s="10">
        <f>K80-652371.53</f>
        <v>1271970.595</v>
      </c>
      <c r="Y80" s="10"/>
      <c r="Z80" s="46">
        <f t="shared" si="15"/>
        <v>1271970.595</v>
      </c>
    </row>
    <row r="81" spans="1:26" ht="61.5" customHeight="1">
      <c r="A81" s="75" t="s">
        <v>467</v>
      </c>
      <c r="B81" s="93" t="s">
        <v>109</v>
      </c>
      <c r="C81" s="93">
        <v>2</v>
      </c>
      <c r="D81" s="94" t="s">
        <v>228</v>
      </c>
      <c r="E81" s="71" t="s">
        <v>238</v>
      </c>
      <c r="F81" s="81" t="s">
        <v>239</v>
      </c>
      <c r="G81" s="68">
        <v>46146</v>
      </c>
      <c r="H81" s="63" t="str">
        <f t="shared" ca="1" si="13"/>
        <v>NO PRAZO</v>
      </c>
      <c r="I81" s="38"/>
      <c r="J81" s="81" t="s">
        <v>240</v>
      </c>
      <c r="K81" s="10">
        <v>145000</v>
      </c>
      <c r="L81" s="42"/>
      <c r="M81" s="43">
        <f>K81*12</f>
        <v>1740000</v>
      </c>
      <c r="N81" s="3">
        <f>64791.35+188772.36</f>
        <v>253563.71</v>
      </c>
      <c r="O81" s="3">
        <v>10932</v>
      </c>
      <c r="P81" s="9">
        <f t="shared" si="14"/>
        <v>264495.70999999996</v>
      </c>
      <c r="Q81" s="45"/>
      <c r="R81" s="45"/>
      <c r="S81" s="45"/>
      <c r="T81" s="45"/>
      <c r="U81" s="45"/>
      <c r="V81" s="45"/>
      <c r="W81" s="45"/>
      <c r="X81" s="10">
        <f>K81-119495.71</f>
        <v>25504.289999999994</v>
      </c>
      <c r="Y81" s="10">
        <f>K81</f>
        <v>145000</v>
      </c>
      <c r="Z81" s="46">
        <f t="shared" si="15"/>
        <v>170504.28999999998</v>
      </c>
    </row>
    <row r="82" spans="1:26" ht="45">
      <c r="A82" s="86" t="s">
        <v>241</v>
      </c>
      <c r="B82" s="93" t="s">
        <v>109</v>
      </c>
      <c r="C82" s="93">
        <v>1</v>
      </c>
      <c r="D82" s="71" t="s">
        <v>242</v>
      </c>
      <c r="E82" s="71" t="s">
        <v>243</v>
      </c>
      <c r="F82" s="81" t="s">
        <v>244</v>
      </c>
      <c r="G82" s="68">
        <v>46097</v>
      </c>
      <c r="H82" s="63" t="str">
        <f t="shared" ca="1" si="13"/>
        <v>NO PRAZO</v>
      </c>
      <c r="I82" s="38" t="s">
        <v>480</v>
      </c>
      <c r="J82" s="81" t="s">
        <v>245</v>
      </c>
      <c r="K82" s="10"/>
      <c r="L82" s="42">
        <v>458615.91</v>
      </c>
      <c r="M82" s="43">
        <f>L82*12</f>
        <v>5503390.9199999999</v>
      </c>
      <c r="N82" s="3">
        <v>917231.82</v>
      </c>
      <c r="O82" s="3"/>
      <c r="P82" s="9">
        <f t="shared" si="14"/>
        <v>917231.82</v>
      </c>
      <c r="Q82" s="45"/>
      <c r="R82" s="10"/>
      <c r="S82" s="10">
        <f>L82-O82</f>
        <v>458615.91</v>
      </c>
      <c r="T82" s="45"/>
      <c r="U82" s="45"/>
      <c r="V82" s="10">
        <f>L82</f>
        <v>458615.91</v>
      </c>
      <c r="W82" s="45"/>
      <c r="X82" s="45"/>
      <c r="Y82" s="10">
        <f t="shared" ref="Y82:Y87" si="16">L82</f>
        <v>458615.91</v>
      </c>
      <c r="Z82" s="46">
        <f t="shared" si="15"/>
        <v>458615.91</v>
      </c>
    </row>
    <row r="83" spans="1:26" ht="30">
      <c r="A83" s="86" t="s">
        <v>254</v>
      </c>
      <c r="B83" s="93" t="s">
        <v>47</v>
      </c>
      <c r="C83" s="124">
        <v>1</v>
      </c>
      <c r="D83" s="71" t="s">
        <v>204</v>
      </c>
      <c r="E83" s="71" t="s">
        <v>256</v>
      </c>
      <c r="F83" s="81" t="s">
        <v>257</v>
      </c>
      <c r="G83" s="68">
        <v>45889</v>
      </c>
      <c r="H83" s="63" t="str">
        <f t="shared" ca="1" si="13"/>
        <v>EXPIRADO</v>
      </c>
      <c r="I83" s="38"/>
      <c r="J83" s="81" t="s">
        <v>258</v>
      </c>
      <c r="K83" s="10"/>
      <c r="L83" s="80">
        <f>M83/12</f>
        <v>5331.32</v>
      </c>
      <c r="M83" s="10">
        <v>63975.839999999997</v>
      </c>
      <c r="N83" s="3">
        <v>4395.71</v>
      </c>
      <c r="O83" s="3">
        <v>0</v>
      </c>
      <c r="P83" s="9">
        <f t="shared" si="14"/>
        <v>4395.71</v>
      </c>
      <c r="Q83" s="45"/>
      <c r="R83" s="45"/>
      <c r="S83" s="10">
        <f>L83-P83</f>
        <v>935.60999999999967</v>
      </c>
      <c r="T83" s="10">
        <f>L83-4688</f>
        <v>643.31999999999971</v>
      </c>
      <c r="U83" s="45"/>
      <c r="V83" s="10">
        <f>5331-P83</f>
        <v>935.29</v>
      </c>
      <c r="W83" s="70">
        <f>L83-4396</f>
        <v>935.31999999999971</v>
      </c>
      <c r="X83" s="65">
        <f>L83</f>
        <v>5331.32</v>
      </c>
      <c r="Y83" s="10">
        <f t="shared" si="16"/>
        <v>5331.32</v>
      </c>
      <c r="Z83" s="46">
        <f t="shared" si="15"/>
        <v>11597.96</v>
      </c>
    </row>
    <row r="84" spans="1:26">
      <c r="A84" s="90" t="s">
        <v>259</v>
      </c>
      <c r="B84" s="93" t="s">
        <v>47</v>
      </c>
      <c r="C84" s="124">
        <v>1</v>
      </c>
      <c r="D84" s="94" t="s">
        <v>209</v>
      </c>
      <c r="E84" s="71" t="s">
        <v>260</v>
      </c>
      <c r="F84" s="81" t="s">
        <v>261</v>
      </c>
      <c r="G84" s="68">
        <v>45938</v>
      </c>
      <c r="H84" s="63" t="str">
        <f t="shared" ca="1" si="13"/>
        <v>EXPIRADO</v>
      </c>
      <c r="I84" s="38"/>
      <c r="J84" s="81" t="s">
        <v>262</v>
      </c>
      <c r="K84" s="10"/>
      <c r="L84" s="80">
        <v>23452.22</v>
      </c>
      <c r="M84" s="10">
        <f>L84*12</f>
        <v>281426.64</v>
      </c>
      <c r="N84" s="125">
        <v>46904.44</v>
      </c>
      <c r="O84" s="3">
        <v>0</v>
      </c>
      <c r="P84" s="9">
        <f t="shared" si="14"/>
        <v>46904.44</v>
      </c>
      <c r="Q84" s="53"/>
      <c r="R84" s="10"/>
      <c r="S84" s="45"/>
      <c r="T84" s="45"/>
      <c r="U84" s="45"/>
      <c r="V84" s="70">
        <f>L84</f>
        <v>23452.22</v>
      </c>
      <c r="W84" s="45"/>
      <c r="X84" s="45"/>
      <c r="Y84" s="10">
        <f t="shared" si="16"/>
        <v>23452.22</v>
      </c>
      <c r="Z84" s="46">
        <f t="shared" si="15"/>
        <v>23452.22</v>
      </c>
    </row>
    <row r="85" spans="1:26" ht="30">
      <c r="A85" s="86" t="s">
        <v>267</v>
      </c>
      <c r="B85" s="93" t="s">
        <v>47</v>
      </c>
      <c r="C85" s="124">
        <v>1</v>
      </c>
      <c r="D85" s="71" t="s">
        <v>223</v>
      </c>
      <c r="E85" s="71" t="s">
        <v>268</v>
      </c>
      <c r="F85" s="81" t="s">
        <v>269</v>
      </c>
      <c r="G85" s="68">
        <v>46068</v>
      </c>
      <c r="H85" s="63" t="str">
        <f t="shared" ca="1" si="13"/>
        <v>NO PRAZO</v>
      </c>
      <c r="I85" s="38"/>
      <c r="J85" s="81" t="s">
        <v>271</v>
      </c>
      <c r="K85" s="10"/>
      <c r="L85" s="42">
        <f>M85/12</f>
        <v>4290.91</v>
      </c>
      <c r="M85" s="43">
        <v>51490.92</v>
      </c>
      <c r="N85" s="3">
        <v>4537</v>
      </c>
      <c r="O85" s="3">
        <v>0</v>
      </c>
      <c r="P85" s="9">
        <f t="shared" si="14"/>
        <v>4537</v>
      </c>
      <c r="Q85" s="53"/>
      <c r="R85" s="10"/>
      <c r="S85" s="45"/>
      <c r="T85" s="45"/>
      <c r="U85" s="45"/>
      <c r="V85" s="10">
        <f>L85</f>
        <v>4290.91</v>
      </c>
      <c r="W85" s="45"/>
      <c r="X85" s="10">
        <f>L85</f>
        <v>4290.91</v>
      </c>
      <c r="Y85" s="10">
        <f t="shared" si="16"/>
        <v>4290.91</v>
      </c>
      <c r="Z85" s="46">
        <f t="shared" si="15"/>
        <v>8581.82</v>
      </c>
    </row>
    <row r="86" spans="1:26" ht="30">
      <c r="A86" s="126" t="s">
        <v>272</v>
      </c>
      <c r="B86" s="128" t="s">
        <v>273</v>
      </c>
      <c r="C86" s="128">
        <v>1</v>
      </c>
      <c r="D86" s="129" t="s">
        <v>274</v>
      </c>
      <c r="E86" s="129" t="s">
        <v>275</v>
      </c>
      <c r="F86" s="81" t="s">
        <v>276</v>
      </c>
      <c r="G86" s="68">
        <v>46434</v>
      </c>
      <c r="H86" s="63" t="str">
        <f t="shared" ca="1" si="13"/>
        <v>NO PRAZO</v>
      </c>
      <c r="I86" s="63"/>
      <c r="J86" s="130" t="s">
        <v>277</v>
      </c>
      <c r="K86" s="10"/>
      <c r="L86" s="80">
        <v>382896.8</v>
      </c>
      <c r="M86" s="10">
        <f>L86*12</f>
        <v>4594761.5999999996</v>
      </c>
      <c r="N86" s="3">
        <v>385232.05</v>
      </c>
      <c r="O86" s="3">
        <v>0</v>
      </c>
      <c r="P86" s="9">
        <f t="shared" si="14"/>
        <v>385232.05</v>
      </c>
      <c r="Q86" s="53"/>
      <c r="R86" s="53"/>
      <c r="S86" s="10">
        <f>L86-P86</f>
        <v>-2335.25</v>
      </c>
      <c r="T86" s="45"/>
      <c r="U86" s="45"/>
      <c r="V86" s="10">
        <f>L86-P86</f>
        <v>-2335.25</v>
      </c>
      <c r="W86" s="45"/>
      <c r="X86" s="10">
        <f>L86</f>
        <v>382896.8</v>
      </c>
      <c r="Y86" s="10">
        <f t="shared" si="16"/>
        <v>382896.8</v>
      </c>
      <c r="Z86" s="46">
        <f t="shared" si="15"/>
        <v>765793.6</v>
      </c>
    </row>
    <row r="87" spans="1:26">
      <c r="A87" s="126" t="s">
        <v>278</v>
      </c>
      <c r="B87" s="128" t="s">
        <v>273</v>
      </c>
      <c r="C87" s="128">
        <v>1</v>
      </c>
      <c r="D87" s="129" t="s">
        <v>279</v>
      </c>
      <c r="E87" s="129" t="s">
        <v>280</v>
      </c>
      <c r="F87" s="81" t="s">
        <v>281</v>
      </c>
      <c r="G87" s="68">
        <v>45854</v>
      </c>
      <c r="H87" s="63" t="str">
        <f t="shared" ca="1" si="13"/>
        <v>EXPIRADO</v>
      </c>
      <c r="I87" s="63" t="s">
        <v>102</v>
      </c>
      <c r="J87" s="130" t="s">
        <v>282</v>
      </c>
      <c r="K87" s="10"/>
      <c r="L87" s="80">
        <v>193823.77</v>
      </c>
      <c r="M87" s="10">
        <f>L87*12</f>
        <v>2325885.2399999998</v>
      </c>
      <c r="N87" s="3">
        <v>193823.77</v>
      </c>
      <c r="O87" s="3">
        <v>0</v>
      </c>
      <c r="P87" s="9">
        <f t="shared" si="14"/>
        <v>193823.77</v>
      </c>
      <c r="Q87" s="53"/>
      <c r="R87" s="53"/>
      <c r="S87" s="45"/>
      <c r="T87" s="10">
        <f>L87</f>
        <v>193823.77</v>
      </c>
      <c r="U87" s="45"/>
      <c r="V87" s="10">
        <f>L87</f>
        <v>193823.77</v>
      </c>
      <c r="W87" s="65"/>
      <c r="X87" s="10">
        <f>L87</f>
        <v>193823.77</v>
      </c>
      <c r="Y87" s="10">
        <f t="shared" si="16"/>
        <v>193823.77</v>
      </c>
      <c r="Z87" s="46">
        <f t="shared" si="15"/>
        <v>387647.54</v>
      </c>
    </row>
    <row r="88" spans="1:26">
      <c r="A88" s="126" t="s">
        <v>489</v>
      </c>
      <c r="B88" s="128" t="s">
        <v>273</v>
      </c>
      <c r="C88" s="128">
        <v>2</v>
      </c>
      <c r="D88" s="129" t="s">
        <v>306</v>
      </c>
      <c r="E88" s="129" t="s">
        <v>307</v>
      </c>
      <c r="F88" s="81" t="s">
        <v>308</v>
      </c>
      <c r="G88" s="68">
        <v>45920</v>
      </c>
      <c r="H88" s="63" t="str">
        <f t="shared" ca="1" si="13"/>
        <v>EXPIRADO</v>
      </c>
      <c r="I88" s="63"/>
      <c r="J88" s="81" t="s">
        <v>309</v>
      </c>
      <c r="K88" s="10"/>
      <c r="L88" s="80">
        <f>M88/12</f>
        <v>39124.22</v>
      </c>
      <c r="M88" s="10">
        <v>469490.64</v>
      </c>
      <c r="N88" s="3">
        <v>82722.66</v>
      </c>
      <c r="O88" s="3"/>
      <c r="P88" s="9">
        <f t="shared" si="14"/>
        <v>82722.66</v>
      </c>
      <c r="Q88" s="10"/>
      <c r="R88" s="10"/>
      <c r="S88" s="45"/>
      <c r="T88" s="45"/>
      <c r="U88" s="45"/>
      <c r="V88" s="45"/>
      <c r="W88" s="45"/>
      <c r="X88" s="45"/>
      <c r="Y88" s="108">
        <f>L88-4474.2</f>
        <v>34650.020000000004</v>
      </c>
      <c r="Z88" s="46">
        <f t="shared" si="15"/>
        <v>34650.020000000004</v>
      </c>
    </row>
    <row r="89" spans="1:26">
      <c r="A89" s="138" t="s">
        <v>314</v>
      </c>
      <c r="B89" s="128" t="s">
        <v>273</v>
      </c>
      <c r="C89" s="128">
        <v>3</v>
      </c>
      <c r="D89" s="129" t="s">
        <v>41</v>
      </c>
      <c r="E89" s="129" t="s">
        <v>315</v>
      </c>
      <c r="F89" s="38"/>
      <c r="G89" s="38"/>
      <c r="H89" s="63"/>
      <c r="I89" s="63"/>
      <c r="J89" s="38"/>
      <c r="K89" s="10">
        <v>40000</v>
      </c>
      <c r="L89" s="80"/>
      <c r="M89" s="10">
        <f>K89*12</f>
        <v>480000</v>
      </c>
      <c r="N89" s="59">
        <v>69292.17</v>
      </c>
      <c r="O89" s="59">
        <v>2965.4</v>
      </c>
      <c r="P89" s="9">
        <f t="shared" si="14"/>
        <v>72257.569999999992</v>
      </c>
      <c r="Q89" s="10"/>
      <c r="R89" s="10"/>
      <c r="S89" s="45"/>
      <c r="T89" s="70">
        <f>40000-12743</f>
        <v>27257</v>
      </c>
      <c r="U89" s="53"/>
      <c r="V89" s="70">
        <f>K89-23261</f>
        <v>16739</v>
      </c>
      <c r="W89" s="53"/>
      <c r="X89" s="70">
        <f>K89-32258</f>
        <v>7742</v>
      </c>
      <c r="Y89" s="70">
        <f>K89</f>
        <v>40000</v>
      </c>
      <c r="Z89" s="46">
        <f t="shared" si="15"/>
        <v>47742</v>
      </c>
    </row>
    <row r="90" spans="1:26">
      <c r="A90" s="138" t="s">
        <v>316</v>
      </c>
      <c r="B90" s="128" t="s">
        <v>273</v>
      </c>
      <c r="C90" s="128">
        <v>3</v>
      </c>
      <c r="D90" s="129" t="s">
        <v>45</v>
      </c>
      <c r="E90" s="129" t="s">
        <v>317</v>
      </c>
      <c r="F90" s="38"/>
      <c r="G90" s="38"/>
      <c r="H90" s="63"/>
      <c r="I90" s="63"/>
      <c r="J90" s="38"/>
      <c r="K90" s="10">
        <v>136350</v>
      </c>
      <c r="L90" s="80"/>
      <c r="M90" s="10">
        <f>K90*12</f>
        <v>1636200</v>
      </c>
      <c r="N90" s="3">
        <v>1162.83</v>
      </c>
      <c r="O90" s="3">
        <v>0</v>
      </c>
      <c r="P90" s="9">
        <f t="shared" si="14"/>
        <v>1162.83</v>
      </c>
      <c r="Q90" s="51"/>
      <c r="R90" s="10"/>
      <c r="S90" s="70">
        <f>K90-P90</f>
        <v>135187.17000000001</v>
      </c>
      <c r="T90" s="70">
        <f>K90</f>
        <v>136350</v>
      </c>
      <c r="U90" s="53"/>
      <c r="V90" s="53"/>
      <c r="W90" s="70">
        <f>K90-1163</f>
        <v>135187</v>
      </c>
      <c r="X90" s="70">
        <f>K90</f>
        <v>136350</v>
      </c>
      <c r="Y90" s="70">
        <f>K90</f>
        <v>136350</v>
      </c>
      <c r="Z90" s="46">
        <f t="shared" si="15"/>
        <v>407887</v>
      </c>
    </row>
    <row r="91" spans="1:26">
      <c r="A91" s="138" t="s">
        <v>318</v>
      </c>
      <c r="B91" s="128" t="s">
        <v>273</v>
      </c>
      <c r="C91" s="128">
        <v>1</v>
      </c>
      <c r="D91" s="129" t="s">
        <v>319</v>
      </c>
      <c r="E91" s="129"/>
      <c r="F91" s="38" t="s">
        <v>320</v>
      </c>
      <c r="G91" s="38"/>
      <c r="H91" s="63"/>
      <c r="I91" s="63"/>
      <c r="J91" s="38"/>
      <c r="K91" s="10">
        <v>245000</v>
      </c>
      <c r="L91" s="80"/>
      <c r="M91" s="10">
        <f>K91*12</f>
        <v>2940000</v>
      </c>
      <c r="N91" s="3">
        <v>258564.89</v>
      </c>
      <c r="O91" s="3">
        <v>0</v>
      </c>
      <c r="P91" s="9">
        <f t="shared" si="14"/>
        <v>258564.89</v>
      </c>
      <c r="Q91" s="45"/>
      <c r="R91" s="45"/>
      <c r="S91" s="70">
        <f>K91-P91</f>
        <v>-13564.890000000014</v>
      </c>
      <c r="T91" s="53"/>
      <c r="U91" s="70">
        <f>K91-8976</f>
        <v>236024</v>
      </c>
      <c r="V91" s="70">
        <f>K91-49349</f>
        <v>195651</v>
      </c>
      <c r="W91" s="53"/>
      <c r="X91" s="70">
        <f>K91-13565</f>
        <v>231435</v>
      </c>
      <c r="Y91" s="70">
        <f>K91</f>
        <v>245000</v>
      </c>
      <c r="Z91" s="46">
        <f t="shared" si="15"/>
        <v>476435</v>
      </c>
    </row>
    <row r="92" spans="1:26" ht="75">
      <c r="A92" s="86" t="s">
        <v>490</v>
      </c>
      <c r="B92" s="76" t="s">
        <v>328</v>
      </c>
      <c r="C92" s="76">
        <v>2</v>
      </c>
      <c r="D92" s="38" t="s">
        <v>334</v>
      </c>
      <c r="E92" s="38"/>
      <c r="F92" s="38" t="s">
        <v>335</v>
      </c>
      <c r="G92" s="38" t="s">
        <v>336</v>
      </c>
      <c r="H92" s="63"/>
      <c r="I92" s="63"/>
      <c r="J92" s="79"/>
      <c r="K92" s="145">
        <v>285000</v>
      </c>
      <c r="L92" s="80"/>
      <c r="M92" s="10">
        <f>K92*12</f>
        <v>3420000</v>
      </c>
      <c r="N92" s="3">
        <f>237631.38+50000</f>
        <v>287631.38</v>
      </c>
      <c r="O92" s="3">
        <v>0</v>
      </c>
      <c r="P92" s="9">
        <f t="shared" si="14"/>
        <v>287631.38</v>
      </c>
      <c r="Q92" s="53"/>
      <c r="R92" s="145"/>
      <c r="S92" s="45"/>
      <c r="T92" s="53"/>
      <c r="U92" s="53"/>
      <c r="V92" s="145">
        <f>285000-P92</f>
        <v>-2631.3800000000047</v>
      </c>
      <c r="W92" s="53"/>
      <c r="X92" s="145">
        <v>285000</v>
      </c>
      <c r="Y92" s="145">
        <v>285000</v>
      </c>
      <c r="Z92" s="46">
        <f t="shared" si="15"/>
        <v>570000</v>
      </c>
    </row>
    <row r="93" spans="1:26" ht="60">
      <c r="A93" s="86" t="s">
        <v>491</v>
      </c>
      <c r="B93" s="76" t="s">
        <v>328</v>
      </c>
      <c r="C93" s="76">
        <v>2</v>
      </c>
      <c r="D93" s="38" t="s">
        <v>334</v>
      </c>
      <c r="E93" s="38"/>
      <c r="F93" s="148" t="s">
        <v>338</v>
      </c>
      <c r="G93" s="38" t="s">
        <v>339</v>
      </c>
      <c r="H93" s="63"/>
      <c r="I93" s="63"/>
      <c r="J93" s="79"/>
      <c r="K93" s="145">
        <v>28500</v>
      </c>
      <c r="L93" s="80"/>
      <c r="M93" s="10">
        <f>K93*12</f>
        <v>342000</v>
      </c>
      <c r="N93" s="3">
        <f>35030.6+24893</f>
        <v>59923.6</v>
      </c>
      <c r="O93" s="3">
        <v>0</v>
      </c>
      <c r="P93" s="9">
        <f t="shared" si="14"/>
        <v>59923.6</v>
      </c>
      <c r="Q93" s="53"/>
      <c r="R93" s="145"/>
      <c r="S93" s="45"/>
      <c r="T93" s="53"/>
      <c r="U93" s="53"/>
      <c r="V93" s="145">
        <f>28500-24893</f>
        <v>3607</v>
      </c>
      <c r="W93" s="53"/>
      <c r="X93" s="53"/>
      <c r="Y93" s="145">
        <v>28500</v>
      </c>
      <c r="Z93" s="46">
        <f t="shared" si="15"/>
        <v>28500</v>
      </c>
    </row>
    <row r="94" spans="1:26">
      <c r="A94" s="171" t="s">
        <v>412</v>
      </c>
      <c r="B94" s="171"/>
      <c r="C94" s="172"/>
      <c r="D94" s="171"/>
      <c r="E94" s="171"/>
      <c r="F94" s="172"/>
      <c r="G94" s="171"/>
      <c r="H94" s="171"/>
      <c r="I94" s="171"/>
      <c r="J94" s="171"/>
      <c r="K94" s="173">
        <f t="shared" ref="K94:V94" si="17">SUM(K65:K92)</f>
        <v>5639317.1449999996</v>
      </c>
      <c r="L94" s="174">
        <f t="shared" si="17"/>
        <v>10156550.551000003</v>
      </c>
      <c r="M94" s="173">
        <f t="shared" si="17"/>
        <v>189094320.09199995</v>
      </c>
      <c r="N94" s="173">
        <f t="shared" si="17"/>
        <v>20174423.540000007</v>
      </c>
      <c r="O94" s="173">
        <f t="shared" si="17"/>
        <v>404074.89</v>
      </c>
      <c r="P94" s="173">
        <f t="shared" si="17"/>
        <v>20578498.430000003</v>
      </c>
      <c r="Q94" s="173">
        <f t="shared" si="17"/>
        <v>91316</v>
      </c>
      <c r="R94" s="173">
        <f t="shared" si="17"/>
        <v>91378</v>
      </c>
      <c r="S94" s="173">
        <f t="shared" si="17"/>
        <v>3148601.7699999996</v>
      </c>
      <c r="T94" s="173">
        <f t="shared" si="17"/>
        <v>9345073.7200000007</v>
      </c>
      <c r="U94" s="173">
        <f t="shared" si="17"/>
        <v>404895.09000000008</v>
      </c>
      <c r="V94" s="173">
        <f t="shared" si="17"/>
        <v>10689938.765999999</v>
      </c>
      <c r="W94" s="173">
        <f>SUM(W78:W93)</f>
        <v>342360.32000000001</v>
      </c>
      <c r="X94" s="173">
        <f>SUM(X78:X93)</f>
        <v>4953284.2749999994</v>
      </c>
      <c r="Y94" s="173">
        <f>SUM(Y78:Y93)</f>
        <v>3600789.54</v>
      </c>
      <c r="Z94" s="193">
        <f>SUM(Z78:Z93)</f>
        <v>9896434.1349999979</v>
      </c>
    </row>
    <row r="97" spans="26:26" ht="15" customHeight="1">
      <c r="Z97" s="17">
        <f>Z73+Z94</f>
        <v>19407945.357000001</v>
      </c>
    </row>
  </sheetData>
  <autoFilter ref="A3:P35" xr:uid="{00000000-0009-0000-0000-000005000000}"/>
  <conditionalFormatting sqref="H5:I35 H62:I72 H78:I93">
    <cfRule type="cellIs" dxfId="43" priority="2" operator="equal">
      <formula>"EXPIRADO"</formula>
    </cfRule>
    <cfRule type="cellIs" dxfId="42" priority="3" operator="equal">
      <formula>"NO PRAZO"</formula>
    </cfRule>
    <cfRule type="cellIs" dxfId="41" priority="4" operator="equal">
      <formula>"EM BREVE"</formula>
    </cfRule>
    <cfRule type="cellIs" dxfId="40" priority="5" operator="equal">
      <formula>0</formula>
    </cfRule>
  </conditionalFormatting>
  <conditionalFormatting sqref="J19">
    <cfRule type="cellIs" dxfId="39" priority="6" operator="equal">
      <formula>"EXPIRADO"</formula>
    </cfRule>
    <cfRule type="cellIs" dxfId="38" priority="7" operator="equal">
      <formula>"NO PRAZO"</formula>
    </cfRule>
    <cfRule type="cellIs" dxfId="37" priority="8" operator="equal">
      <formula>"EM BREVE"</formula>
    </cfRule>
    <cfRule type="cellIs" dxfId="36" priority="9" operator="equal">
      <formula>0</formula>
    </cfRule>
  </conditionalFormatting>
  <conditionalFormatting sqref="J80">
    <cfRule type="cellIs" dxfId="35" priority="18" operator="equal">
      <formula>"EXPIRADO"</formula>
    </cfRule>
    <cfRule type="cellIs" dxfId="34" priority="19" operator="equal">
      <formula>"NO PRAZO"</formula>
    </cfRule>
    <cfRule type="cellIs" dxfId="33" priority="20" operator="equal">
      <formula>"EM BREVE"</formula>
    </cfRule>
    <cfRule type="cellIs" dxfId="32" priority="21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9694"/>
  </sheetPr>
  <dimension ref="A1:XCL58"/>
  <sheetViews>
    <sheetView zoomScale="85" zoomScaleNormal="85" workbookViewId="0">
      <pane xSplit="4" ySplit="3" topLeftCell="G20" activePane="bottomRight" state="frozen"/>
      <selection pane="topRight" activeCell="G1" sqref="G1"/>
      <selection pane="bottomLeft" activeCell="A20" sqref="A20"/>
      <selection pane="bottomRight" activeCell="G20" sqref="G20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4.5" style="12" hidden="1" customWidth="1"/>
    <col min="4" max="4" width="19.1640625" style="12" customWidth="1"/>
    <col min="5" max="5" width="24.33203125" style="12" customWidth="1"/>
    <col min="6" max="6" width="12.33203125" style="12" customWidth="1"/>
    <col min="7" max="7" width="16.5" style="11" customWidth="1"/>
    <col min="8" max="16314" width="9.1640625" style="11"/>
    <col min="16315" max="16384" width="11.5" customWidth="1"/>
  </cols>
  <sheetData>
    <row r="1" spans="1:7" ht="18">
      <c r="A1" s="20" t="s">
        <v>0</v>
      </c>
      <c r="B1" s="21"/>
      <c r="D1" s="21"/>
    </row>
    <row r="2" spans="1:7" ht="18.75" customHeight="1">
      <c r="A2" s="11" t="s">
        <v>459</v>
      </c>
      <c r="B2" s="21"/>
    </row>
    <row r="3" spans="1:7" ht="30">
      <c r="A3" s="1" t="s">
        <v>7</v>
      </c>
      <c r="B3" s="1" t="s">
        <v>8</v>
      </c>
      <c r="C3" s="1" t="s">
        <v>413</v>
      </c>
      <c r="D3" s="1" t="s">
        <v>9</v>
      </c>
      <c r="E3" s="1" t="s">
        <v>10</v>
      </c>
      <c r="F3" s="1" t="s">
        <v>15</v>
      </c>
      <c r="G3" s="31" t="s">
        <v>492</v>
      </c>
    </row>
    <row r="4" spans="1:7" s="11" customFormat="1" ht="41.25" customHeight="1">
      <c r="A4" s="86" t="s">
        <v>208</v>
      </c>
      <c r="B4" s="89" t="s">
        <v>109</v>
      </c>
      <c r="C4" s="93">
        <v>1</v>
      </c>
      <c r="D4" s="119" t="s">
        <v>209</v>
      </c>
      <c r="E4" s="77" t="s">
        <v>210</v>
      </c>
      <c r="F4" s="81" t="s">
        <v>212</v>
      </c>
      <c r="G4" s="194">
        <v>4044696.4750000001</v>
      </c>
    </row>
    <row r="5" spans="1:7" s="11" customFormat="1" ht="41.25" customHeight="1">
      <c r="A5" s="75" t="s">
        <v>213</v>
      </c>
      <c r="B5" s="89" t="s">
        <v>109</v>
      </c>
      <c r="C5" s="93">
        <v>1</v>
      </c>
      <c r="D5" s="119" t="s">
        <v>214</v>
      </c>
      <c r="E5" s="77" t="s">
        <v>215</v>
      </c>
      <c r="F5" s="81" t="s">
        <v>217</v>
      </c>
      <c r="G5" s="194">
        <v>3095747.375</v>
      </c>
    </row>
    <row r="6" spans="1:7" s="11" customFormat="1" ht="27" customHeight="1">
      <c r="A6" s="75" t="s">
        <v>218</v>
      </c>
      <c r="B6" s="89" t="s">
        <v>109</v>
      </c>
      <c r="C6" s="93">
        <v>1</v>
      </c>
      <c r="D6" s="119" t="s">
        <v>219</v>
      </c>
      <c r="E6" s="77" t="s">
        <v>215</v>
      </c>
      <c r="F6" s="81" t="s">
        <v>221</v>
      </c>
      <c r="G6" s="194">
        <v>537909.99300000002</v>
      </c>
    </row>
    <row r="7" spans="1:7" s="11" customFormat="1">
      <c r="A7" s="171" t="s">
        <v>412</v>
      </c>
      <c r="B7" s="171"/>
      <c r="C7" s="172"/>
      <c r="D7" s="171"/>
      <c r="E7" s="171"/>
      <c r="F7" s="171"/>
      <c r="G7" s="193">
        <f>SUM(G4:G6)</f>
        <v>7678353.8429999994</v>
      </c>
    </row>
    <row r="8" spans="1:7" s="11" customFormat="1" ht="14">
      <c r="A8" s="165"/>
      <c r="B8" s="165"/>
      <c r="C8" s="166"/>
      <c r="D8" s="165"/>
      <c r="E8" s="165"/>
      <c r="F8" s="165"/>
    </row>
    <row r="9" spans="1:7" s="11" customFormat="1" ht="14">
      <c r="C9" s="12"/>
      <c r="D9" s="12"/>
      <c r="E9" s="12"/>
      <c r="F9" s="12"/>
    </row>
    <row r="10" spans="1:7" s="11" customFormat="1" ht="30">
      <c r="A10" s="1" t="s">
        <v>7</v>
      </c>
      <c r="B10" s="1" t="s">
        <v>8</v>
      </c>
      <c r="C10" s="1" t="s">
        <v>413</v>
      </c>
      <c r="D10" s="1" t="s">
        <v>9</v>
      </c>
      <c r="E10" s="1" t="s">
        <v>10</v>
      </c>
      <c r="F10" s="1" t="s">
        <v>15</v>
      </c>
      <c r="G10" s="31" t="s">
        <v>492</v>
      </c>
    </row>
    <row r="11" spans="1:7" s="11" customFormat="1" ht="30">
      <c r="A11" s="89" t="s">
        <v>128</v>
      </c>
      <c r="B11" s="86" t="s">
        <v>115</v>
      </c>
      <c r="C11" s="76">
        <v>2</v>
      </c>
      <c r="D11" s="38" t="s">
        <v>129</v>
      </c>
      <c r="E11" s="38" t="s">
        <v>130</v>
      </c>
      <c r="F11" s="38" t="s">
        <v>133</v>
      </c>
      <c r="G11" s="51">
        <v>136055.06</v>
      </c>
    </row>
    <row r="12" spans="1:7" s="11" customFormat="1" ht="30">
      <c r="A12" s="86" t="s">
        <v>134</v>
      </c>
      <c r="B12" s="86" t="s">
        <v>115</v>
      </c>
      <c r="C12" s="76">
        <v>2</v>
      </c>
      <c r="D12" s="38" t="s">
        <v>135</v>
      </c>
      <c r="E12" s="38" t="s">
        <v>136</v>
      </c>
      <c r="F12" s="81" t="s">
        <v>138</v>
      </c>
      <c r="G12" s="51">
        <v>290000</v>
      </c>
    </row>
    <row r="13" spans="1:7" s="11" customFormat="1" ht="30">
      <c r="A13" s="86" t="s">
        <v>139</v>
      </c>
      <c r="B13" s="86" t="s">
        <v>115</v>
      </c>
      <c r="C13" s="76">
        <v>2</v>
      </c>
      <c r="D13" s="81" t="s">
        <v>140</v>
      </c>
      <c r="E13" s="81" t="s">
        <v>141</v>
      </c>
      <c r="F13" s="68" t="s">
        <v>143</v>
      </c>
      <c r="G13" s="51">
        <v>98246</v>
      </c>
    </row>
    <row r="14" spans="1:7" s="11" customFormat="1" ht="30">
      <c r="A14" s="86" t="s">
        <v>153</v>
      </c>
      <c r="B14" s="89" t="s">
        <v>115</v>
      </c>
      <c r="C14" s="93">
        <v>2</v>
      </c>
      <c r="D14" s="77" t="s">
        <v>154</v>
      </c>
      <c r="E14" s="77" t="s">
        <v>155</v>
      </c>
      <c r="F14" s="81" t="s">
        <v>157</v>
      </c>
      <c r="G14" s="51">
        <v>83593</v>
      </c>
    </row>
    <row r="15" spans="1:7" s="11" customFormat="1" ht="30">
      <c r="A15" s="86" t="s">
        <v>321</v>
      </c>
      <c r="B15" s="86" t="s">
        <v>322</v>
      </c>
      <c r="C15" s="76">
        <v>1</v>
      </c>
      <c r="D15" s="38" t="s">
        <v>323</v>
      </c>
      <c r="E15" s="38" t="s">
        <v>324</v>
      </c>
      <c r="F15" s="84" t="s">
        <v>326</v>
      </c>
      <c r="G15" s="194">
        <v>3916409.79</v>
      </c>
    </row>
    <row r="16" spans="1:7" s="11" customFormat="1">
      <c r="A16" s="195" t="s">
        <v>412</v>
      </c>
      <c r="B16" s="195"/>
      <c r="C16" s="196"/>
      <c r="D16" s="195"/>
      <c r="E16" s="195"/>
      <c r="F16" s="195"/>
      <c r="G16" s="197">
        <f>SUM(G11:G15)</f>
        <v>4524303.8499999996</v>
      </c>
    </row>
    <row r="18" spans="1:7" s="11" customFormat="1" ht="14">
      <c r="C18" s="12"/>
      <c r="D18" s="12"/>
      <c r="E18" s="12"/>
      <c r="F18" s="12"/>
    </row>
    <row r="19" spans="1:7" s="11" customFormat="1" ht="30">
      <c r="A19" s="1" t="s">
        <v>7</v>
      </c>
      <c r="B19" s="1" t="s">
        <v>8</v>
      </c>
      <c r="C19" s="1" t="s">
        <v>413</v>
      </c>
      <c r="D19" s="1" t="s">
        <v>9</v>
      </c>
      <c r="E19" s="1" t="s">
        <v>10</v>
      </c>
      <c r="F19" s="1" t="s">
        <v>15</v>
      </c>
      <c r="G19" s="31" t="s">
        <v>492</v>
      </c>
    </row>
    <row r="20" spans="1:7">
      <c r="A20" s="36" t="s">
        <v>39</v>
      </c>
      <c r="B20" s="36" t="s">
        <v>29</v>
      </c>
      <c r="C20" s="37">
        <v>1</v>
      </c>
      <c r="D20" s="38" t="s">
        <v>37</v>
      </c>
      <c r="E20" s="38"/>
      <c r="F20" s="148"/>
      <c r="G20" s="51">
        <v>2430000</v>
      </c>
    </row>
    <row r="21" spans="1:7" s="11" customFormat="1">
      <c r="A21" s="36" t="s">
        <v>43</v>
      </c>
      <c r="B21" s="36" t="s">
        <v>44</v>
      </c>
      <c r="C21" s="37">
        <v>3</v>
      </c>
      <c r="D21" s="38" t="s">
        <v>45</v>
      </c>
      <c r="E21" s="38">
        <v>82024000137</v>
      </c>
      <c r="F21" s="38"/>
      <c r="G21" s="51">
        <v>1395599</v>
      </c>
    </row>
    <row r="22" spans="1:7" ht="60">
      <c r="A22" s="36" t="s">
        <v>49</v>
      </c>
      <c r="B22" s="36" t="s">
        <v>47</v>
      </c>
      <c r="C22" s="37">
        <v>3</v>
      </c>
      <c r="D22" s="38" t="s">
        <v>41</v>
      </c>
      <c r="E22" s="38">
        <v>1543032000104</v>
      </c>
      <c r="F22" s="38" t="s">
        <v>51</v>
      </c>
      <c r="G22" s="51">
        <v>4431.09</v>
      </c>
    </row>
    <row r="23" spans="1:7" ht="30">
      <c r="A23" s="75" t="s">
        <v>67</v>
      </c>
      <c r="B23" s="75" t="s">
        <v>53</v>
      </c>
      <c r="C23" s="76">
        <v>2</v>
      </c>
      <c r="D23" s="77" t="s">
        <v>63</v>
      </c>
      <c r="E23" s="77" t="s">
        <v>68</v>
      </c>
      <c r="F23" s="8" t="s">
        <v>70</v>
      </c>
      <c r="G23" s="51">
        <v>546864</v>
      </c>
    </row>
    <row r="24" spans="1:7" ht="30">
      <c r="A24" s="75" t="s">
        <v>493</v>
      </c>
      <c r="B24" s="89" t="s">
        <v>109</v>
      </c>
      <c r="C24" s="93">
        <v>1</v>
      </c>
      <c r="D24" s="119" t="s">
        <v>110</v>
      </c>
      <c r="E24" s="77" t="s">
        <v>173</v>
      </c>
      <c r="F24" s="81" t="s">
        <v>175</v>
      </c>
      <c r="G24" s="51">
        <v>20877.34</v>
      </c>
    </row>
    <row r="25" spans="1:7">
      <c r="A25" s="75" t="s">
        <v>176</v>
      </c>
      <c r="B25" s="89" t="s">
        <v>109</v>
      </c>
      <c r="C25" s="93">
        <v>1</v>
      </c>
      <c r="D25" s="198" t="s">
        <v>177</v>
      </c>
      <c r="E25" s="38" t="s">
        <v>178</v>
      </c>
      <c r="F25" s="81" t="s">
        <v>180</v>
      </c>
      <c r="G25" s="51">
        <v>72950.34</v>
      </c>
    </row>
    <row r="26" spans="1:7">
      <c r="A26" s="86" t="s">
        <v>181</v>
      </c>
      <c r="B26" s="89" t="s">
        <v>109</v>
      </c>
      <c r="C26" s="93">
        <v>1</v>
      </c>
      <c r="D26" s="198" t="s">
        <v>182</v>
      </c>
      <c r="E26" s="38" t="s">
        <v>472</v>
      </c>
      <c r="F26" s="81" t="s">
        <v>185</v>
      </c>
      <c r="G26" s="51">
        <v>395002.47</v>
      </c>
    </row>
    <row r="27" spans="1:7" ht="45">
      <c r="A27" s="89" t="s">
        <v>198</v>
      </c>
      <c r="B27" s="86" t="s">
        <v>109</v>
      </c>
      <c r="C27" s="76">
        <v>1</v>
      </c>
      <c r="D27" s="81" t="s">
        <v>199</v>
      </c>
      <c r="E27" s="81" t="s">
        <v>200</v>
      </c>
      <c r="F27" s="81" t="s">
        <v>202</v>
      </c>
      <c r="G27" s="51">
        <v>353614.38</v>
      </c>
    </row>
    <row r="28" spans="1:7">
      <c r="A28" s="75" t="s">
        <v>203</v>
      </c>
      <c r="B28" s="89" t="s">
        <v>109</v>
      </c>
      <c r="C28" s="93">
        <v>1</v>
      </c>
      <c r="D28" s="119" t="s">
        <v>204</v>
      </c>
      <c r="E28" s="77">
        <v>69207850000161</v>
      </c>
      <c r="F28" s="81" t="s">
        <v>207</v>
      </c>
      <c r="G28" s="51">
        <v>4723094.4000000004</v>
      </c>
    </row>
    <row r="29" spans="1:7" ht="30">
      <c r="A29" s="155" t="s">
        <v>450</v>
      </c>
      <c r="B29" s="86" t="s">
        <v>328</v>
      </c>
      <c r="C29" s="76">
        <v>1</v>
      </c>
      <c r="D29" s="77" t="s">
        <v>370</v>
      </c>
      <c r="E29" s="77" t="s">
        <v>256</v>
      </c>
      <c r="F29" s="84" t="s">
        <v>373</v>
      </c>
      <c r="G29" s="46">
        <v>10078.695</v>
      </c>
    </row>
    <row r="30" spans="1:7" ht="30">
      <c r="A30" s="157" t="s">
        <v>381</v>
      </c>
      <c r="B30" s="157" t="s">
        <v>382</v>
      </c>
      <c r="C30" s="76">
        <v>2</v>
      </c>
      <c r="D30" s="38" t="s">
        <v>383</v>
      </c>
      <c r="E30" s="38" t="s">
        <v>384</v>
      </c>
      <c r="F30" s="159" t="s">
        <v>386</v>
      </c>
      <c r="G30" s="51">
        <v>1269</v>
      </c>
    </row>
    <row r="31" spans="1:7">
      <c r="A31" s="157" t="s">
        <v>387</v>
      </c>
      <c r="B31" s="157" t="s">
        <v>382</v>
      </c>
      <c r="C31" s="76">
        <v>2</v>
      </c>
      <c r="D31" s="38" t="s">
        <v>388</v>
      </c>
      <c r="E31" s="38"/>
      <c r="F31" s="38" t="s">
        <v>390</v>
      </c>
      <c r="G31" s="51">
        <v>2000</v>
      </c>
    </row>
    <row r="32" spans="1:7" ht="30">
      <c r="A32" s="86" t="s">
        <v>263</v>
      </c>
      <c r="B32" s="89" t="s">
        <v>47</v>
      </c>
      <c r="C32" s="93">
        <v>2</v>
      </c>
      <c r="D32" s="77" t="s">
        <v>135</v>
      </c>
      <c r="E32" s="77" t="s">
        <v>264</v>
      </c>
      <c r="F32" s="81" t="s">
        <v>266</v>
      </c>
      <c r="G32" s="199">
        <v>3945.9274999999998</v>
      </c>
    </row>
    <row r="33" spans="1:7" ht="30">
      <c r="A33" s="86" t="s">
        <v>267</v>
      </c>
      <c r="B33" s="89" t="s">
        <v>47</v>
      </c>
      <c r="C33" s="93">
        <v>1</v>
      </c>
      <c r="D33" s="77" t="s">
        <v>223</v>
      </c>
      <c r="E33" s="77" t="s">
        <v>268</v>
      </c>
      <c r="F33" s="81" t="s">
        <v>271</v>
      </c>
      <c r="G33" s="199">
        <v>12872.73</v>
      </c>
    </row>
    <row r="34" spans="1:7" ht="75">
      <c r="A34" s="75" t="s">
        <v>291</v>
      </c>
      <c r="B34" s="89" t="s">
        <v>273</v>
      </c>
      <c r="C34" s="93">
        <v>2</v>
      </c>
      <c r="D34" s="119" t="s">
        <v>292</v>
      </c>
      <c r="E34" s="77" t="s">
        <v>293</v>
      </c>
      <c r="F34" s="81" t="s">
        <v>295</v>
      </c>
      <c r="G34" s="199">
        <v>7018</v>
      </c>
    </row>
    <row r="35" spans="1:7" ht="45">
      <c r="A35" s="86" t="s">
        <v>254</v>
      </c>
      <c r="B35" s="89" t="s">
        <v>47</v>
      </c>
      <c r="C35" s="93">
        <v>1</v>
      </c>
      <c r="D35" s="77" t="s">
        <v>255</v>
      </c>
      <c r="E35" s="77" t="s">
        <v>256</v>
      </c>
      <c r="F35" s="81" t="s">
        <v>258</v>
      </c>
      <c r="G35" s="199">
        <v>11305.06</v>
      </c>
    </row>
    <row r="36" spans="1:7" ht="15" customHeight="1">
      <c r="A36" s="195" t="s">
        <v>412</v>
      </c>
      <c r="B36" s="195"/>
      <c r="C36" s="196"/>
      <c r="D36" s="195"/>
      <c r="E36" s="195"/>
      <c r="F36" s="195"/>
      <c r="G36" s="197">
        <f>SUM(G20:G35)</f>
        <v>9990922.432500001</v>
      </c>
    </row>
    <row r="38" spans="1:7" ht="33" customHeight="1">
      <c r="A38" s="1" t="s">
        <v>7</v>
      </c>
      <c r="B38" s="1" t="s">
        <v>8</v>
      </c>
      <c r="C38" s="1" t="s">
        <v>413</v>
      </c>
      <c r="D38" s="1" t="s">
        <v>9</v>
      </c>
      <c r="E38" s="1" t="s">
        <v>10</v>
      </c>
      <c r="F38" s="1" t="s">
        <v>15</v>
      </c>
      <c r="G38" s="31" t="s">
        <v>492</v>
      </c>
    </row>
    <row r="39" spans="1:7" ht="60">
      <c r="A39" s="75" t="s">
        <v>488</v>
      </c>
      <c r="B39" s="89" t="s">
        <v>109</v>
      </c>
      <c r="C39" s="93">
        <v>2</v>
      </c>
      <c r="D39" s="119" t="s">
        <v>228</v>
      </c>
      <c r="E39" s="77" t="s">
        <v>229</v>
      </c>
      <c r="F39" s="81" t="s">
        <v>231</v>
      </c>
      <c r="G39" s="194">
        <v>2363649</v>
      </c>
    </row>
    <row r="40" spans="1:7">
      <c r="A40" s="75" t="s">
        <v>232</v>
      </c>
      <c r="B40" s="89" t="s">
        <v>109</v>
      </c>
      <c r="C40" s="93">
        <v>2</v>
      </c>
      <c r="D40" s="119" t="s">
        <v>233</v>
      </c>
      <c r="E40" s="77" t="s">
        <v>229</v>
      </c>
      <c r="F40" s="38" t="s">
        <v>236</v>
      </c>
      <c r="G40" s="194">
        <v>2198081.7799999998</v>
      </c>
    </row>
    <row r="41" spans="1:7" ht="60">
      <c r="A41" s="75" t="s">
        <v>467</v>
      </c>
      <c r="B41" s="89" t="s">
        <v>109</v>
      </c>
      <c r="C41" s="93">
        <v>2</v>
      </c>
      <c r="D41" s="119" t="s">
        <v>228</v>
      </c>
      <c r="E41" s="77" t="s">
        <v>238</v>
      </c>
      <c r="F41" s="81" t="s">
        <v>240</v>
      </c>
      <c r="G41" s="194">
        <v>102806</v>
      </c>
    </row>
    <row r="42" spans="1:7">
      <c r="A42" s="86" t="s">
        <v>241</v>
      </c>
      <c r="B42" s="89" t="s">
        <v>109</v>
      </c>
      <c r="C42" s="93">
        <v>1</v>
      </c>
      <c r="D42" s="77" t="s">
        <v>242</v>
      </c>
      <c r="E42" s="77" t="s">
        <v>243</v>
      </c>
      <c r="F42" s="81" t="s">
        <v>245</v>
      </c>
      <c r="G42" s="194">
        <v>1375847.73</v>
      </c>
    </row>
    <row r="43" spans="1:7">
      <c r="A43" s="86" t="s">
        <v>259</v>
      </c>
      <c r="B43" s="89" t="s">
        <v>47</v>
      </c>
      <c r="C43" s="93">
        <v>1</v>
      </c>
      <c r="D43" s="119" t="s">
        <v>209</v>
      </c>
      <c r="E43" s="77" t="s">
        <v>260</v>
      </c>
      <c r="F43" s="81" t="s">
        <v>262</v>
      </c>
      <c r="G43" s="194">
        <v>70356.66</v>
      </c>
    </row>
    <row r="44" spans="1:7" ht="30">
      <c r="A44" s="139" t="s">
        <v>272</v>
      </c>
      <c r="B44" s="86" t="s">
        <v>273</v>
      </c>
      <c r="C44" s="76">
        <v>1</v>
      </c>
      <c r="D44" s="38" t="s">
        <v>274</v>
      </c>
      <c r="E44" s="38" t="s">
        <v>494</v>
      </c>
      <c r="F44" s="130" t="s">
        <v>277</v>
      </c>
      <c r="G44" s="194">
        <v>759746.54</v>
      </c>
    </row>
    <row r="45" spans="1:7">
      <c r="A45" s="139" t="s">
        <v>278</v>
      </c>
      <c r="B45" s="86" t="s">
        <v>273</v>
      </c>
      <c r="C45" s="76">
        <v>1</v>
      </c>
      <c r="D45" s="38" t="s">
        <v>279</v>
      </c>
      <c r="E45" s="38" t="s">
        <v>280</v>
      </c>
      <c r="F45" s="130" t="s">
        <v>282</v>
      </c>
      <c r="G45" s="194">
        <v>387647.54</v>
      </c>
    </row>
    <row r="46" spans="1:7" ht="45">
      <c r="A46" s="157" t="s">
        <v>283</v>
      </c>
      <c r="B46" s="86" t="s">
        <v>273</v>
      </c>
      <c r="C46" s="76">
        <v>2</v>
      </c>
      <c r="D46" s="38" t="s">
        <v>284</v>
      </c>
      <c r="E46" s="38" t="s">
        <v>285</v>
      </c>
      <c r="F46" s="81" t="s">
        <v>287</v>
      </c>
      <c r="G46" s="194">
        <v>450108.97</v>
      </c>
    </row>
    <row r="47" spans="1:7" ht="30">
      <c r="A47" s="139" t="s">
        <v>305</v>
      </c>
      <c r="B47" s="86" t="s">
        <v>273</v>
      </c>
      <c r="C47" s="76">
        <v>2</v>
      </c>
      <c r="D47" s="38" t="s">
        <v>306</v>
      </c>
      <c r="E47" s="38" t="s">
        <v>307</v>
      </c>
      <c r="F47" s="81" t="s">
        <v>309</v>
      </c>
      <c r="G47" s="194">
        <v>39124.22</v>
      </c>
    </row>
    <row r="48" spans="1:7">
      <c r="A48" s="157" t="s">
        <v>314</v>
      </c>
      <c r="B48" s="86" t="s">
        <v>273</v>
      </c>
      <c r="C48" s="76">
        <v>3</v>
      </c>
      <c r="D48" s="38" t="s">
        <v>41</v>
      </c>
      <c r="E48" s="38" t="s">
        <v>315</v>
      </c>
      <c r="F48" s="38"/>
      <c r="G48" s="194">
        <v>96739</v>
      </c>
    </row>
    <row r="49" spans="1:7">
      <c r="A49" s="157" t="s">
        <v>316</v>
      </c>
      <c r="B49" s="86" t="s">
        <v>273</v>
      </c>
      <c r="C49" s="76">
        <v>3</v>
      </c>
      <c r="D49" s="38" t="s">
        <v>45</v>
      </c>
      <c r="E49" s="38" t="s">
        <v>317</v>
      </c>
      <c r="F49" s="38"/>
      <c r="G49" s="194">
        <v>257776</v>
      </c>
    </row>
    <row r="50" spans="1:7">
      <c r="A50" s="157" t="s">
        <v>318</v>
      </c>
      <c r="B50" s="86" t="s">
        <v>273</v>
      </c>
      <c r="C50" s="76">
        <v>1</v>
      </c>
      <c r="D50" s="38" t="s">
        <v>319</v>
      </c>
      <c r="E50" s="38"/>
      <c r="F50" s="38"/>
      <c r="G50" s="194">
        <v>685651</v>
      </c>
    </row>
    <row r="51" spans="1:7" ht="45">
      <c r="A51" s="86" t="s">
        <v>458</v>
      </c>
      <c r="B51" s="86" t="s">
        <v>328</v>
      </c>
      <c r="C51" s="76">
        <v>2</v>
      </c>
      <c r="D51" s="38" t="s">
        <v>334</v>
      </c>
      <c r="E51" s="38"/>
      <c r="F51" s="79"/>
      <c r="G51" s="194">
        <v>778015.24</v>
      </c>
    </row>
    <row r="52" spans="1:7" ht="45">
      <c r="A52" s="86" t="s">
        <v>469</v>
      </c>
      <c r="B52" s="86" t="s">
        <v>328</v>
      </c>
      <c r="C52" s="76">
        <v>2</v>
      </c>
      <c r="D52" s="38" t="s">
        <v>334</v>
      </c>
      <c r="E52" s="38"/>
      <c r="F52" s="79"/>
      <c r="G52" s="194">
        <v>60607</v>
      </c>
    </row>
    <row r="53" spans="1:7" ht="60">
      <c r="A53" s="86" t="s">
        <v>495</v>
      </c>
      <c r="B53" s="86" t="s">
        <v>328</v>
      </c>
      <c r="C53" s="76">
        <v>2</v>
      </c>
      <c r="D53" s="38" t="s">
        <v>334</v>
      </c>
      <c r="E53" s="38"/>
      <c r="F53" s="79"/>
      <c r="G53" s="194">
        <v>35000</v>
      </c>
    </row>
    <row r="54" spans="1:7" ht="45">
      <c r="A54" s="86" t="s">
        <v>358</v>
      </c>
      <c r="B54" s="86" t="s">
        <v>328</v>
      </c>
      <c r="C54" s="76">
        <v>1</v>
      </c>
      <c r="D54" s="38" t="s">
        <v>359</v>
      </c>
      <c r="E54" s="38" t="s">
        <v>360</v>
      </c>
      <c r="F54" s="84" t="s">
        <v>362</v>
      </c>
      <c r="G54" s="194">
        <v>51000</v>
      </c>
    </row>
    <row r="55" spans="1:7" ht="15" customHeight="1">
      <c r="A55" s="195" t="s">
        <v>412</v>
      </c>
      <c r="B55" s="195"/>
      <c r="C55" s="196"/>
      <c r="D55" s="195"/>
      <c r="E55" s="195"/>
      <c r="F55" s="195"/>
      <c r="G55" s="197">
        <f>SUM(G39:G54)</f>
        <v>9712156.6799999997</v>
      </c>
    </row>
    <row r="58" spans="1:7" ht="15" customHeight="1">
      <c r="G58" s="19">
        <f>10000000-G55</f>
        <v>287843.3200000003</v>
      </c>
    </row>
  </sheetData>
  <autoFilter ref="A3:F38" xr:uid="{00000000-0009-0000-0000-000006000000}"/>
  <conditionalFormatting sqref="F40">
    <cfRule type="cellIs" dxfId="31" priority="2" operator="equal">
      <formula>"EXPIRADO"</formula>
    </cfRule>
    <cfRule type="cellIs" dxfId="30" priority="3" operator="equal">
      <formula>"NO PRAZO"</formula>
    </cfRule>
    <cfRule type="cellIs" dxfId="29" priority="4" operator="equal">
      <formula>"EM BREVE"</formula>
    </cfRule>
    <cfRule type="cellIs" dxfId="28" priority="5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9694"/>
  </sheetPr>
  <dimension ref="A1:XDO63"/>
  <sheetViews>
    <sheetView zoomScale="85" zoomScaleNormal="85" workbookViewId="0">
      <pane xSplit="4" ySplit="3" topLeftCell="E23" activePane="bottomRight" state="frozen"/>
      <selection pane="topRight" activeCell="E1" sqref="E1"/>
      <selection pane="bottomLeft" activeCell="A23" sqref="A23"/>
      <selection pane="bottomRight" activeCell="A23" sqref="A23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14.5" style="12" hidden="1" customWidth="1"/>
    <col min="4" max="4" width="19.1640625" style="12" customWidth="1"/>
    <col min="5" max="5" width="24.33203125" style="12" customWidth="1"/>
    <col min="6" max="6" width="26.1640625" style="12" hidden="1" customWidth="1"/>
    <col min="7" max="7" width="16.33203125" style="12" hidden="1" customWidth="1"/>
    <col min="8" max="8" width="13" style="12" hidden="1" customWidth="1"/>
    <col min="9" max="9" width="17.1640625" style="12" hidden="1" customWidth="1"/>
    <col min="10" max="10" width="12.33203125" style="12" customWidth="1"/>
    <col min="11" max="11" width="14.6640625" style="13" hidden="1" customWidth="1"/>
    <col min="12" max="12" width="15.33203125" style="14" hidden="1" customWidth="1"/>
    <col min="13" max="13" width="14.33203125" style="13" hidden="1" customWidth="1"/>
    <col min="14" max="14" width="15.1640625" style="13" hidden="1" customWidth="1"/>
    <col min="15" max="15" width="17" style="11" hidden="1" customWidth="1"/>
    <col min="16" max="16" width="15.5" style="11" hidden="1" customWidth="1"/>
    <col min="17" max="18" width="13.6640625" style="11" hidden="1" customWidth="1"/>
    <col min="19" max="22" width="13.6640625" style="15" hidden="1" customWidth="1"/>
    <col min="23" max="23" width="15.33203125" style="16" hidden="1" customWidth="1"/>
    <col min="24" max="28" width="13.6640625" style="15" hidden="1" customWidth="1"/>
    <col min="29" max="29" width="16.6640625" style="17" customWidth="1"/>
    <col min="30" max="30" width="26.5" style="18" customWidth="1"/>
    <col min="31" max="32" width="16.5" style="19" hidden="1" customWidth="1"/>
    <col min="33" max="34" width="16.5" style="11" hidden="1" customWidth="1"/>
    <col min="35" max="36" width="16.5" style="11" customWidth="1"/>
    <col min="37" max="16343" width="9.1640625" style="11"/>
    <col min="16344" max="16384" width="11.5" customWidth="1"/>
  </cols>
  <sheetData>
    <row r="1" spans="1:36" ht="18">
      <c r="A1" s="20" t="s">
        <v>0</v>
      </c>
      <c r="B1" s="21"/>
      <c r="D1" s="21"/>
      <c r="K1" s="22"/>
      <c r="M1" s="23"/>
      <c r="N1" s="24"/>
      <c r="O1" s="25"/>
      <c r="T1" s="19"/>
      <c r="U1" s="19"/>
      <c r="AB1" s="15" t="s">
        <v>1</v>
      </c>
      <c r="AF1" s="26"/>
      <c r="AI1" s="19"/>
    </row>
    <row r="2" spans="1:36" ht="18.75" customHeight="1">
      <c r="A2" s="11" t="s">
        <v>459</v>
      </c>
      <c r="B2" s="21"/>
      <c r="K2" s="22"/>
      <c r="L2" s="27"/>
      <c r="M2" s="23"/>
      <c r="AF2" s="28"/>
      <c r="AI2" s="19"/>
    </row>
    <row r="3" spans="1:36" ht="45">
      <c r="A3" s="1" t="s">
        <v>7</v>
      </c>
      <c r="B3" s="1" t="s">
        <v>8</v>
      </c>
      <c r="C3" s="1" t="s">
        <v>413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29" t="s">
        <v>16</v>
      </c>
      <c r="L3" s="30" t="s">
        <v>17</v>
      </c>
      <c r="M3" s="31" t="s">
        <v>18</v>
      </c>
      <c r="N3" s="31" t="s">
        <v>19</v>
      </c>
      <c r="O3" s="31" t="s">
        <v>20</v>
      </c>
      <c r="P3" s="32" t="s">
        <v>21</v>
      </c>
      <c r="Q3" s="31">
        <v>45658</v>
      </c>
      <c r="R3" s="31">
        <v>45689</v>
      </c>
      <c r="S3" s="31">
        <v>45717</v>
      </c>
      <c r="T3" s="31">
        <v>45748</v>
      </c>
      <c r="U3" s="31">
        <v>45778</v>
      </c>
      <c r="V3" s="31">
        <v>45809</v>
      </c>
      <c r="W3" s="31">
        <v>45839</v>
      </c>
      <c r="X3" s="31">
        <v>45870</v>
      </c>
      <c r="Y3" s="31">
        <v>45901</v>
      </c>
      <c r="Z3" s="31">
        <v>45931</v>
      </c>
      <c r="AA3" s="31">
        <v>45962</v>
      </c>
      <c r="AB3" s="31">
        <v>45992</v>
      </c>
      <c r="AC3" s="31" t="s">
        <v>22</v>
      </c>
      <c r="AD3" s="31" t="s">
        <v>496</v>
      </c>
      <c r="AE3" s="202"/>
      <c r="AF3" s="31"/>
      <c r="AG3" s="31"/>
      <c r="AH3" s="34"/>
      <c r="AI3" s="35"/>
    </row>
    <row r="4" spans="1:36" s="11" customFormat="1" ht="27" customHeight="1">
      <c r="A4" s="36" t="s">
        <v>39</v>
      </c>
      <c r="B4" s="37" t="s">
        <v>29</v>
      </c>
      <c r="C4" s="37">
        <v>1</v>
      </c>
      <c r="D4" s="49" t="s">
        <v>37</v>
      </c>
      <c r="E4" s="49"/>
      <c r="F4" s="39"/>
      <c r="G4" s="39"/>
      <c r="H4" s="40"/>
      <c r="I4" s="40"/>
      <c r="J4" s="39"/>
      <c r="K4" s="43">
        <v>810000</v>
      </c>
      <c r="L4" s="42"/>
      <c r="M4" s="43">
        <f>K4*12</f>
        <v>9720000</v>
      </c>
      <c r="N4" s="59">
        <v>848332.15</v>
      </c>
      <c r="O4" s="50">
        <v>0</v>
      </c>
      <c r="P4" s="9">
        <f>SUM(N4:O4)</f>
        <v>848332.15</v>
      </c>
      <c r="Q4" s="10"/>
      <c r="R4" s="10"/>
      <c r="S4" s="45"/>
      <c r="T4" s="53"/>
      <c r="U4" s="10">
        <f>810000-38332</f>
        <v>771668</v>
      </c>
      <c r="V4" s="10">
        <f>K4</f>
        <v>810000</v>
      </c>
      <c r="W4" s="10">
        <f>K4</f>
        <v>810000</v>
      </c>
      <c r="X4" s="10">
        <f>K4</f>
        <v>810000</v>
      </c>
      <c r="Y4" s="10">
        <f>K4</f>
        <v>810000</v>
      </c>
      <c r="Z4" s="10">
        <f>K4</f>
        <v>810000</v>
      </c>
      <c r="AA4" s="10">
        <f>K4</f>
        <v>810000</v>
      </c>
      <c r="AB4" s="10">
        <f>K4</f>
        <v>810000</v>
      </c>
      <c r="AC4" s="46">
        <f t="shared" ref="AC4:AC20" si="0">T4+U4</f>
        <v>771668</v>
      </c>
      <c r="AD4" s="203">
        <v>1000</v>
      </c>
      <c r="AE4" s="19">
        <f t="shared" ref="AE4:AE20" si="1">SUM(K4:L4)*2</f>
        <v>1620000</v>
      </c>
      <c r="AF4" s="48">
        <f>P4-AE4</f>
        <v>-771667.85</v>
      </c>
      <c r="AG4" s="48"/>
      <c r="AH4" s="48">
        <f>(SUM(K4:L4)*2)-P4</f>
        <v>771667.85</v>
      </c>
      <c r="AI4" s="48"/>
    </row>
    <row r="5" spans="1:36" s="11" customFormat="1" ht="14.25" customHeight="1">
      <c r="A5" s="36" t="s">
        <v>52</v>
      </c>
      <c r="B5" s="61" t="s">
        <v>53</v>
      </c>
      <c r="C5" s="61">
        <v>3</v>
      </c>
      <c r="D5" s="49" t="s">
        <v>54</v>
      </c>
      <c r="E5" s="49" t="s">
        <v>55</v>
      </c>
      <c r="F5" s="38" t="s">
        <v>56</v>
      </c>
      <c r="G5" s="62">
        <v>45882</v>
      </c>
      <c r="H5" s="63" t="str">
        <f t="shared" ref="H5:H20" ca="1" si="2">IF((G5-TODAY())&lt;0,"EXPIRADO", IF((G5-TODAY())&lt;=60,"EM BREVE","NO PRAZO"))</f>
        <v>EXPIRADO</v>
      </c>
      <c r="I5" s="38"/>
      <c r="J5" s="64" t="s">
        <v>57</v>
      </c>
      <c r="K5" s="43">
        <v>60000</v>
      </c>
      <c r="L5" s="42"/>
      <c r="M5" s="43">
        <f>K5*12</f>
        <v>720000</v>
      </c>
      <c r="N5" s="59">
        <v>181857.31</v>
      </c>
      <c r="O5" s="59">
        <v>0</v>
      </c>
      <c r="P5" s="9">
        <f>SUM(O5:O5)</f>
        <v>0</v>
      </c>
      <c r="Q5" s="10"/>
      <c r="R5" s="10"/>
      <c r="S5" s="10">
        <f>K5</f>
        <v>60000</v>
      </c>
      <c r="T5" s="10">
        <f>K5</f>
        <v>60000</v>
      </c>
      <c r="U5" s="10">
        <f>K5</f>
        <v>60000</v>
      </c>
      <c r="V5" s="10">
        <f>K5</f>
        <v>60000</v>
      </c>
      <c r="W5" s="10">
        <f>K5</f>
        <v>60000</v>
      </c>
      <c r="X5" s="65">
        <f>K5</f>
        <v>60000</v>
      </c>
      <c r="Y5" s="10">
        <f>K5</f>
        <v>60000</v>
      </c>
      <c r="Z5" s="10">
        <f>K5</f>
        <v>60000</v>
      </c>
      <c r="AA5" s="10">
        <f>K5</f>
        <v>60000</v>
      </c>
      <c r="AB5" s="10">
        <f>K5</f>
        <v>60000</v>
      </c>
      <c r="AC5" s="46">
        <f t="shared" si="0"/>
        <v>120000</v>
      </c>
      <c r="AD5" s="204">
        <v>1000</v>
      </c>
      <c r="AE5" s="19">
        <f t="shared" si="1"/>
        <v>120000</v>
      </c>
      <c r="AF5" s="48">
        <f>P5-AE5</f>
        <v>-120000</v>
      </c>
      <c r="AG5" s="48">
        <f>-Z5-AA5</f>
        <v>-120000</v>
      </c>
      <c r="AH5" s="48">
        <f>(SUM(K5:L5)*2)-P5</f>
        <v>120000</v>
      </c>
      <c r="AI5" s="48"/>
    </row>
    <row r="6" spans="1:36" s="11" customFormat="1" ht="82.5" customHeight="1">
      <c r="A6" s="60" t="s">
        <v>74</v>
      </c>
      <c r="B6" s="61" t="s">
        <v>53</v>
      </c>
      <c r="C6" s="61">
        <v>2</v>
      </c>
      <c r="D6" s="71" t="s">
        <v>75</v>
      </c>
      <c r="E6" s="71" t="s">
        <v>76</v>
      </c>
      <c r="F6" s="81" t="s">
        <v>77</v>
      </c>
      <c r="G6" s="68">
        <v>46082</v>
      </c>
      <c r="H6" s="63" t="str">
        <f t="shared" ca="1" si="2"/>
        <v>NO PRAZO</v>
      </c>
      <c r="I6" s="63"/>
      <c r="J6" s="84" t="s">
        <v>78</v>
      </c>
      <c r="K6" s="10">
        <f>M6/12</f>
        <v>236095</v>
      </c>
      <c r="L6" s="85" t="s">
        <v>79</v>
      </c>
      <c r="M6" s="43">
        <v>2833140</v>
      </c>
      <c r="N6" s="3">
        <v>100</v>
      </c>
      <c r="O6" s="3">
        <v>201936.5</v>
      </c>
      <c r="P6" s="9">
        <f t="shared" ref="P6:P25" si="3">SUM(N6:O6)</f>
        <v>202036.5</v>
      </c>
      <c r="Q6" s="45"/>
      <c r="R6" s="45"/>
      <c r="S6" s="45"/>
      <c r="T6" s="10">
        <f>236037-202037</f>
        <v>34000</v>
      </c>
      <c r="U6" s="10">
        <f>K6</f>
        <v>236095</v>
      </c>
      <c r="V6" s="10">
        <f>K6</f>
        <v>236095</v>
      </c>
      <c r="W6" s="10">
        <f>K6</f>
        <v>236095</v>
      </c>
      <c r="X6" s="10">
        <f>K6</f>
        <v>236095</v>
      </c>
      <c r="Y6" s="10">
        <f>K6</f>
        <v>236095</v>
      </c>
      <c r="Z6" s="10">
        <f>K6</f>
        <v>236095</v>
      </c>
      <c r="AA6" s="10">
        <f>K6</f>
        <v>236095</v>
      </c>
      <c r="AB6" s="10">
        <f>K6</f>
        <v>236095</v>
      </c>
      <c r="AC6" s="46">
        <f t="shared" si="0"/>
        <v>270095</v>
      </c>
      <c r="AD6" s="204">
        <v>1000</v>
      </c>
      <c r="AE6" s="19">
        <f t="shared" si="1"/>
        <v>472190</v>
      </c>
      <c r="AF6" s="48"/>
      <c r="AG6" s="48">
        <v>-99075</v>
      </c>
      <c r="AH6" s="48">
        <f>(SUM(K6:L6)*2)-P6</f>
        <v>270153.5</v>
      </c>
      <c r="AI6" s="48"/>
    </row>
    <row r="7" spans="1:36" s="11" customFormat="1" ht="69" customHeight="1">
      <c r="A7" s="75" t="s">
        <v>108</v>
      </c>
      <c r="B7" s="93" t="s">
        <v>109</v>
      </c>
      <c r="C7" s="93">
        <v>2</v>
      </c>
      <c r="D7" s="94" t="s">
        <v>110</v>
      </c>
      <c r="E7" s="71" t="s">
        <v>111</v>
      </c>
      <c r="F7" s="81" t="s">
        <v>112</v>
      </c>
      <c r="G7" s="68">
        <v>46039</v>
      </c>
      <c r="H7" s="63" t="str">
        <f t="shared" ca="1" si="2"/>
        <v>EM BREVE</v>
      </c>
      <c r="I7" s="38"/>
      <c r="J7" s="81" t="s">
        <v>113</v>
      </c>
      <c r="K7" s="10">
        <v>4000</v>
      </c>
      <c r="L7" s="42"/>
      <c r="M7" s="43">
        <f>K7*12</f>
        <v>48000</v>
      </c>
      <c r="N7" s="3">
        <v>1948.01</v>
      </c>
      <c r="O7" s="3">
        <v>0</v>
      </c>
      <c r="P7" s="9">
        <f t="shared" si="3"/>
        <v>1948.01</v>
      </c>
      <c r="Q7" s="53"/>
      <c r="R7" s="45"/>
      <c r="S7" s="10">
        <f>K7-P7</f>
        <v>2051.9899999999998</v>
      </c>
      <c r="T7" s="10">
        <f>K7-1948</f>
        <v>2052</v>
      </c>
      <c r="U7" s="10">
        <f>K7</f>
        <v>4000</v>
      </c>
      <c r="V7" s="10">
        <f>K7</f>
        <v>4000</v>
      </c>
      <c r="W7" s="10">
        <f>K7</f>
        <v>4000</v>
      </c>
      <c r="X7" s="10">
        <f>K7</f>
        <v>4000</v>
      </c>
      <c r="Y7" s="10">
        <f>K7</f>
        <v>4000</v>
      </c>
      <c r="Z7" s="10">
        <f>K7</f>
        <v>4000</v>
      </c>
      <c r="AA7" s="10">
        <f>K7</f>
        <v>4000</v>
      </c>
      <c r="AB7" s="10">
        <f>K7</f>
        <v>4000</v>
      </c>
      <c r="AC7" s="46">
        <f t="shared" si="0"/>
        <v>6052</v>
      </c>
      <c r="AD7" s="204">
        <v>1000</v>
      </c>
      <c r="AE7" s="19">
        <f t="shared" si="1"/>
        <v>8000</v>
      </c>
      <c r="AF7" s="48">
        <f t="shared" ref="AF7:AF12" si="4">P7-AE7</f>
        <v>-6051.99</v>
      </c>
      <c r="AG7" s="48"/>
      <c r="AH7" s="48"/>
      <c r="AI7" s="48"/>
    </row>
    <row r="8" spans="1:36" s="11" customFormat="1" ht="54.75" customHeight="1">
      <c r="A8" s="86" t="s">
        <v>167</v>
      </c>
      <c r="B8" s="76" t="s">
        <v>109</v>
      </c>
      <c r="C8" s="76">
        <v>2</v>
      </c>
      <c r="D8" s="49" t="s">
        <v>168</v>
      </c>
      <c r="E8" s="49" t="s">
        <v>169</v>
      </c>
      <c r="F8" s="38" t="s">
        <v>170</v>
      </c>
      <c r="G8" s="111">
        <v>46127</v>
      </c>
      <c r="H8" s="63" t="str">
        <f t="shared" ca="1" si="2"/>
        <v>NO PRAZO</v>
      </c>
      <c r="I8" s="38"/>
      <c r="J8" s="98" t="s">
        <v>171</v>
      </c>
      <c r="K8" s="10"/>
      <c r="L8" s="80">
        <f>12640.77</f>
        <v>12640.77</v>
      </c>
      <c r="M8" s="10">
        <f>L8*12</f>
        <v>151689.24</v>
      </c>
      <c r="N8" s="3">
        <v>13176.77</v>
      </c>
      <c r="O8" s="3">
        <v>0</v>
      </c>
      <c r="P8" s="9">
        <f t="shared" si="3"/>
        <v>13176.77</v>
      </c>
      <c r="Q8" s="10"/>
      <c r="R8" s="10"/>
      <c r="S8" s="45"/>
      <c r="T8" s="45"/>
      <c r="U8" s="10">
        <f>L8-536</f>
        <v>12104.77</v>
      </c>
      <c r="V8" s="10">
        <f t="shared" ref="V8:V16" si="5">L8</f>
        <v>12640.77</v>
      </c>
      <c r="W8" s="10">
        <f t="shared" ref="W8:W16" si="6">L8</f>
        <v>12640.77</v>
      </c>
      <c r="X8" s="10">
        <f t="shared" ref="X8:X16" si="7">L8</f>
        <v>12640.77</v>
      </c>
      <c r="Y8" s="70">
        <f t="shared" ref="Y8:Y16" si="8">L8</f>
        <v>12640.77</v>
      </c>
      <c r="Z8" s="70">
        <f t="shared" ref="Z8:Z16" si="9">L8</f>
        <v>12640.77</v>
      </c>
      <c r="AA8" s="10">
        <f t="shared" ref="AA8:AA16" si="10">L8</f>
        <v>12640.77</v>
      </c>
      <c r="AB8" s="10">
        <f t="shared" ref="AB8:AB16" si="11">L8</f>
        <v>12640.77</v>
      </c>
      <c r="AC8" s="46">
        <f t="shared" si="0"/>
        <v>12104.77</v>
      </c>
      <c r="AD8" s="204">
        <v>1000</v>
      </c>
      <c r="AE8" s="19">
        <f t="shared" si="1"/>
        <v>25281.54</v>
      </c>
      <c r="AF8" s="48">
        <f t="shared" si="4"/>
        <v>-12104.77</v>
      </c>
      <c r="AG8" s="48"/>
      <c r="AH8" s="48">
        <f t="shared" ref="AH8:AH13" si="12">(SUM(K8:L8)*2)-P8</f>
        <v>12104.77</v>
      </c>
      <c r="AI8" s="48"/>
    </row>
    <row r="9" spans="1:36" s="11" customFormat="1" ht="54.75" customHeight="1">
      <c r="A9" s="60" t="s">
        <v>172</v>
      </c>
      <c r="B9" s="93" t="s">
        <v>109</v>
      </c>
      <c r="C9" s="93">
        <v>1</v>
      </c>
      <c r="D9" s="94" t="s">
        <v>110</v>
      </c>
      <c r="E9" s="71" t="s">
        <v>173</v>
      </c>
      <c r="F9" s="81" t="s">
        <v>174</v>
      </c>
      <c r="G9" s="68">
        <v>45854</v>
      </c>
      <c r="H9" s="63" t="str">
        <f t="shared" ca="1" si="2"/>
        <v>EXPIRADO</v>
      </c>
      <c r="I9" s="63"/>
      <c r="J9" s="81" t="s">
        <v>175</v>
      </c>
      <c r="K9" s="10"/>
      <c r="L9" s="42">
        <f>M9/12</f>
        <v>22669.34</v>
      </c>
      <c r="M9" s="43">
        <v>272032.08</v>
      </c>
      <c r="N9" s="3">
        <v>24500.93</v>
      </c>
      <c r="O9" s="3">
        <v>0</v>
      </c>
      <c r="P9" s="9">
        <f t="shared" si="3"/>
        <v>24500.93</v>
      </c>
      <c r="Q9" s="45"/>
      <c r="R9" s="10"/>
      <c r="S9" s="45"/>
      <c r="T9" s="45"/>
      <c r="U9" s="10">
        <f>22669-1831.59</f>
        <v>20837.41</v>
      </c>
      <c r="V9" s="10">
        <f t="shared" si="5"/>
        <v>22669.34</v>
      </c>
      <c r="W9" s="65">
        <f t="shared" si="6"/>
        <v>22669.34</v>
      </c>
      <c r="X9" s="10">
        <f t="shared" si="7"/>
        <v>22669.34</v>
      </c>
      <c r="Y9" s="70">
        <f t="shared" si="8"/>
        <v>22669.34</v>
      </c>
      <c r="Z9" s="70">
        <f t="shared" si="9"/>
        <v>22669.34</v>
      </c>
      <c r="AA9" s="10">
        <f t="shared" si="10"/>
        <v>22669.34</v>
      </c>
      <c r="AB9" s="10">
        <f t="shared" si="11"/>
        <v>22669.34</v>
      </c>
      <c r="AC9" s="46">
        <f t="shared" si="0"/>
        <v>20837.41</v>
      </c>
      <c r="AD9" s="204">
        <v>1000</v>
      </c>
      <c r="AE9" s="19">
        <f t="shared" si="1"/>
        <v>45338.68</v>
      </c>
      <c r="AF9" s="48">
        <f t="shared" si="4"/>
        <v>-20837.75</v>
      </c>
      <c r="AG9" s="48"/>
      <c r="AH9" s="48">
        <f t="shared" si="12"/>
        <v>20837.75</v>
      </c>
      <c r="AI9" s="48"/>
    </row>
    <row r="10" spans="1:36" s="11" customFormat="1" ht="30">
      <c r="A10" s="75" t="s">
        <v>176</v>
      </c>
      <c r="B10" s="93" t="s">
        <v>109</v>
      </c>
      <c r="C10" s="93">
        <v>1</v>
      </c>
      <c r="D10" s="114" t="s">
        <v>177</v>
      </c>
      <c r="E10" s="49" t="s">
        <v>178</v>
      </c>
      <c r="F10" s="81" t="s">
        <v>179</v>
      </c>
      <c r="G10" s="68">
        <v>45766</v>
      </c>
      <c r="H10" s="63" t="str">
        <f t="shared" ca="1" si="2"/>
        <v>EXPIRADO</v>
      </c>
      <c r="I10" s="38" t="s">
        <v>132</v>
      </c>
      <c r="J10" s="81" t="s">
        <v>180</v>
      </c>
      <c r="K10" s="10"/>
      <c r="L10" s="80">
        <f>M10/12</f>
        <v>23238.880000000001</v>
      </c>
      <c r="M10" s="10">
        <v>278866.56</v>
      </c>
      <c r="N10" s="3">
        <v>2226.86</v>
      </c>
      <c r="O10" s="3">
        <v>270</v>
      </c>
      <c r="P10" s="9">
        <f t="shared" si="3"/>
        <v>2496.86</v>
      </c>
      <c r="Q10" s="45"/>
      <c r="R10" s="10"/>
      <c r="S10" s="10">
        <v>865.66</v>
      </c>
      <c r="T10" s="65">
        <f>L10-2497</f>
        <v>20741.88</v>
      </c>
      <c r="U10" s="10">
        <f t="shared" ref="U10:U16" si="13">L10</f>
        <v>23238.880000000001</v>
      </c>
      <c r="V10" s="10">
        <f t="shared" si="5"/>
        <v>23238.880000000001</v>
      </c>
      <c r="W10" s="10">
        <f t="shared" si="6"/>
        <v>23238.880000000001</v>
      </c>
      <c r="X10" s="10">
        <f t="shared" si="7"/>
        <v>23238.880000000001</v>
      </c>
      <c r="Y10" s="70">
        <f t="shared" si="8"/>
        <v>23238.880000000001</v>
      </c>
      <c r="Z10" s="70">
        <f t="shared" si="9"/>
        <v>23238.880000000001</v>
      </c>
      <c r="AA10" s="10">
        <f t="shared" si="10"/>
        <v>23238.880000000001</v>
      </c>
      <c r="AB10" s="10">
        <f t="shared" si="11"/>
        <v>23238.880000000001</v>
      </c>
      <c r="AC10" s="46">
        <f t="shared" si="0"/>
        <v>43980.76</v>
      </c>
      <c r="AD10" s="204">
        <v>1000</v>
      </c>
      <c r="AE10" s="19">
        <f t="shared" si="1"/>
        <v>46477.760000000002</v>
      </c>
      <c r="AF10" s="48">
        <f t="shared" si="4"/>
        <v>-43980.9</v>
      </c>
      <c r="AG10" s="48"/>
      <c r="AH10" s="48">
        <f t="shared" si="12"/>
        <v>43980.9</v>
      </c>
      <c r="AI10" s="48"/>
    </row>
    <row r="11" spans="1:36" s="11" customFormat="1" ht="76.5" customHeight="1">
      <c r="A11" s="86" t="s">
        <v>181</v>
      </c>
      <c r="B11" s="93" t="s">
        <v>109</v>
      </c>
      <c r="C11" s="93">
        <v>1</v>
      </c>
      <c r="D11" s="114" t="s">
        <v>182</v>
      </c>
      <c r="E11" s="49" t="s">
        <v>472</v>
      </c>
      <c r="F11" s="81" t="s">
        <v>183</v>
      </c>
      <c r="G11" s="68">
        <v>45929</v>
      </c>
      <c r="H11" s="63" t="str">
        <f t="shared" ca="1" si="2"/>
        <v>EXPIRADO</v>
      </c>
      <c r="I11" s="38" t="s">
        <v>473</v>
      </c>
      <c r="J11" s="81" t="s">
        <v>185</v>
      </c>
      <c r="K11" s="10"/>
      <c r="L11" s="80">
        <v>131667.49</v>
      </c>
      <c r="M11" s="10">
        <f t="shared" ref="M11:M16" si="14">L11*12</f>
        <v>1580009.88</v>
      </c>
      <c r="N11" s="3">
        <v>0</v>
      </c>
      <c r="O11" s="3">
        <v>0</v>
      </c>
      <c r="P11" s="9">
        <f t="shared" si="3"/>
        <v>0</v>
      </c>
      <c r="Q11" s="45"/>
      <c r="R11" s="10"/>
      <c r="S11" s="45"/>
      <c r="T11" s="10">
        <v>131667</v>
      </c>
      <c r="U11" s="10">
        <f t="shared" si="13"/>
        <v>131667.49</v>
      </c>
      <c r="V11" s="10">
        <f t="shared" si="5"/>
        <v>131667.49</v>
      </c>
      <c r="W11" s="10">
        <f t="shared" si="6"/>
        <v>131667.49</v>
      </c>
      <c r="X11" s="10">
        <f t="shared" si="7"/>
        <v>131667.49</v>
      </c>
      <c r="Y11" s="70">
        <f t="shared" si="8"/>
        <v>131667.49</v>
      </c>
      <c r="Z11" s="70">
        <f t="shared" si="9"/>
        <v>131667.49</v>
      </c>
      <c r="AA11" s="10">
        <f t="shared" si="10"/>
        <v>131667.49</v>
      </c>
      <c r="AB11" s="10">
        <f t="shared" si="11"/>
        <v>131667.49</v>
      </c>
      <c r="AC11" s="46">
        <f t="shared" si="0"/>
        <v>263334.49</v>
      </c>
      <c r="AD11" s="204">
        <v>1000</v>
      </c>
      <c r="AE11" s="19">
        <f t="shared" si="1"/>
        <v>263334.98</v>
      </c>
      <c r="AF11" s="48">
        <f t="shared" si="4"/>
        <v>-263334.98</v>
      </c>
      <c r="AG11" s="48"/>
      <c r="AH11" s="48">
        <f t="shared" si="12"/>
        <v>263334.98</v>
      </c>
      <c r="AI11" s="48"/>
    </row>
    <row r="12" spans="1:36" s="11" customFormat="1" ht="38.25" customHeight="1">
      <c r="A12" s="86" t="s">
        <v>190</v>
      </c>
      <c r="B12" s="93" t="s">
        <v>109</v>
      </c>
      <c r="C12" s="93">
        <v>1</v>
      </c>
      <c r="D12" s="114" t="s">
        <v>191</v>
      </c>
      <c r="E12" s="49" t="s">
        <v>192</v>
      </c>
      <c r="F12" s="81" t="s">
        <v>193</v>
      </c>
      <c r="G12" s="68">
        <v>45745</v>
      </c>
      <c r="H12" s="63" t="str">
        <f t="shared" ca="1" si="2"/>
        <v>EXPIRADO</v>
      </c>
      <c r="I12" s="38" t="s">
        <v>474</v>
      </c>
      <c r="J12" s="81" t="s">
        <v>194</v>
      </c>
      <c r="K12" s="10"/>
      <c r="L12" s="80">
        <v>183316.03</v>
      </c>
      <c r="M12" s="10">
        <f t="shared" si="14"/>
        <v>2199792.36</v>
      </c>
      <c r="N12" s="3">
        <v>0</v>
      </c>
      <c r="O12" s="3">
        <v>0</v>
      </c>
      <c r="P12" s="9">
        <f t="shared" si="3"/>
        <v>0</v>
      </c>
      <c r="Q12" s="45"/>
      <c r="R12" s="10"/>
      <c r="S12" s="65">
        <f>L12-P12</f>
        <v>183316.03</v>
      </c>
      <c r="T12" s="10">
        <f>L12</f>
        <v>183316.03</v>
      </c>
      <c r="U12" s="10">
        <f t="shared" si="13"/>
        <v>183316.03</v>
      </c>
      <c r="V12" s="10">
        <f t="shared" si="5"/>
        <v>183316.03</v>
      </c>
      <c r="W12" s="10">
        <f t="shared" si="6"/>
        <v>183316.03</v>
      </c>
      <c r="X12" s="10">
        <f t="shared" si="7"/>
        <v>183316.03</v>
      </c>
      <c r="Y12" s="70">
        <f t="shared" si="8"/>
        <v>183316.03</v>
      </c>
      <c r="Z12" s="70">
        <f t="shared" si="9"/>
        <v>183316.03</v>
      </c>
      <c r="AA12" s="10">
        <f t="shared" si="10"/>
        <v>183316.03</v>
      </c>
      <c r="AB12" s="10">
        <f t="shared" si="11"/>
        <v>183316.03</v>
      </c>
      <c r="AC12" s="46">
        <f t="shared" si="0"/>
        <v>366632.06</v>
      </c>
      <c r="AD12" s="204">
        <v>1000</v>
      </c>
      <c r="AE12" s="19">
        <f t="shared" si="1"/>
        <v>366632.06</v>
      </c>
      <c r="AF12" s="48">
        <f t="shared" si="4"/>
        <v>-366632.06</v>
      </c>
      <c r="AG12" s="48"/>
      <c r="AH12" s="48">
        <f t="shared" si="12"/>
        <v>366632.06</v>
      </c>
      <c r="AI12" s="48"/>
    </row>
    <row r="13" spans="1:36" s="11" customFormat="1" ht="41.25" customHeight="1">
      <c r="A13" s="89" t="s">
        <v>198</v>
      </c>
      <c r="B13" s="76" t="s">
        <v>109</v>
      </c>
      <c r="C13" s="76">
        <v>1</v>
      </c>
      <c r="D13" s="67" t="s">
        <v>199</v>
      </c>
      <c r="E13" s="67" t="s">
        <v>200</v>
      </c>
      <c r="F13" s="81" t="s">
        <v>201</v>
      </c>
      <c r="G13" s="111">
        <v>45902</v>
      </c>
      <c r="H13" s="63" t="str">
        <f t="shared" ca="1" si="2"/>
        <v>EXPIRADO</v>
      </c>
      <c r="I13" s="38"/>
      <c r="J13" s="81" t="s">
        <v>202</v>
      </c>
      <c r="K13" s="10"/>
      <c r="L13" s="80">
        <v>117871.46</v>
      </c>
      <c r="M13" s="10">
        <f t="shared" si="14"/>
        <v>1414457.52</v>
      </c>
      <c r="N13" s="10">
        <f>7661.65+41709.35</f>
        <v>49371</v>
      </c>
      <c r="O13" s="3">
        <v>0</v>
      </c>
      <c r="P13" s="9">
        <f t="shared" si="3"/>
        <v>49371</v>
      </c>
      <c r="Q13" s="45"/>
      <c r="R13" s="10"/>
      <c r="S13" s="45"/>
      <c r="T13" s="10">
        <f>117871-49371</f>
        <v>68500</v>
      </c>
      <c r="U13" s="10">
        <f t="shared" si="13"/>
        <v>117871.46</v>
      </c>
      <c r="V13" s="10">
        <f t="shared" si="5"/>
        <v>117871.46</v>
      </c>
      <c r="W13" s="10">
        <f t="shared" si="6"/>
        <v>117871.46</v>
      </c>
      <c r="X13" s="10">
        <f t="shared" si="7"/>
        <v>117871.46</v>
      </c>
      <c r="Y13" s="108">
        <f t="shared" si="8"/>
        <v>117871.46</v>
      </c>
      <c r="Z13" s="70">
        <f t="shared" si="9"/>
        <v>117871.46</v>
      </c>
      <c r="AA13" s="10">
        <f t="shared" si="10"/>
        <v>117871.46</v>
      </c>
      <c r="AB13" s="10">
        <f t="shared" si="11"/>
        <v>117871.46</v>
      </c>
      <c r="AC13" s="46">
        <f t="shared" si="0"/>
        <v>186371.46000000002</v>
      </c>
      <c r="AD13" s="204">
        <v>1000</v>
      </c>
      <c r="AE13" s="19">
        <f t="shared" si="1"/>
        <v>235742.92</v>
      </c>
      <c r="AF13" s="48"/>
      <c r="AG13" s="48">
        <v>-212997.86</v>
      </c>
      <c r="AH13" s="48">
        <f t="shared" si="12"/>
        <v>186371.92</v>
      </c>
      <c r="AI13" s="48"/>
      <c r="AJ13" s="19">
        <f>SUM(AC4:AC14)+390828.95</f>
        <v>6100000</v>
      </c>
    </row>
    <row r="14" spans="1:36" s="11" customFormat="1" ht="18.75" customHeight="1">
      <c r="A14" s="75" t="s">
        <v>203</v>
      </c>
      <c r="B14" s="93" t="s">
        <v>109</v>
      </c>
      <c r="C14" s="93">
        <v>1</v>
      </c>
      <c r="D14" s="94" t="s">
        <v>204</v>
      </c>
      <c r="E14" s="71">
        <v>69207850000161</v>
      </c>
      <c r="F14" s="81" t="s">
        <v>206</v>
      </c>
      <c r="G14" s="68">
        <v>45792</v>
      </c>
      <c r="H14" s="63" t="str">
        <f t="shared" ca="1" si="2"/>
        <v>EXPIRADO</v>
      </c>
      <c r="I14" s="63"/>
      <c r="J14" s="81" t="s">
        <v>207</v>
      </c>
      <c r="K14" s="10"/>
      <c r="L14" s="115">
        <v>1882331.1</v>
      </c>
      <c r="M14" s="10">
        <f t="shared" si="14"/>
        <v>22587973.200000003</v>
      </c>
      <c r="N14" s="3">
        <v>116566.68</v>
      </c>
      <c r="O14" s="116">
        <v>0</v>
      </c>
      <c r="P14" s="9">
        <f t="shared" si="3"/>
        <v>116566.68</v>
      </c>
      <c r="Q14" s="45"/>
      <c r="R14" s="10"/>
      <c r="S14" s="45"/>
      <c r="T14" s="10">
        <f>1882331-116567</f>
        <v>1765764</v>
      </c>
      <c r="U14" s="65">
        <f t="shared" si="13"/>
        <v>1882331.1</v>
      </c>
      <c r="V14" s="10">
        <f t="shared" si="5"/>
        <v>1882331.1</v>
      </c>
      <c r="W14" s="10">
        <f t="shared" si="6"/>
        <v>1882331.1</v>
      </c>
      <c r="X14" s="10">
        <f t="shared" si="7"/>
        <v>1882331.1</v>
      </c>
      <c r="Y14" s="70">
        <f t="shared" si="8"/>
        <v>1882331.1</v>
      </c>
      <c r="Z14" s="70">
        <f t="shared" si="9"/>
        <v>1882331.1</v>
      </c>
      <c r="AA14" s="10">
        <f t="shared" si="10"/>
        <v>1882331.1</v>
      </c>
      <c r="AB14" s="10">
        <f t="shared" si="11"/>
        <v>1882331.1</v>
      </c>
      <c r="AC14" s="46">
        <f t="shared" si="0"/>
        <v>3648095.1</v>
      </c>
      <c r="AD14" s="204">
        <v>1000</v>
      </c>
      <c r="AE14" s="19">
        <f t="shared" si="1"/>
        <v>3764662.2</v>
      </c>
      <c r="AF14" s="48"/>
      <c r="AG14" s="48">
        <f>P14-AE14</f>
        <v>-3648095.52</v>
      </c>
      <c r="AH14" s="48"/>
      <c r="AI14" s="48"/>
      <c r="AJ14" s="19">
        <f>6100000-SUM(AC4:AC14)</f>
        <v>390828.95000000019</v>
      </c>
    </row>
    <row r="15" spans="1:36" s="11" customFormat="1" ht="41.25" customHeight="1">
      <c r="A15" s="86" t="s">
        <v>208</v>
      </c>
      <c r="B15" s="93" t="s">
        <v>109</v>
      </c>
      <c r="C15" s="93">
        <v>1</v>
      </c>
      <c r="D15" s="94" t="s">
        <v>209</v>
      </c>
      <c r="E15" s="71" t="s">
        <v>210</v>
      </c>
      <c r="F15" s="81" t="s">
        <v>211</v>
      </c>
      <c r="G15" s="68">
        <v>46097</v>
      </c>
      <c r="H15" s="63" t="str">
        <f t="shared" ca="1" si="2"/>
        <v>NO PRAZO</v>
      </c>
      <c r="I15" s="38" t="s">
        <v>477</v>
      </c>
      <c r="J15" s="81" t="s">
        <v>212</v>
      </c>
      <c r="K15" s="10"/>
      <c r="L15" s="80">
        <v>1617878.59</v>
      </c>
      <c r="M15" s="43">
        <f t="shared" si="14"/>
        <v>19414543.080000002</v>
      </c>
      <c r="N15" s="3">
        <v>0</v>
      </c>
      <c r="O15" s="117">
        <v>0</v>
      </c>
      <c r="P15" s="9">
        <f t="shared" si="3"/>
        <v>0</v>
      </c>
      <c r="Q15" s="45"/>
      <c r="R15" s="10"/>
      <c r="S15" s="45"/>
      <c r="T15" s="10">
        <f>L15</f>
        <v>1617878.59</v>
      </c>
      <c r="U15" s="10">
        <f t="shared" si="13"/>
        <v>1617878.59</v>
      </c>
      <c r="V15" s="10">
        <f t="shared" si="5"/>
        <v>1617878.59</v>
      </c>
      <c r="W15" s="10">
        <f t="shared" si="6"/>
        <v>1617878.59</v>
      </c>
      <c r="X15" s="10">
        <f t="shared" si="7"/>
        <v>1617878.59</v>
      </c>
      <c r="Y15" s="70">
        <f t="shared" si="8"/>
        <v>1617878.59</v>
      </c>
      <c r="Z15" s="70">
        <f t="shared" si="9"/>
        <v>1617878.59</v>
      </c>
      <c r="AA15" s="10">
        <f t="shared" si="10"/>
        <v>1617878.59</v>
      </c>
      <c r="AB15" s="10">
        <f t="shared" si="11"/>
        <v>1617878.59</v>
      </c>
      <c r="AC15" s="46">
        <f t="shared" si="0"/>
        <v>3235757.18</v>
      </c>
      <c r="AD15" s="205">
        <v>1050</v>
      </c>
      <c r="AE15" s="19">
        <f t="shared" si="1"/>
        <v>3235757.18</v>
      </c>
      <c r="AF15" s="48"/>
      <c r="AG15" s="48">
        <f>P15-AE15</f>
        <v>-3235757.18</v>
      </c>
      <c r="AH15" s="48">
        <f>(SUM(K15:L15)*2)-P15</f>
        <v>3235757.18</v>
      </c>
      <c r="AI15" s="48"/>
      <c r="AJ15" s="19">
        <f>AC15-AJ14</f>
        <v>2844928.23</v>
      </c>
    </row>
    <row r="16" spans="1:36" s="11" customFormat="1" ht="27" customHeight="1">
      <c r="A16" s="75" t="s">
        <v>218</v>
      </c>
      <c r="B16" s="93" t="s">
        <v>109</v>
      </c>
      <c r="C16" s="93">
        <v>1</v>
      </c>
      <c r="D16" s="94" t="s">
        <v>219</v>
      </c>
      <c r="E16" s="71" t="s">
        <v>215</v>
      </c>
      <c r="F16" s="81" t="s">
        <v>220</v>
      </c>
      <c r="G16" s="68">
        <v>46166</v>
      </c>
      <c r="H16" s="63" t="str">
        <f t="shared" ca="1" si="2"/>
        <v>NO PRAZO</v>
      </c>
      <c r="I16" s="38"/>
      <c r="J16" s="81" t="s">
        <v>221</v>
      </c>
      <c r="K16" s="118"/>
      <c r="L16" s="42">
        <v>190000</v>
      </c>
      <c r="M16" s="43">
        <f t="shared" si="14"/>
        <v>2280000</v>
      </c>
      <c r="N16" s="3">
        <v>0</v>
      </c>
      <c r="O16" s="3">
        <v>0</v>
      </c>
      <c r="P16" s="9">
        <f t="shared" si="3"/>
        <v>0</v>
      </c>
      <c r="Q16" s="45"/>
      <c r="R16" s="10"/>
      <c r="S16" s="45"/>
      <c r="T16" s="10">
        <v>190000</v>
      </c>
      <c r="U16" s="10">
        <f t="shared" si="13"/>
        <v>190000</v>
      </c>
      <c r="V16" s="10">
        <f t="shared" si="5"/>
        <v>190000</v>
      </c>
      <c r="W16" s="10">
        <f t="shared" si="6"/>
        <v>190000</v>
      </c>
      <c r="X16" s="10">
        <f t="shared" si="7"/>
        <v>190000</v>
      </c>
      <c r="Y16" s="70">
        <f t="shared" si="8"/>
        <v>190000</v>
      </c>
      <c r="Z16" s="70">
        <f t="shared" si="9"/>
        <v>190000</v>
      </c>
      <c r="AA16" s="10">
        <f t="shared" si="10"/>
        <v>190000</v>
      </c>
      <c r="AB16" s="10">
        <f t="shared" si="11"/>
        <v>190000</v>
      </c>
      <c r="AC16" s="46">
        <f t="shared" si="0"/>
        <v>380000</v>
      </c>
      <c r="AD16" s="204">
        <v>1050</v>
      </c>
      <c r="AE16" s="19">
        <f t="shared" si="1"/>
        <v>380000</v>
      </c>
      <c r="AF16" s="48">
        <f>P16-AE16</f>
        <v>-380000</v>
      </c>
      <c r="AG16" s="48"/>
      <c r="AH16" s="48">
        <f>(SUM(K16:L16)*2)-P16</f>
        <v>380000</v>
      </c>
      <c r="AI16" s="48"/>
    </row>
    <row r="17" spans="1:36" s="11" customFormat="1" ht="76.5" customHeight="1">
      <c r="A17" s="75" t="s">
        <v>479</v>
      </c>
      <c r="B17" s="93" t="s">
        <v>109</v>
      </c>
      <c r="C17" s="93">
        <v>2</v>
      </c>
      <c r="D17" s="94" t="s">
        <v>228</v>
      </c>
      <c r="E17" s="71" t="s">
        <v>238</v>
      </c>
      <c r="F17" s="81" t="s">
        <v>239</v>
      </c>
      <c r="G17" s="68">
        <v>46146</v>
      </c>
      <c r="H17" s="63" t="str">
        <f t="shared" ca="1" si="2"/>
        <v>NO PRAZO</v>
      </c>
      <c r="I17" s="38"/>
      <c r="J17" s="81" t="s">
        <v>240</v>
      </c>
      <c r="K17" s="10">
        <v>145000</v>
      </c>
      <c r="L17" s="42"/>
      <c r="M17" s="43">
        <f>K17*12</f>
        <v>1740000</v>
      </c>
      <c r="N17" s="3">
        <f>90296.37+2393.36</f>
        <v>92689.73</v>
      </c>
      <c r="O17" s="3">
        <v>113737.72</v>
      </c>
      <c r="P17" s="9">
        <f t="shared" si="3"/>
        <v>206427.45</v>
      </c>
      <c r="Q17" s="45"/>
      <c r="R17" s="45"/>
      <c r="S17" s="45"/>
      <c r="T17" s="45"/>
      <c r="U17" s="10">
        <f>145000-61427</f>
        <v>83573</v>
      </c>
      <c r="V17" s="10">
        <f>K17</f>
        <v>145000</v>
      </c>
      <c r="W17" s="70">
        <f>K17</f>
        <v>145000</v>
      </c>
      <c r="X17" s="10">
        <f>K17</f>
        <v>145000</v>
      </c>
      <c r="Y17" s="10">
        <f>K17</f>
        <v>145000</v>
      </c>
      <c r="Z17" s="10">
        <f>K17</f>
        <v>145000</v>
      </c>
      <c r="AA17" s="109">
        <f>K17</f>
        <v>145000</v>
      </c>
      <c r="AB17" s="109">
        <f>K17</f>
        <v>145000</v>
      </c>
      <c r="AC17" s="46">
        <f t="shared" si="0"/>
        <v>83573</v>
      </c>
      <c r="AD17" s="204">
        <v>1050</v>
      </c>
      <c r="AE17" s="19">
        <f t="shared" si="1"/>
        <v>290000</v>
      </c>
      <c r="AF17" s="48">
        <f>P17-AE17</f>
        <v>-83572.549999999988</v>
      </c>
      <c r="AG17" s="48"/>
      <c r="AH17" s="48"/>
      <c r="AI17" s="48"/>
      <c r="AJ17" s="19">
        <f>SUM(AC15:AC25)</f>
        <v>4275683.2775000008</v>
      </c>
    </row>
    <row r="18" spans="1:36" s="11" customFormat="1" ht="40.5" customHeight="1">
      <c r="A18" s="86" t="s">
        <v>241</v>
      </c>
      <c r="B18" s="93" t="s">
        <v>109</v>
      </c>
      <c r="C18" s="93">
        <v>1</v>
      </c>
      <c r="D18" s="71" t="s">
        <v>242</v>
      </c>
      <c r="E18" s="71" t="s">
        <v>243</v>
      </c>
      <c r="F18" s="81" t="s">
        <v>244</v>
      </c>
      <c r="G18" s="68">
        <v>46097</v>
      </c>
      <c r="H18" s="63" t="str">
        <f t="shared" ca="1" si="2"/>
        <v>NO PRAZO</v>
      </c>
      <c r="I18" s="38" t="s">
        <v>480</v>
      </c>
      <c r="J18" s="81" t="s">
        <v>245</v>
      </c>
      <c r="K18" s="10"/>
      <c r="L18" s="42">
        <v>458615.91</v>
      </c>
      <c r="M18" s="43">
        <f>L18*12</f>
        <v>5503390.9199999999</v>
      </c>
      <c r="N18" s="3">
        <v>413328.12</v>
      </c>
      <c r="O18" s="3">
        <v>45809.43</v>
      </c>
      <c r="P18" s="9">
        <f t="shared" si="3"/>
        <v>459137.55</v>
      </c>
      <c r="Q18" s="45"/>
      <c r="R18" s="10"/>
      <c r="S18" s="10">
        <f>L18-O18</f>
        <v>412806.48</v>
      </c>
      <c r="T18" s="45"/>
      <c r="U18" s="10">
        <f>L18-521.64</f>
        <v>458094.26999999996</v>
      </c>
      <c r="V18" s="10">
        <f>L18</f>
        <v>458615.91</v>
      </c>
      <c r="W18" s="10">
        <f>L18</f>
        <v>458615.91</v>
      </c>
      <c r="X18" s="10">
        <f>L18</f>
        <v>458615.91</v>
      </c>
      <c r="Y18" s="10">
        <f>L18</f>
        <v>458615.91</v>
      </c>
      <c r="Z18" s="10">
        <f>L18</f>
        <v>458615.91</v>
      </c>
      <c r="AA18" s="10">
        <f>L18</f>
        <v>458615.91</v>
      </c>
      <c r="AB18" s="10">
        <f>L18</f>
        <v>458615.91</v>
      </c>
      <c r="AC18" s="46">
        <f t="shared" si="0"/>
        <v>458094.26999999996</v>
      </c>
      <c r="AD18" s="204">
        <v>1050</v>
      </c>
      <c r="AE18" s="19">
        <f t="shared" si="1"/>
        <v>917231.82</v>
      </c>
      <c r="AF18" s="48">
        <f>P18-AE18</f>
        <v>-458094.26999999996</v>
      </c>
      <c r="AG18" s="48"/>
      <c r="AH18" s="48">
        <f t="shared" ref="AH18:AH25" si="15">(SUM(K18:L18)*2)-P18</f>
        <v>458094.26999999996</v>
      </c>
      <c r="AI18" s="48"/>
      <c r="AJ18" s="11">
        <v>5798525.8899999997</v>
      </c>
    </row>
    <row r="19" spans="1:36" s="11" customFormat="1" ht="41.25" customHeight="1">
      <c r="A19" s="86" t="s">
        <v>254</v>
      </c>
      <c r="B19" s="93" t="s">
        <v>47</v>
      </c>
      <c r="C19" s="124">
        <v>1</v>
      </c>
      <c r="D19" s="71" t="s">
        <v>204</v>
      </c>
      <c r="E19" s="71" t="s">
        <v>256</v>
      </c>
      <c r="F19" s="81" t="s">
        <v>257</v>
      </c>
      <c r="G19" s="68">
        <v>45889</v>
      </c>
      <c r="H19" s="63" t="str">
        <f t="shared" ca="1" si="2"/>
        <v>EXPIRADO</v>
      </c>
      <c r="I19" s="38"/>
      <c r="J19" s="81" t="s">
        <v>258</v>
      </c>
      <c r="K19" s="10"/>
      <c r="L19" s="80">
        <f>M19/12</f>
        <v>5331.32</v>
      </c>
      <c r="M19" s="10">
        <v>63975.839999999997</v>
      </c>
      <c r="N19" s="3">
        <v>4688.29</v>
      </c>
      <c r="O19" s="3">
        <v>0</v>
      </c>
      <c r="P19" s="9">
        <f t="shared" si="3"/>
        <v>4688.29</v>
      </c>
      <c r="Q19" s="45"/>
      <c r="R19" s="45"/>
      <c r="S19" s="10">
        <f>L19-P19</f>
        <v>643.02999999999975</v>
      </c>
      <c r="T19" s="10">
        <f>L19-4688</f>
        <v>643.31999999999971</v>
      </c>
      <c r="U19" s="10">
        <f>L19</f>
        <v>5331.32</v>
      </c>
      <c r="V19" s="70">
        <f>L19</f>
        <v>5331.32</v>
      </c>
      <c r="W19" s="70">
        <f>L19</f>
        <v>5331.32</v>
      </c>
      <c r="X19" s="65">
        <f>L19</f>
        <v>5331.32</v>
      </c>
      <c r="Y19" s="10">
        <f>L19</f>
        <v>5331.32</v>
      </c>
      <c r="Z19" s="10">
        <f>L19</f>
        <v>5331.32</v>
      </c>
      <c r="AA19" s="10">
        <f>L19</f>
        <v>5331.32</v>
      </c>
      <c r="AB19" s="10">
        <f>L19</f>
        <v>5331.32</v>
      </c>
      <c r="AC19" s="46">
        <f t="shared" si="0"/>
        <v>5974.6399999999994</v>
      </c>
      <c r="AD19" s="204">
        <v>1050</v>
      </c>
      <c r="AE19" s="19">
        <f t="shared" si="1"/>
        <v>10662.64</v>
      </c>
      <c r="AF19" s="48"/>
      <c r="AG19" s="48">
        <v>-643.349999999999</v>
      </c>
      <c r="AH19" s="48">
        <f t="shared" si="15"/>
        <v>5974.3499999999995</v>
      </c>
      <c r="AI19" s="48"/>
      <c r="AJ19" s="19">
        <f>AJ13-AJ18</f>
        <v>301474.11000000034</v>
      </c>
    </row>
    <row r="20" spans="1:36" s="11" customFormat="1" ht="38.25" customHeight="1">
      <c r="A20" s="90" t="s">
        <v>259</v>
      </c>
      <c r="B20" s="93" t="s">
        <v>47</v>
      </c>
      <c r="C20" s="124">
        <v>1</v>
      </c>
      <c r="D20" s="94" t="s">
        <v>209</v>
      </c>
      <c r="E20" s="71" t="s">
        <v>260</v>
      </c>
      <c r="F20" s="81" t="s">
        <v>261</v>
      </c>
      <c r="G20" s="68">
        <v>45938</v>
      </c>
      <c r="H20" s="63" t="str">
        <f t="shared" ca="1" si="2"/>
        <v>EXPIRADO</v>
      </c>
      <c r="I20" s="38"/>
      <c r="J20" s="81" t="s">
        <v>262</v>
      </c>
      <c r="K20" s="10"/>
      <c r="L20" s="80">
        <v>23452.22</v>
      </c>
      <c r="M20" s="10">
        <f>L20*12</f>
        <v>281426.64</v>
      </c>
      <c r="N20" s="125">
        <v>23452.22</v>
      </c>
      <c r="O20" s="3">
        <v>0</v>
      </c>
      <c r="P20" s="9">
        <f t="shared" si="3"/>
        <v>23452.22</v>
      </c>
      <c r="Q20" s="53"/>
      <c r="R20" s="10"/>
      <c r="S20" s="45"/>
      <c r="T20" s="45"/>
      <c r="U20" s="10">
        <f>L20</f>
        <v>23452.22</v>
      </c>
      <c r="V20" s="70">
        <f>L20</f>
        <v>23452.22</v>
      </c>
      <c r="W20" s="70">
        <f>L20</f>
        <v>23452.22</v>
      </c>
      <c r="X20" s="10">
        <f>L20</f>
        <v>23452.22</v>
      </c>
      <c r="Y20" s="10">
        <f>L20</f>
        <v>23452.22</v>
      </c>
      <c r="Z20" s="65">
        <f>L20</f>
        <v>23452.22</v>
      </c>
      <c r="AA20" s="10">
        <f>L20</f>
        <v>23452.22</v>
      </c>
      <c r="AB20" s="10">
        <f>L20</f>
        <v>23452.22</v>
      </c>
      <c r="AC20" s="46">
        <f t="shared" si="0"/>
        <v>23452.22</v>
      </c>
      <c r="AD20" s="204">
        <v>1050</v>
      </c>
      <c r="AE20" s="19">
        <f t="shared" si="1"/>
        <v>46904.44</v>
      </c>
      <c r="AF20" s="48"/>
      <c r="AG20" s="48">
        <v>-46904.36</v>
      </c>
      <c r="AH20" s="48">
        <f t="shared" si="15"/>
        <v>23452.22</v>
      </c>
      <c r="AI20" s="48"/>
    </row>
    <row r="21" spans="1:36" s="11" customFormat="1" ht="75">
      <c r="A21" s="86" t="s">
        <v>458</v>
      </c>
      <c r="B21" s="76" t="s">
        <v>328</v>
      </c>
      <c r="C21" s="76">
        <v>2</v>
      </c>
      <c r="D21" s="38" t="s">
        <v>334</v>
      </c>
      <c r="E21" s="38"/>
      <c r="F21" s="38" t="s">
        <v>335</v>
      </c>
      <c r="G21" s="38" t="s">
        <v>336</v>
      </c>
      <c r="H21" s="63"/>
      <c r="I21" s="63"/>
      <c r="J21" s="79"/>
      <c r="K21" s="145">
        <v>285000</v>
      </c>
      <c r="L21" s="80"/>
      <c r="M21" s="10">
        <f>K21*12</f>
        <v>3420000</v>
      </c>
      <c r="N21" s="3">
        <f>61992.46+508007.54</f>
        <v>570000</v>
      </c>
      <c r="O21" s="3">
        <v>0</v>
      </c>
      <c r="P21" s="9">
        <f t="shared" si="3"/>
        <v>570000</v>
      </c>
      <c r="Q21" s="53"/>
      <c r="R21" s="145"/>
      <c r="S21" s="45"/>
      <c r="T21" s="53"/>
      <c r="U21" s="53"/>
      <c r="V21" s="145">
        <v>285000</v>
      </c>
      <c r="W21" s="145">
        <v>285000</v>
      </c>
      <c r="X21" s="145">
        <v>285000</v>
      </c>
      <c r="Y21" s="145">
        <v>285000</v>
      </c>
      <c r="Z21" s="145">
        <v>285000</v>
      </c>
      <c r="AA21" s="145">
        <v>285000</v>
      </c>
      <c r="AB21" s="145">
        <v>285000</v>
      </c>
      <c r="AC21" s="46">
        <v>50000</v>
      </c>
      <c r="AD21" s="204">
        <v>1050</v>
      </c>
      <c r="AE21" s="146"/>
      <c r="AF21" s="48"/>
      <c r="AG21" s="48"/>
      <c r="AH21" s="48">
        <f t="shared" si="15"/>
        <v>0</v>
      </c>
      <c r="AI21" s="48"/>
      <c r="AJ21" s="19">
        <f>AJ17+AC34+AC46</f>
        <v>9909690.2475000024</v>
      </c>
    </row>
    <row r="22" spans="1:36" s="11" customFormat="1" ht="60">
      <c r="A22" s="86" t="s">
        <v>469</v>
      </c>
      <c r="B22" s="76" t="s">
        <v>328</v>
      </c>
      <c r="C22" s="76">
        <v>2</v>
      </c>
      <c r="D22" s="38" t="s">
        <v>334</v>
      </c>
      <c r="E22" s="38"/>
      <c r="F22" s="148" t="s">
        <v>338</v>
      </c>
      <c r="G22" s="38" t="s">
        <v>339</v>
      </c>
      <c r="H22" s="63"/>
      <c r="I22" s="63"/>
      <c r="J22" s="79"/>
      <c r="K22" s="145">
        <v>28500</v>
      </c>
      <c r="L22" s="80"/>
      <c r="M22" s="10">
        <f>K22*12</f>
        <v>342000</v>
      </c>
      <c r="N22" s="3">
        <v>32106.5</v>
      </c>
      <c r="O22" s="3">
        <v>0</v>
      </c>
      <c r="P22" s="9">
        <f t="shared" si="3"/>
        <v>32106.5</v>
      </c>
      <c r="Q22" s="53"/>
      <c r="R22" s="145"/>
      <c r="S22" s="45"/>
      <c r="T22" s="53"/>
      <c r="U22" s="145">
        <f>28500-3607</f>
        <v>24893</v>
      </c>
      <c r="V22" s="145">
        <v>28500</v>
      </c>
      <c r="W22" s="145">
        <v>28500</v>
      </c>
      <c r="X22" s="145">
        <v>28500</v>
      </c>
      <c r="Y22" s="145">
        <v>28500</v>
      </c>
      <c r="Z22" s="145">
        <v>28500</v>
      </c>
      <c r="AA22" s="145">
        <v>28500</v>
      </c>
      <c r="AB22" s="145">
        <v>28500</v>
      </c>
      <c r="AC22" s="46">
        <f>T22+U22</f>
        <v>24893</v>
      </c>
      <c r="AD22" s="204">
        <v>1050</v>
      </c>
      <c r="AE22" s="146"/>
      <c r="AF22" s="48"/>
      <c r="AG22" s="48"/>
      <c r="AH22" s="48">
        <f t="shared" si="15"/>
        <v>24893.5</v>
      </c>
      <c r="AI22" s="48"/>
      <c r="AJ22" s="19">
        <v>12244660.119999999</v>
      </c>
    </row>
    <row r="23" spans="1:36" s="11" customFormat="1" ht="60">
      <c r="A23" s="86" t="s">
        <v>497</v>
      </c>
      <c r="B23" s="76" t="s">
        <v>328</v>
      </c>
      <c r="C23" s="76">
        <v>2</v>
      </c>
      <c r="D23" s="38" t="s">
        <v>334</v>
      </c>
      <c r="E23" s="38"/>
      <c r="F23" s="148" t="s">
        <v>341</v>
      </c>
      <c r="G23" s="38" t="s">
        <v>342</v>
      </c>
      <c r="H23" s="63"/>
      <c r="I23" s="63"/>
      <c r="J23" s="79"/>
      <c r="K23" s="145">
        <v>17500</v>
      </c>
      <c r="L23" s="80"/>
      <c r="M23" s="10">
        <f>K23*12</f>
        <v>210000</v>
      </c>
      <c r="N23" s="3">
        <v>22573.93</v>
      </c>
      <c r="O23" s="3">
        <v>5053.5600000000004</v>
      </c>
      <c r="P23" s="9">
        <f t="shared" si="3"/>
        <v>27627.49</v>
      </c>
      <c r="Q23" s="53"/>
      <c r="R23" s="145"/>
      <c r="S23" s="45"/>
      <c r="T23" s="53"/>
      <c r="U23" s="145">
        <f>17500-10127</f>
        <v>7373</v>
      </c>
      <c r="V23" s="145">
        <v>17500</v>
      </c>
      <c r="W23" s="145">
        <v>17500</v>
      </c>
      <c r="X23" s="145">
        <v>17500</v>
      </c>
      <c r="Y23" s="145">
        <v>17500</v>
      </c>
      <c r="Z23" s="145">
        <v>17500</v>
      </c>
      <c r="AA23" s="145">
        <v>17500</v>
      </c>
      <c r="AB23" s="145">
        <v>17500</v>
      </c>
      <c r="AC23" s="46">
        <f>T23+U23</f>
        <v>7373</v>
      </c>
      <c r="AD23" s="204">
        <v>1050</v>
      </c>
      <c r="AE23" s="146"/>
      <c r="AF23" s="48"/>
      <c r="AG23" s="48"/>
      <c r="AH23" s="48">
        <f t="shared" si="15"/>
        <v>7372.5099999999984</v>
      </c>
      <c r="AI23" s="48"/>
      <c r="AJ23" s="19">
        <f>AJ22-AJ21</f>
        <v>2334969.8724999968</v>
      </c>
    </row>
    <row r="24" spans="1:36" s="11" customFormat="1" ht="27" customHeight="1">
      <c r="A24" s="155" t="s">
        <v>450</v>
      </c>
      <c r="B24" s="76" t="s">
        <v>328</v>
      </c>
      <c r="C24" s="76">
        <v>1</v>
      </c>
      <c r="D24" s="77" t="s">
        <v>370</v>
      </c>
      <c r="E24" s="77" t="s">
        <v>256</v>
      </c>
      <c r="F24" s="81" t="s">
        <v>371</v>
      </c>
      <c r="G24" s="111">
        <v>45844</v>
      </c>
      <c r="H24" s="63" t="str">
        <f ca="1">IF((G24-TODAY())&lt;0,"EXPIRADO", IF((G24-TODAY())&lt;=60,"EM BREVE","NO PRAZO"))</f>
        <v>EXPIRADO</v>
      </c>
      <c r="I24" s="63"/>
      <c r="J24" s="84" t="s">
        <v>373</v>
      </c>
      <c r="K24" s="10"/>
      <c r="L24" s="80">
        <f>M24/12</f>
        <v>5039.3474999999999</v>
      </c>
      <c r="M24" s="10">
        <v>60472.17</v>
      </c>
      <c r="N24" s="3">
        <v>5205.7299999999996</v>
      </c>
      <c r="O24" s="3">
        <v>0</v>
      </c>
      <c r="P24" s="9">
        <f t="shared" si="3"/>
        <v>5205.7299999999996</v>
      </c>
      <c r="Q24" s="10"/>
      <c r="R24" s="10"/>
      <c r="S24" s="45"/>
      <c r="T24" s="45"/>
      <c r="U24" s="10">
        <f>L24-166.38</f>
        <v>4872.9674999999997</v>
      </c>
      <c r="V24" s="70">
        <f>L24</f>
        <v>5039.3474999999999</v>
      </c>
      <c r="W24" s="108">
        <f>L24</f>
        <v>5039.3474999999999</v>
      </c>
      <c r="X24" s="70">
        <f>L24</f>
        <v>5039.3474999999999</v>
      </c>
      <c r="Y24" s="70">
        <f>L24</f>
        <v>5039.3474999999999</v>
      </c>
      <c r="Z24" s="10">
        <f>L24</f>
        <v>5039.3474999999999</v>
      </c>
      <c r="AA24" s="10">
        <f>L24</f>
        <v>5039.3474999999999</v>
      </c>
      <c r="AB24" s="10">
        <f>L24</f>
        <v>5039.3474999999999</v>
      </c>
      <c r="AC24" s="46">
        <f>T24+U24</f>
        <v>4872.9674999999997</v>
      </c>
      <c r="AD24" s="204">
        <v>1050</v>
      </c>
      <c r="AE24" s="19">
        <f>L24*2</f>
        <v>10078.695</v>
      </c>
      <c r="AF24" s="48"/>
      <c r="AG24" s="48"/>
      <c r="AH24" s="48">
        <f t="shared" si="15"/>
        <v>4872.9650000000001</v>
      </c>
      <c r="AI24" s="48"/>
    </row>
    <row r="25" spans="1:36" s="11" customFormat="1" ht="14.25" customHeight="1">
      <c r="A25" s="157" t="s">
        <v>387</v>
      </c>
      <c r="B25" s="206" t="s">
        <v>382</v>
      </c>
      <c r="C25" s="76">
        <v>2</v>
      </c>
      <c r="D25" s="49" t="s">
        <v>388</v>
      </c>
      <c r="E25" s="49"/>
      <c r="F25" s="38" t="s">
        <v>389</v>
      </c>
      <c r="G25" s="62">
        <v>46001</v>
      </c>
      <c r="H25" s="63" t="str">
        <f ca="1">IF((G25-TODAY())&lt;0,"EXPIRADO", IF((G25-TODAY())&lt;=60,"EM BREVE","NO PRAZO"))</f>
        <v>EM BREVE</v>
      </c>
      <c r="I25" s="63"/>
      <c r="J25" s="38" t="s">
        <v>390</v>
      </c>
      <c r="K25" s="10">
        <v>2000</v>
      </c>
      <c r="L25" s="80"/>
      <c r="M25" s="10">
        <f>K25*12</f>
        <v>24000</v>
      </c>
      <c r="N25" s="3">
        <v>531.84</v>
      </c>
      <c r="O25" s="3">
        <v>1774.72</v>
      </c>
      <c r="P25" s="9">
        <f t="shared" si="3"/>
        <v>2306.56</v>
      </c>
      <c r="Q25" s="53"/>
      <c r="R25" s="45"/>
      <c r="S25" s="45"/>
      <c r="T25" s="45"/>
      <c r="U25" s="10">
        <f>K25-307</f>
        <v>1693</v>
      </c>
      <c r="V25" s="10">
        <f>K25</f>
        <v>2000</v>
      </c>
      <c r="W25" s="10">
        <f>K25</f>
        <v>2000</v>
      </c>
      <c r="X25" s="10">
        <f>K25</f>
        <v>2000</v>
      </c>
      <c r="Y25" s="10">
        <f>K25</f>
        <v>2000</v>
      </c>
      <c r="Z25" s="10">
        <f>K25</f>
        <v>2000</v>
      </c>
      <c r="AA25" s="10">
        <f>K25</f>
        <v>2000</v>
      </c>
      <c r="AB25" s="65">
        <f>K25</f>
        <v>2000</v>
      </c>
      <c r="AC25" s="46">
        <f>T25+U25</f>
        <v>1693</v>
      </c>
      <c r="AD25" s="204">
        <v>1050</v>
      </c>
      <c r="AE25" s="19">
        <f>K25*2</f>
        <v>4000</v>
      </c>
      <c r="AF25" s="48">
        <f>P25-AE25</f>
        <v>-1693.44</v>
      </c>
      <c r="AG25" s="48"/>
      <c r="AH25" s="48">
        <f t="shared" si="15"/>
        <v>1693.44</v>
      </c>
      <c r="AI25" s="48"/>
    </row>
    <row r="26" spans="1:36" s="11" customFormat="1">
      <c r="A26" s="181" t="s">
        <v>412</v>
      </c>
      <c r="B26" s="181"/>
      <c r="C26" s="182"/>
      <c r="D26" s="181"/>
      <c r="E26" s="181"/>
      <c r="F26" s="182"/>
      <c r="G26" s="181"/>
      <c r="H26" s="181"/>
      <c r="I26" s="181"/>
      <c r="J26" s="181"/>
      <c r="K26" s="183">
        <f t="shared" ref="K26:AC26" si="16">SUM(K4:K25)</f>
        <v>1588095</v>
      </c>
      <c r="L26" s="207">
        <f t="shared" si="16"/>
        <v>4674052.4575000005</v>
      </c>
      <c r="M26" s="183">
        <f t="shared" si="16"/>
        <v>75145769.49000001</v>
      </c>
      <c r="N26" s="183">
        <f t="shared" si="16"/>
        <v>2402656.0700000003</v>
      </c>
      <c r="O26" s="183">
        <f t="shared" si="16"/>
        <v>368581.92999999993</v>
      </c>
      <c r="P26" s="183">
        <f t="shared" si="16"/>
        <v>2589380.6900000004</v>
      </c>
      <c r="Q26" s="183">
        <f t="shared" si="16"/>
        <v>0</v>
      </c>
      <c r="R26" s="183">
        <f t="shared" si="16"/>
        <v>0</v>
      </c>
      <c r="S26" s="183">
        <f t="shared" si="16"/>
        <v>659683.18999999994</v>
      </c>
      <c r="T26" s="183">
        <f t="shared" si="16"/>
        <v>4074562.82</v>
      </c>
      <c r="U26" s="183">
        <f t="shared" si="16"/>
        <v>5860291.5074999994</v>
      </c>
      <c r="V26" s="183">
        <f t="shared" si="16"/>
        <v>6262147.4575000005</v>
      </c>
      <c r="W26" s="183">
        <f t="shared" si="16"/>
        <v>6262147.4575000005</v>
      </c>
      <c r="X26" s="183">
        <f t="shared" si="16"/>
        <v>6262147.4575000005</v>
      </c>
      <c r="Y26" s="183">
        <f t="shared" si="16"/>
        <v>6262147.4575000005</v>
      </c>
      <c r="Z26" s="183">
        <f t="shared" si="16"/>
        <v>6262147.4575000005</v>
      </c>
      <c r="AA26" s="183">
        <f t="shared" si="16"/>
        <v>6262147.4575000005</v>
      </c>
      <c r="AB26" s="183">
        <f t="shared" si="16"/>
        <v>6262147.4575000005</v>
      </c>
      <c r="AC26" s="184">
        <f t="shared" si="16"/>
        <v>9984854.3275000006</v>
      </c>
      <c r="AD26" s="181"/>
      <c r="AE26" s="173">
        <f>SUM(AE4:AE25)</f>
        <v>11862294.915000001</v>
      </c>
      <c r="AF26" s="173">
        <f>SUM(AF4:AF25)</f>
        <v>-2527970.56</v>
      </c>
      <c r="AG26" s="173">
        <f>SUM(AG4:AG25)</f>
        <v>-7363473.2700000005</v>
      </c>
      <c r="AH26" s="175">
        <f>SUM(AH4:AH25)</f>
        <v>6197194.1649999991</v>
      </c>
      <c r="AI26" s="48"/>
    </row>
    <row r="27" spans="1:36" s="11" customFormat="1">
      <c r="A27" s="165"/>
      <c r="B27" s="165"/>
      <c r="C27" s="166"/>
      <c r="D27" s="165"/>
      <c r="E27" s="165"/>
      <c r="F27" s="166"/>
      <c r="G27" s="165"/>
      <c r="H27" s="165"/>
      <c r="I27" s="165"/>
      <c r="J27" s="165"/>
      <c r="K27" s="167"/>
      <c r="L27" s="168"/>
      <c r="M27" s="167"/>
      <c r="N27" s="167"/>
      <c r="O27" s="165"/>
      <c r="P27" s="169"/>
      <c r="S27" s="15"/>
      <c r="T27" s="15"/>
      <c r="U27" s="15"/>
      <c r="V27" s="15"/>
      <c r="W27" s="16"/>
      <c r="X27" s="15"/>
      <c r="Y27" s="15"/>
      <c r="Z27" s="15"/>
      <c r="AA27" s="15"/>
      <c r="AB27" s="15"/>
      <c r="AC27" s="17"/>
      <c r="AD27" s="18"/>
      <c r="AE27" s="19"/>
      <c r="AF27" s="19"/>
    </row>
    <row r="28" spans="1:36" s="11" customFormat="1">
      <c r="C28" s="12"/>
      <c r="D28" s="12"/>
      <c r="E28" s="12"/>
      <c r="F28" s="12"/>
      <c r="G28" s="12"/>
      <c r="H28" s="12"/>
      <c r="I28" s="12"/>
      <c r="J28" s="12"/>
      <c r="K28" s="13"/>
      <c r="L28" s="14"/>
      <c r="M28" s="13"/>
      <c r="N28" s="13"/>
      <c r="O28" s="19"/>
      <c r="S28" s="15"/>
      <c r="T28" s="15"/>
      <c r="U28" s="15"/>
      <c r="V28" s="15"/>
      <c r="W28" s="16"/>
      <c r="X28" s="15"/>
      <c r="Y28" s="15"/>
      <c r="Z28" s="15"/>
      <c r="AA28" s="15"/>
      <c r="AB28" s="15"/>
      <c r="AC28" s="17"/>
      <c r="AD28" s="18"/>
      <c r="AE28" s="19"/>
      <c r="AF28" s="19"/>
      <c r="AG28" s="19" t="e">
        <f>#REF!</f>
        <v>#REF!</v>
      </c>
      <c r="AH28" s="19"/>
      <c r="AI28" s="19"/>
    </row>
    <row r="29" spans="1:36" s="11" customFormat="1">
      <c r="C29" s="12"/>
      <c r="D29" s="12"/>
      <c r="E29" s="12"/>
      <c r="F29" s="12"/>
      <c r="G29" s="12"/>
      <c r="H29" s="12"/>
      <c r="I29" s="12"/>
      <c r="J29" s="12"/>
      <c r="K29" s="13"/>
      <c r="L29" s="14"/>
      <c r="M29" s="13"/>
      <c r="N29" s="13"/>
      <c r="O29" s="19"/>
      <c r="S29" s="15"/>
      <c r="T29" s="15"/>
      <c r="U29" s="15"/>
      <c r="V29" s="15"/>
      <c r="W29" s="16"/>
      <c r="X29" s="15"/>
      <c r="Y29" s="15"/>
      <c r="Z29" s="15"/>
      <c r="AA29" s="15"/>
      <c r="AB29" s="15"/>
      <c r="AC29" s="17"/>
      <c r="AD29" s="18"/>
      <c r="AE29" s="19"/>
      <c r="AF29" s="19"/>
      <c r="AG29" s="19">
        <v>-6000000</v>
      </c>
      <c r="AH29" s="19"/>
      <c r="AI29" s="19"/>
    </row>
    <row r="30" spans="1:36" s="11" customFormat="1" ht="45">
      <c r="A30" s="2" t="s">
        <v>7</v>
      </c>
      <c r="B30" s="2" t="s">
        <v>8</v>
      </c>
      <c r="C30" s="2" t="s">
        <v>413</v>
      </c>
      <c r="D30" s="2" t="s">
        <v>9</v>
      </c>
      <c r="E30" s="2" t="s">
        <v>10</v>
      </c>
      <c r="F30" s="2" t="s">
        <v>11</v>
      </c>
      <c r="G30" s="2" t="s">
        <v>12</v>
      </c>
      <c r="H30" s="2" t="s">
        <v>13</v>
      </c>
      <c r="I30" s="2" t="s">
        <v>14</v>
      </c>
      <c r="J30" s="2" t="s">
        <v>15</v>
      </c>
      <c r="K30" s="2" t="s">
        <v>16</v>
      </c>
      <c r="L30" s="208" t="s">
        <v>17</v>
      </c>
      <c r="M30" s="209" t="s">
        <v>18</v>
      </c>
      <c r="N30" s="209" t="s">
        <v>19</v>
      </c>
      <c r="O30" s="209" t="s">
        <v>20</v>
      </c>
      <c r="P30" s="209" t="s">
        <v>21</v>
      </c>
      <c r="Q30" s="209">
        <v>45658</v>
      </c>
      <c r="R30" s="209">
        <v>45689</v>
      </c>
      <c r="S30" s="209">
        <v>45717</v>
      </c>
      <c r="T30" s="209">
        <v>45748</v>
      </c>
      <c r="U30" s="209">
        <v>45778</v>
      </c>
      <c r="V30" s="209">
        <v>45809</v>
      </c>
      <c r="W30" s="209">
        <v>45839</v>
      </c>
      <c r="X30" s="209">
        <v>45870</v>
      </c>
      <c r="Y30" s="209">
        <v>45901</v>
      </c>
      <c r="Z30" s="209">
        <v>45931</v>
      </c>
      <c r="AA30" s="209">
        <v>45962</v>
      </c>
      <c r="AB30" s="209">
        <v>45992</v>
      </c>
      <c r="AC30" s="209" t="s">
        <v>22</v>
      </c>
      <c r="AD30" s="18"/>
      <c r="AE30" s="19"/>
      <c r="AF30" s="19"/>
      <c r="AG30" s="19">
        <v>-1280820.8600000001</v>
      </c>
      <c r="AH30" s="19"/>
      <c r="AI30" s="19"/>
    </row>
    <row r="31" spans="1:36" s="11" customFormat="1" ht="30">
      <c r="A31" s="89" t="s">
        <v>128</v>
      </c>
      <c r="B31" s="76" t="s">
        <v>115</v>
      </c>
      <c r="C31" s="149"/>
      <c r="D31" s="49" t="s">
        <v>129</v>
      </c>
      <c r="E31" s="49" t="s">
        <v>130</v>
      </c>
      <c r="F31" s="149"/>
      <c r="G31" s="149"/>
      <c r="H31" s="149"/>
      <c r="I31" s="149"/>
      <c r="J31" s="149"/>
      <c r="K31" s="82"/>
      <c r="L31" s="141"/>
      <c r="M31" s="82"/>
      <c r="N31" s="82"/>
      <c r="O31" s="46"/>
      <c r="P31" s="79"/>
      <c r="Q31" s="79"/>
      <c r="R31" s="79"/>
      <c r="S31" s="70"/>
      <c r="T31" s="70"/>
      <c r="U31" s="70"/>
      <c r="V31" s="70"/>
      <c r="W31" s="210"/>
      <c r="X31" s="70"/>
      <c r="Y31" s="70"/>
      <c r="Z31" s="70"/>
      <c r="AA31" s="70"/>
      <c r="AB31" s="70"/>
      <c r="AC31" s="211">
        <v>14882</v>
      </c>
      <c r="AD31" s="18"/>
      <c r="AE31" s="19"/>
      <c r="AF31" s="19"/>
      <c r="AH31" s="19"/>
      <c r="AI31" s="19"/>
    </row>
    <row r="32" spans="1:36" s="11" customFormat="1" ht="30">
      <c r="A32" s="86" t="s">
        <v>134</v>
      </c>
      <c r="B32" s="76" t="s">
        <v>115</v>
      </c>
      <c r="C32" s="149"/>
      <c r="D32" s="49" t="s">
        <v>135</v>
      </c>
      <c r="E32" s="49" t="s">
        <v>136</v>
      </c>
      <c r="F32" s="149"/>
      <c r="G32" s="149"/>
      <c r="H32" s="149"/>
      <c r="I32" s="149"/>
      <c r="J32" s="149"/>
      <c r="K32" s="82"/>
      <c r="L32" s="141"/>
      <c r="M32" s="82"/>
      <c r="N32" s="82"/>
      <c r="O32" s="46"/>
      <c r="P32" s="79"/>
      <c r="Q32" s="79"/>
      <c r="R32" s="79"/>
      <c r="S32" s="70"/>
      <c r="T32" s="70"/>
      <c r="U32" s="70"/>
      <c r="V32" s="70"/>
      <c r="W32" s="210"/>
      <c r="X32" s="70"/>
      <c r="Y32" s="70"/>
      <c r="Z32" s="70"/>
      <c r="AA32" s="70"/>
      <c r="AB32" s="70"/>
      <c r="AC32" s="211">
        <v>568003.42000000004</v>
      </c>
      <c r="AD32" s="18"/>
      <c r="AE32" s="19"/>
      <c r="AF32" s="19"/>
      <c r="AG32" s="19" t="e">
        <f>SUM(AG28:AG29)</f>
        <v>#REF!</v>
      </c>
      <c r="AH32" s="19"/>
      <c r="AI32" s="19"/>
    </row>
    <row r="33" spans="1:35" s="11" customFormat="1">
      <c r="A33" s="86" t="s">
        <v>148</v>
      </c>
      <c r="B33" s="93" t="s">
        <v>115</v>
      </c>
      <c r="C33" s="149"/>
      <c r="D33" s="94" t="s">
        <v>149</v>
      </c>
      <c r="E33" s="71" t="s">
        <v>150</v>
      </c>
      <c r="F33" s="149"/>
      <c r="G33" s="149"/>
      <c r="H33" s="149"/>
      <c r="I33" s="149"/>
      <c r="J33" s="149"/>
      <c r="K33" s="82"/>
      <c r="L33" s="141"/>
      <c r="M33" s="82"/>
      <c r="N33" s="82"/>
      <c r="O33" s="79"/>
      <c r="P33" s="79"/>
      <c r="Q33" s="79"/>
      <c r="R33" s="79"/>
      <c r="S33" s="70"/>
      <c r="T33" s="70"/>
      <c r="U33" s="70"/>
      <c r="V33" s="70"/>
      <c r="W33" s="210"/>
      <c r="X33" s="70"/>
      <c r="Y33" s="70"/>
      <c r="Z33" s="70"/>
      <c r="AA33" s="70"/>
      <c r="AB33" s="70"/>
      <c r="AC33" s="211">
        <v>5836</v>
      </c>
      <c r="AD33" s="18"/>
      <c r="AE33" s="19"/>
      <c r="AF33" s="19"/>
      <c r="AG33" s="19" t="e">
        <f>AG32+#REF!</f>
        <v>#REF!</v>
      </c>
    </row>
    <row r="34" spans="1:35" ht="15" customHeight="1">
      <c r="A34" s="305" t="s">
        <v>412</v>
      </c>
      <c r="B34" s="305"/>
      <c r="C34" s="305"/>
      <c r="D34" s="305"/>
      <c r="E34" s="305"/>
      <c r="F34" s="2" t="s">
        <v>11</v>
      </c>
      <c r="G34" s="2" t="s">
        <v>12</v>
      </c>
      <c r="H34" s="2" t="s">
        <v>13</v>
      </c>
      <c r="I34" s="2" t="s">
        <v>14</v>
      </c>
      <c r="J34" s="2"/>
      <c r="K34" s="2" t="s">
        <v>16</v>
      </c>
      <c r="L34" s="208" t="s">
        <v>17</v>
      </c>
      <c r="M34" s="209" t="s">
        <v>18</v>
      </c>
      <c r="N34" s="209" t="s">
        <v>19</v>
      </c>
      <c r="O34" s="209" t="s">
        <v>20</v>
      </c>
      <c r="P34" s="209" t="s">
        <v>21</v>
      </c>
      <c r="Q34" s="209">
        <v>45658</v>
      </c>
      <c r="R34" s="209">
        <v>45689</v>
      </c>
      <c r="S34" s="209">
        <v>45717</v>
      </c>
      <c r="T34" s="209">
        <v>45748</v>
      </c>
      <c r="U34" s="209">
        <v>45778</v>
      </c>
      <c r="V34" s="209">
        <v>45809</v>
      </c>
      <c r="W34" s="209">
        <v>45839</v>
      </c>
      <c r="X34" s="209">
        <v>45870</v>
      </c>
      <c r="Y34" s="209">
        <v>45901</v>
      </c>
      <c r="Z34" s="209">
        <v>45931</v>
      </c>
      <c r="AA34" s="209">
        <v>45962</v>
      </c>
      <c r="AB34" s="209">
        <v>45992</v>
      </c>
      <c r="AC34" s="212">
        <f>SUM(AC31:AC33)</f>
        <v>588721.42000000004</v>
      </c>
    </row>
    <row r="35" spans="1:35" s="11" customFormat="1">
      <c r="C35" s="12"/>
      <c r="D35" s="12"/>
      <c r="E35" s="12"/>
      <c r="F35" s="12"/>
      <c r="G35" s="12"/>
      <c r="H35" s="12"/>
      <c r="I35" s="12"/>
      <c r="J35" s="12"/>
      <c r="K35" s="13"/>
      <c r="L35" s="14"/>
      <c r="M35" s="13"/>
      <c r="N35" s="13"/>
      <c r="S35" s="15"/>
      <c r="T35" s="15"/>
      <c r="U35" s="15"/>
      <c r="V35" s="15"/>
      <c r="W35" s="16"/>
      <c r="X35" s="15"/>
      <c r="Y35" s="15"/>
      <c r="Z35" s="15"/>
      <c r="AA35" s="15"/>
      <c r="AB35" s="15"/>
      <c r="AC35" s="17"/>
      <c r="AD35" s="18"/>
      <c r="AE35" s="19"/>
      <c r="AF35" s="19"/>
      <c r="AH35" s="19"/>
      <c r="AI35" s="19"/>
    </row>
    <row r="36" spans="1:35" s="11" customFormat="1" ht="45">
      <c r="A36" s="2" t="s">
        <v>7</v>
      </c>
      <c r="B36" s="2" t="s">
        <v>8</v>
      </c>
      <c r="C36" s="2" t="s">
        <v>413</v>
      </c>
      <c r="D36" s="2" t="s">
        <v>9</v>
      </c>
      <c r="E36" s="2" t="s">
        <v>10</v>
      </c>
      <c r="F36" s="2" t="s">
        <v>11</v>
      </c>
      <c r="G36" s="2" t="s">
        <v>12</v>
      </c>
      <c r="H36" s="2" t="s">
        <v>13</v>
      </c>
      <c r="I36" s="2" t="s">
        <v>14</v>
      </c>
      <c r="J36" s="2" t="s">
        <v>15</v>
      </c>
      <c r="K36" s="2" t="s">
        <v>16</v>
      </c>
      <c r="L36" s="208" t="s">
        <v>17</v>
      </c>
      <c r="M36" s="209" t="s">
        <v>18</v>
      </c>
      <c r="N36" s="209" t="s">
        <v>19</v>
      </c>
      <c r="O36" s="209" t="s">
        <v>20</v>
      </c>
      <c r="P36" s="209" t="s">
        <v>21</v>
      </c>
      <c r="Q36" s="209">
        <v>45658</v>
      </c>
      <c r="R36" s="209">
        <v>45689</v>
      </c>
      <c r="S36" s="209">
        <v>45717</v>
      </c>
      <c r="T36" s="209">
        <v>45748</v>
      </c>
      <c r="U36" s="209">
        <v>45778</v>
      </c>
      <c r="V36" s="209">
        <v>45809</v>
      </c>
      <c r="W36" s="209">
        <v>45839</v>
      </c>
      <c r="X36" s="209">
        <v>45870</v>
      </c>
      <c r="Y36" s="209">
        <v>45901</v>
      </c>
      <c r="Z36" s="209">
        <v>45931</v>
      </c>
      <c r="AA36" s="209">
        <v>45962</v>
      </c>
      <c r="AB36" s="209">
        <v>45992</v>
      </c>
      <c r="AC36" s="209" t="s">
        <v>22</v>
      </c>
      <c r="AD36" s="18"/>
      <c r="AE36" s="19"/>
      <c r="AF36" s="19"/>
      <c r="AH36" s="19"/>
      <c r="AI36" s="19"/>
    </row>
    <row r="37" spans="1:35" ht="35.25" customHeight="1">
      <c r="A37" s="126" t="s">
        <v>272</v>
      </c>
      <c r="B37" s="127" t="s">
        <v>273</v>
      </c>
      <c r="D37" s="129" t="s">
        <v>274</v>
      </c>
      <c r="E37" s="129" t="s">
        <v>494</v>
      </c>
      <c r="J37" s="130" t="s">
        <v>277</v>
      </c>
      <c r="AC37" s="213">
        <v>359669.2</v>
      </c>
    </row>
    <row r="38" spans="1:35" s="11" customFormat="1">
      <c r="A38" s="126" t="s">
        <v>278</v>
      </c>
      <c r="B38" s="127" t="s">
        <v>273</v>
      </c>
      <c r="C38" s="12"/>
      <c r="D38" s="129" t="s">
        <v>279</v>
      </c>
      <c r="E38" s="129" t="s">
        <v>280</v>
      </c>
      <c r="F38" s="12"/>
      <c r="G38" s="12"/>
      <c r="H38" s="12"/>
      <c r="I38" s="12"/>
      <c r="J38" s="130" t="s">
        <v>282</v>
      </c>
      <c r="K38" s="13"/>
      <c r="L38" s="14"/>
      <c r="M38" s="13"/>
      <c r="N38" s="13"/>
      <c r="S38" s="15"/>
      <c r="T38" s="15"/>
      <c r="U38" s="15"/>
      <c r="V38" s="15"/>
      <c r="W38" s="16"/>
      <c r="X38" s="15"/>
      <c r="Y38" s="15"/>
      <c r="Z38" s="15"/>
      <c r="AA38" s="15"/>
      <c r="AB38" s="15"/>
      <c r="AC38" s="46">
        <v>387647.54</v>
      </c>
      <c r="AD38" s="18"/>
      <c r="AE38" s="19"/>
      <c r="AF38" s="19"/>
      <c r="AH38" s="19"/>
      <c r="AI38" s="19"/>
    </row>
    <row r="39" spans="1:35" ht="45.75" customHeight="1">
      <c r="A39" s="157" t="s">
        <v>498</v>
      </c>
      <c r="B39" s="127" t="s">
        <v>273</v>
      </c>
      <c r="D39" s="129" t="s">
        <v>284</v>
      </c>
      <c r="E39" s="129" t="s">
        <v>285</v>
      </c>
      <c r="J39" s="63" t="s">
        <v>287</v>
      </c>
      <c r="AC39" s="46">
        <v>61167</v>
      </c>
    </row>
    <row r="40" spans="1:35" ht="15" customHeight="1">
      <c r="A40" s="138" t="s">
        <v>301</v>
      </c>
      <c r="B40" s="127" t="s">
        <v>273</v>
      </c>
      <c r="D40" s="129" t="s">
        <v>297</v>
      </c>
      <c r="E40" s="129" t="s">
        <v>302</v>
      </c>
      <c r="J40" s="38"/>
      <c r="AC40" s="46">
        <v>1638</v>
      </c>
    </row>
    <row r="41" spans="1:35" ht="15" customHeight="1">
      <c r="A41" s="138" t="s">
        <v>314</v>
      </c>
      <c r="B41" s="127" t="s">
        <v>273</v>
      </c>
      <c r="D41" s="129" t="s">
        <v>41</v>
      </c>
      <c r="E41" s="129" t="s">
        <v>315</v>
      </c>
      <c r="J41" s="38"/>
      <c r="AC41" s="46">
        <v>67257</v>
      </c>
    </row>
    <row r="42" spans="1:35" ht="15" customHeight="1">
      <c r="A42" s="138" t="s">
        <v>316</v>
      </c>
      <c r="B42" s="127" t="s">
        <v>273</v>
      </c>
      <c r="D42" s="129" t="s">
        <v>45</v>
      </c>
      <c r="E42" s="129" t="s">
        <v>317</v>
      </c>
      <c r="J42" s="38"/>
      <c r="AC42" s="46">
        <v>272700</v>
      </c>
    </row>
    <row r="43" spans="1:35" ht="15" customHeight="1">
      <c r="A43" s="138" t="s">
        <v>318</v>
      </c>
      <c r="B43" s="127" t="s">
        <v>273</v>
      </c>
      <c r="D43" s="129" t="s">
        <v>319</v>
      </c>
      <c r="E43" s="129"/>
      <c r="J43" s="38"/>
      <c r="AC43" s="46">
        <v>140000</v>
      </c>
    </row>
    <row r="44" spans="1:35" ht="30.75" customHeight="1">
      <c r="A44" s="75" t="s">
        <v>213</v>
      </c>
      <c r="B44" s="89" t="s">
        <v>109</v>
      </c>
      <c r="C44" s="93">
        <v>1</v>
      </c>
      <c r="D44" s="94" t="s">
        <v>214</v>
      </c>
      <c r="E44" s="71" t="s">
        <v>215</v>
      </c>
      <c r="F44" s="81" t="s">
        <v>216</v>
      </c>
      <c r="G44" s="68">
        <v>46020</v>
      </c>
      <c r="H44" s="63" t="str">
        <f ca="1">IF((G44-TODAY())&lt;0,"EXPIRADO", IF((G44-TODAY())&lt;=60,"EM BREVE","NO PRAZO"))</f>
        <v>EM BREVE</v>
      </c>
      <c r="I44" s="63"/>
      <c r="J44" s="81" t="s">
        <v>217</v>
      </c>
      <c r="K44" s="10"/>
      <c r="L44" s="80">
        <f>1205875.51+32423.44</f>
        <v>1238298.95</v>
      </c>
      <c r="M44" s="43">
        <f>L44*12</f>
        <v>14859587.399999999</v>
      </c>
      <c r="N44" s="3">
        <v>554.82000000000005</v>
      </c>
      <c r="O44" s="3">
        <v>0</v>
      </c>
      <c r="P44" s="9">
        <f>SUM(N44:O44)</f>
        <v>554.82000000000005</v>
      </c>
      <c r="Q44" s="45"/>
      <c r="R44" s="10"/>
      <c r="S44" s="10">
        <f>L44-O44</f>
        <v>1238298.95</v>
      </c>
      <c r="T44" s="10">
        <f>1238299-555</f>
        <v>1237744</v>
      </c>
      <c r="U44" s="10">
        <f>L44</f>
        <v>1238298.95</v>
      </c>
      <c r="V44" s="10">
        <f>L44</f>
        <v>1238298.95</v>
      </c>
      <c r="W44" s="10">
        <f>L44</f>
        <v>1238298.95</v>
      </c>
      <c r="X44" s="10">
        <f>L44</f>
        <v>1238298.95</v>
      </c>
      <c r="Y44" s="70">
        <f>L44</f>
        <v>1238298.95</v>
      </c>
      <c r="Z44" s="70">
        <f>L44</f>
        <v>1238298.95</v>
      </c>
      <c r="AA44" s="10">
        <f>L44</f>
        <v>1238298.95</v>
      </c>
      <c r="AB44" s="65">
        <f>L44</f>
        <v>1238298.95</v>
      </c>
      <c r="AC44" s="46">
        <f>T44+U44</f>
        <v>2476042.9500000002</v>
      </c>
      <c r="AE44" s="19">
        <f>SUM(K44:L44)*2</f>
        <v>2476597.9</v>
      </c>
      <c r="AF44" s="48"/>
      <c r="AG44" s="48">
        <f>P44-AE44</f>
        <v>-2476043.08</v>
      </c>
      <c r="AH44" s="48">
        <f>(SUM(K44:L44)*2)-P44</f>
        <v>2476043.08</v>
      </c>
      <c r="AI44" s="48"/>
    </row>
    <row r="45" spans="1:35" ht="33" customHeight="1">
      <c r="A45" s="86" t="s">
        <v>321</v>
      </c>
      <c r="B45" s="86" t="s">
        <v>322</v>
      </c>
      <c r="C45" s="76">
        <v>1</v>
      </c>
      <c r="D45" s="49" t="s">
        <v>323</v>
      </c>
      <c r="E45" s="49" t="s">
        <v>324</v>
      </c>
      <c r="F45" s="81" t="s">
        <v>325</v>
      </c>
      <c r="G45" s="140">
        <v>45909</v>
      </c>
      <c r="H45" s="63" t="str">
        <f ca="1">IF((G45-TODAY())&lt;0,"EXPIRADO", IF((G45-TODAY())&lt;=60,"EM BREVE","NO PRAZO"))</f>
        <v>EXPIRADO</v>
      </c>
      <c r="I45" s="38"/>
      <c r="J45" s="84" t="s">
        <v>326</v>
      </c>
      <c r="K45" s="10">
        <f>M45/12</f>
        <v>1500933.5674999999</v>
      </c>
      <c r="L45" s="141"/>
      <c r="M45" s="10">
        <v>18011202.809999999</v>
      </c>
      <c r="N45" s="3">
        <v>2013096.42</v>
      </c>
      <c r="O45" s="3">
        <v>0</v>
      </c>
      <c r="P45" s="9">
        <f>SUM(N45:O45)</f>
        <v>2013096.42</v>
      </c>
      <c r="Q45" s="10"/>
      <c r="R45" s="10"/>
      <c r="S45" s="45"/>
      <c r="T45" s="53"/>
      <c r="U45" s="70">
        <f>'DRU 25'!J9-512163</f>
        <v>1279163.8600000001</v>
      </c>
      <c r="V45" s="70">
        <f>'DRU 25'!J10</f>
        <v>1791326.86</v>
      </c>
      <c r="W45" s="70">
        <f>'DRU 25'!J11</f>
        <v>1506537.91</v>
      </c>
      <c r="X45" s="70">
        <f>'DRU 25'!J12</f>
        <v>618545.02</v>
      </c>
      <c r="Y45" s="108">
        <f>'DRU 25'!J13</f>
        <v>1791326.86</v>
      </c>
      <c r="Z45" s="70">
        <f>'DRU 25'!J14</f>
        <v>1791326.86</v>
      </c>
      <c r="AA45" s="10">
        <f>'DRU 25'!J15</f>
        <v>1791326.86</v>
      </c>
      <c r="AB45" s="10">
        <f>'DRU 25'!J16</f>
        <v>1506537.91</v>
      </c>
      <c r="AC45" s="46">
        <f>T45+U45</f>
        <v>1279163.8600000001</v>
      </c>
      <c r="AD45" s="142"/>
      <c r="AE45" s="19">
        <f>Z45+AA45</f>
        <v>3582653.72</v>
      </c>
      <c r="AF45" s="48"/>
      <c r="AG45" s="48"/>
      <c r="AH45" s="48">
        <f>(SUM(K45:L45)*2)-P45</f>
        <v>988770.71499999985</v>
      </c>
      <c r="AI45" s="48"/>
    </row>
    <row r="46" spans="1:35" ht="15" customHeight="1">
      <c r="A46" s="305" t="s">
        <v>412</v>
      </c>
      <c r="B46" s="305"/>
      <c r="C46" s="305"/>
      <c r="D46" s="305"/>
      <c r="E46" s="305"/>
      <c r="F46" s="2" t="s">
        <v>11</v>
      </c>
      <c r="G46" s="2" t="s">
        <v>12</v>
      </c>
      <c r="H46" s="2" t="s">
        <v>13</v>
      </c>
      <c r="I46" s="2" t="s">
        <v>14</v>
      </c>
      <c r="J46" s="2"/>
      <c r="K46" s="2" t="s">
        <v>16</v>
      </c>
      <c r="L46" s="208" t="s">
        <v>17</v>
      </c>
      <c r="M46" s="209" t="s">
        <v>18</v>
      </c>
      <c r="N46" s="209" t="s">
        <v>19</v>
      </c>
      <c r="O46" s="209" t="s">
        <v>20</v>
      </c>
      <c r="P46" s="209" t="s">
        <v>21</v>
      </c>
      <c r="Q46" s="209">
        <v>45658</v>
      </c>
      <c r="R46" s="209">
        <v>45689</v>
      </c>
      <c r="S46" s="209">
        <v>45717</v>
      </c>
      <c r="T46" s="209">
        <v>45748</v>
      </c>
      <c r="U46" s="209">
        <v>45778</v>
      </c>
      <c r="V46" s="209">
        <v>45809</v>
      </c>
      <c r="W46" s="209">
        <v>45839</v>
      </c>
      <c r="X46" s="209">
        <v>45870</v>
      </c>
      <c r="Y46" s="209">
        <v>45901</v>
      </c>
      <c r="Z46" s="209">
        <v>45931</v>
      </c>
      <c r="AA46" s="209">
        <v>45962</v>
      </c>
      <c r="AB46" s="209">
        <v>45992</v>
      </c>
      <c r="AC46" s="212">
        <f>SUM(AC37:AC45)</f>
        <v>5045285.5500000007</v>
      </c>
    </row>
    <row r="49" spans="29:30" ht="33.75" customHeight="1">
      <c r="AC49" s="17">
        <f>AC46+AC34+AC26</f>
        <v>15618861.297500001</v>
      </c>
      <c r="AD49" s="18">
        <f>AC46+AC34+SUM(AC15:AC25)</f>
        <v>9909690.2475000024</v>
      </c>
    </row>
    <row r="50" spans="29:30" ht="37.5" customHeight="1">
      <c r="AD50" s="18">
        <v>230</v>
      </c>
    </row>
    <row r="51" spans="29:30" ht="15" customHeight="1">
      <c r="AD51" s="18">
        <v>4865.55</v>
      </c>
    </row>
    <row r="52" spans="29:30" ht="15" customHeight="1">
      <c r="AD52" s="18">
        <v>100</v>
      </c>
    </row>
    <row r="53" spans="29:30" ht="15" customHeight="1">
      <c r="AD53" s="18">
        <v>206.06</v>
      </c>
    </row>
    <row r="54" spans="29:30" ht="15" customHeight="1">
      <c r="AD54" s="18">
        <v>100</v>
      </c>
    </row>
    <row r="55" spans="29:30" ht="15" customHeight="1">
      <c r="AD55" s="18">
        <v>3250</v>
      </c>
    </row>
    <row r="56" spans="29:30" ht="15" customHeight="1">
      <c r="AD56" s="18">
        <v>5000</v>
      </c>
    </row>
    <row r="57" spans="29:30" ht="15" customHeight="1">
      <c r="AD57" s="18">
        <v>2253</v>
      </c>
    </row>
    <row r="58" spans="29:30" ht="15" customHeight="1">
      <c r="AD58" s="18">
        <v>50773.59</v>
      </c>
    </row>
    <row r="59" spans="29:30" ht="15" customHeight="1">
      <c r="AD59" s="18">
        <v>0.1</v>
      </c>
    </row>
    <row r="60" spans="29:30" ht="15" customHeight="1">
      <c r="AD60" s="18">
        <v>192.79</v>
      </c>
    </row>
    <row r="62" spans="29:30" ht="15" customHeight="1">
      <c r="AD62" s="214">
        <v>11004172.039999999</v>
      </c>
    </row>
    <row r="63" spans="29:30" ht="15" customHeight="1">
      <c r="AD63" s="18">
        <f>AD62-SUM(AD49:AD60)</f>
        <v>1027510.7024999969</v>
      </c>
    </row>
  </sheetData>
  <autoFilter ref="A3:P25" xr:uid="{00000000-0009-0000-0000-000008000000}"/>
  <mergeCells count="2">
    <mergeCell ref="A34:E34"/>
    <mergeCell ref="A46:E46"/>
  </mergeCells>
  <conditionalFormatting sqref="H5:I25 H44:I45">
    <cfRule type="cellIs" dxfId="27" priority="2" operator="equal">
      <formula>"EXPIRADO"</formula>
    </cfRule>
    <cfRule type="cellIs" dxfId="26" priority="3" operator="equal">
      <formula>"NO PRAZO"</formula>
    </cfRule>
    <cfRule type="cellIs" dxfId="25" priority="4" operator="equal">
      <formula>"EM BREVE"</formula>
    </cfRule>
    <cfRule type="cellIs" dxfId="24" priority="5" operator="equal">
      <formula>0</formula>
    </cfRule>
  </conditionalFormatting>
  <conditionalFormatting sqref="J39">
    <cfRule type="cellIs" dxfId="23" priority="6" operator="equal">
      <formula>"EXPIRADO"</formula>
    </cfRule>
    <cfRule type="cellIs" dxfId="22" priority="7" operator="equal">
      <formula>"NO PRAZO"</formula>
    </cfRule>
    <cfRule type="cellIs" dxfId="21" priority="8" operator="equal">
      <formula>"EM BREVE"</formula>
    </cfRule>
    <cfRule type="cellIs" dxfId="20" priority="9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99694"/>
  </sheetPr>
  <dimension ref="A1:XCT8"/>
  <sheetViews>
    <sheetView zoomScale="85" zoomScaleNormal="85" workbookViewId="0">
      <selection activeCell="A3" sqref="A3"/>
    </sheetView>
  </sheetViews>
  <sheetFormatPr baseColWidth="10" defaultColWidth="9.1640625" defaultRowHeight="15"/>
  <cols>
    <col min="1" max="1" width="6.5" style="215" customWidth="1"/>
    <col min="2" max="2" width="55.5" style="11" customWidth="1"/>
    <col min="3" max="3" width="16.33203125" style="12" customWidth="1"/>
    <col min="4" max="4" width="14.5" style="12" hidden="1" customWidth="1"/>
    <col min="5" max="5" width="19.1640625" style="12" customWidth="1"/>
    <col min="6" max="6" width="24.1640625" style="12" customWidth="1"/>
    <col min="7" max="7" width="12.33203125" style="12" customWidth="1"/>
    <col min="8" max="9" width="13.6640625" style="11" hidden="1" customWidth="1"/>
    <col min="10" max="10" width="16.6640625" style="17" customWidth="1"/>
    <col min="11" max="12" width="16.5" style="19" hidden="1" customWidth="1"/>
    <col min="13" max="14" width="16.5" style="11" hidden="1" customWidth="1"/>
    <col min="15" max="15" width="16.5" style="11" customWidth="1"/>
    <col min="16" max="16" width="9.1640625" style="11"/>
    <col min="17" max="17" width="21.5" style="11" customWidth="1"/>
    <col min="18" max="19" width="9.1640625" style="11"/>
    <col min="20" max="20" width="15" style="11" customWidth="1"/>
    <col min="21" max="16322" width="9.1640625" style="11"/>
    <col min="16323" max="16384" width="11.5" customWidth="1"/>
  </cols>
  <sheetData>
    <row r="1" spans="1:20" ht="18">
      <c r="A1" s="20" t="s">
        <v>451</v>
      </c>
      <c r="C1" s="216"/>
      <c r="E1" s="21"/>
      <c r="L1" s="26"/>
      <c r="O1" s="19"/>
    </row>
    <row r="2" spans="1:20" ht="18.75" customHeight="1">
      <c r="A2" s="11" t="s">
        <v>499</v>
      </c>
      <c r="C2" s="216"/>
      <c r="L2" s="28"/>
      <c r="O2" s="19"/>
    </row>
    <row r="3" spans="1:20" ht="27" customHeight="1">
      <c r="A3" s="306" t="s">
        <v>7</v>
      </c>
      <c r="B3" s="306"/>
      <c r="C3" s="1" t="s">
        <v>8</v>
      </c>
      <c r="D3" s="1" t="s">
        <v>413</v>
      </c>
      <c r="E3" s="1" t="s">
        <v>9</v>
      </c>
      <c r="F3" s="1" t="s">
        <v>10</v>
      </c>
      <c r="G3" s="1" t="s">
        <v>15</v>
      </c>
      <c r="H3" s="31">
        <v>45658</v>
      </c>
      <c r="I3" s="31">
        <v>45689</v>
      </c>
      <c r="J3" s="31" t="s">
        <v>22</v>
      </c>
      <c r="K3" s="31"/>
      <c r="L3" s="31"/>
      <c r="M3" s="31"/>
      <c r="N3" s="217"/>
      <c r="O3" s="31" t="s">
        <v>500</v>
      </c>
      <c r="T3" s="19"/>
    </row>
    <row r="4" spans="1:20" s="11" customFormat="1" ht="69" customHeight="1">
      <c r="A4" s="149">
        <v>1</v>
      </c>
      <c r="B4" s="89" t="s">
        <v>114</v>
      </c>
      <c r="C4" s="86" t="s">
        <v>115</v>
      </c>
      <c r="D4" s="76">
        <v>2</v>
      </c>
      <c r="E4" s="49" t="s">
        <v>110</v>
      </c>
      <c r="F4" s="97" t="s">
        <v>501</v>
      </c>
      <c r="G4" s="98" t="s">
        <v>118</v>
      </c>
      <c r="H4" s="10"/>
      <c r="I4" s="10"/>
      <c r="J4" s="213">
        <v>14000</v>
      </c>
      <c r="K4" s="46"/>
      <c r="L4" s="218"/>
      <c r="M4" s="218"/>
      <c r="N4" s="218"/>
      <c r="O4" s="219">
        <v>1000</v>
      </c>
      <c r="T4" s="19"/>
    </row>
    <row r="5" spans="1:20" s="11" customFormat="1" ht="14.25" customHeight="1">
      <c r="A5" s="149">
        <v>2</v>
      </c>
      <c r="B5" s="86" t="s">
        <v>148</v>
      </c>
      <c r="C5" s="89" t="s">
        <v>115</v>
      </c>
      <c r="D5" s="93">
        <v>3</v>
      </c>
      <c r="E5" s="94" t="s">
        <v>149</v>
      </c>
      <c r="F5" s="71" t="s">
        <v>150</v>
      </c>
      <c r="G5" s="68" t="s">
        <v>152</v>
      </c>
      <c r="H5" s="10"/>
      <c r="I5" s="10"/>
      <c r="J5" s="213">
        <v>5164</v>
      </c>
      <c r="K5" s="46"/>
      <c r="L5" s="218"/>
      <c r="M5" s="218"/>
      <c r="N5" s="218"/>
      <c r="O5" s="219">
        <v>1000</v>
      </c>
    </row>
    <row r="6" spans="1:20" s="11" customFormat="1" ht="41.25" customHeight="1">
      <c r="A6" s="149">
        <v>3</v>
      </c>
      <c r="B6" s="86" t="s">
        <v>153</v>
      </c>
      <c r="C6" s="89" t="s">
        <v>115</v>
      </c>
      <c r="D6" s="106">
        <v>2</v>
      </c>
      <c r="E6" s="71" t="s">
        <v>154</v>
      </c>
      <c r="F6" s="71" t="s">
        <v>155</v>
      </c>
      <c r="G6" s="67" t="s">
        <v>157</v>
      </c>
      <c r="H6" s="70"/>
      <c r="I6" s="70"/>
      <c r="J6" s="213">
        <v>916407</v>
      </c>
      <c r="K6" s="46" t="e">
        <f>SUM(#REF!)*2</f>
        <v>#REF!</v>
      </c>
      <c r="L6" s="218" t="e">
        <f>#REF!-K6</f>
        <v>#REF!</v>
      </c>
      <c r="M6" s="218"/>
      <c r="N6" s="218" t="e">
        <f>(SUM(#REF!)*2)-#REF!</f>
        <v>#REF!</v>
      </c>
      <c r="O6" s="219">
        <v>1000</v>
      </c>
    </row>
    <row r="7" spans="1:20" s="11" customFormat="1" ht="13.5" customHeight="1">
      <c r="A7" s="307" t="s">
        <v>412</v>
      </c>
      <c r="B7" s="307"/>
      <c r="C7" s="307"/>
      <c r="D7" s="307"/>
      <c r="E7" s="307"/>
      <c r="F7" s="307"/>
      <c r="G7" s="307"/>
      <c r="H7" s="173">
        <f t="shared" ref="H7:N7" si="0">SUM(H4:H6)</f>
        <v>0</v>
      </c>
      <c r="I7" s="173">
        <f t="shared" si="0"/>
        <v>0</v>
      </c>
      <c r="J7" s="193">
        <f t="shared" si="0"/>
        <v>935571</v>
      </c>
      <c r="K7" s="173" t="e">
        <f t="shared" si="0"/>
        <v>#REF!</v>
      </c>
      <c r="L7" s="173" t="e">
        <f t="shared" si="0"/>
        <v>#REF!</v>
      </c>
      <c r="M7" s="173">
        <f t="shared" si="0"/>
        <v>0</v>
      </c>
      <c r="N7" s="173" t="e">
        <f t="shared" si="0"/>
        <v>#REF!</v>
      </c>
      <c r="O7" s="173"/>
      <c r="Q7" s="220"/>
    </row>
    <row r="8" spans="1:20" s="11" customFormat="1">
      <c r="A8" s="12"/>
      <c r="B8" s="165"/>
      <c r="C8" s="166"/>
      <c r="D8" s="166"/>
      <c r="E8" s="165"/>
      <c r="F8" s="165"/>
      <c r="G8" s="165"/>
      <c r="J8" s="17"/>
      <c r="K8" s="19"/>
      <c r="L8" s="19"/>
    </row>
  </sheetData>
  <autoFilter ref="B3:G6" xr:uid="{00000000-0009-0000-0000-000009000000}"/>
  <mergeCells count="2">
    <mergeCell ref="A3:B3"/>
    <mergeCell ref="A7:G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99694"/>
  </sheetPr>
  <dimension ref="A1:XCT35"/>
  <sheetViews>
    <sheetView zoomScale="85" zoomScaleNormal="85" workbookViewId="0">
      <selection activeCell="F9" sqref="F9"/>
    </sheetView>
  </sheetViews>
  <sheetFormatPr baseColWidth="10" defaultColWidth="9.1640625" defaultRowHeight="15"/>
  <cols>
    <col min="1" max="1" width="6.5" style="215" customWidth="1"/>
    <col min="2" max="2" width="46.6640625" style="11" customWidth="1"/>
    <col min="3" max="3" width="16.33203125" style="12" customWidth="1"/>
    <col min="4" max="4" width="14.5" style="12" hidden="1" customWidth="1"/>
    <col min="5" max="5" width="19.1640625" style="12" customWidth="1"/>
    <col min="6" max="6" width="24.1640625" style="12" customWidth="1"/>
    <col min="7" max="7" width="12.33203125" style="12" customWidth="1"/>
    <col min="8" max="9" width="13.6640625" style="11" hidden="1" customWidth="1"/>
    <col min="10" max="10" width="16.6640625" style="17" customWidth="1"/>
    <col min="11" max="12" width="16.5" style="19" hidden="1" customWidth="1"/>
    <col min="13" max="14" width="16.5" style="11" hidden="1" customWidth="1"/>
    <col min="15" max="15" width="16.5" style="11" customWidth="1"/>
    <col min="16" max="16" width="9.1640625" style="11"/>
    <col min="17" max="17" width="21.5" style="11" customWidth="1"/>
    <col min="18" max="19" width="9.1640625" style="11"/>
    <col min="20" max="20" width="15" style="11" customWidth="1"/>
    <col min="21" max="16322" width="9.1640625" style="11"/>
    <col min="16323" max="16384" width="11.5" customWidth="1"/>
  </cols>
  <sheetData>
    <row r="1" spans="1:20" ht="18">
      <c r="A1" s="20" t="s">
        <v>451</v>
      </c>
      <c r="C1" s="216"/>
      <c r="E1" s="21"/>
      <c r="L1" s="26"/>
      <c r="O1" s="19"/>
    </row>
    <row r="2" spans="1:20" ht="18.75" customHeight="1">
      <c r="A2" s="11" t="s">
        <v>499</v>
      </c>
      <c r="C2" s="216"/>
      <c r="L2" s="28"/>
      <c r="O2" s="19"/>
    </row>
    <row r="3" spans="1:20" ht="27" customHeight="1">
      <c r="A3" s="306" t="s">
        <v>7</v>
      </c>
      <c r="B3" s="306"/>
      <c r="C3" s="1" t="s">
        <v>8</v>
      </c>
      <c r="D3" s="1" t="s">
        <v>413</v>
      </c>
      <c r="E3" s="1" t="s">
        <v>9</v>
      </c>
      <c r="F3" s="1" t="s">
        <v>10</v>
      </c>
      <c r="G3" s="1" t="s">
        <v>15</v>
      </c>
      <c r="H3" s="31">
        <v>45658</v>
      </c>
      <c r="I3" s="31">
        <v>45689</v>
      </c>
      <c r="J3" s="31" t="s">
        <v>22</v>
      </c>
      <c r="K3" s="31"/>
      <c r="L3" s="31"/>
      <c r="M3" s="31"/>
      <c r="N3" s="217"/>
      <c r="O3" s="31" t="s">
        <v>500</v>
      </c>
      <c r="T3" s="19"/>
    </row>
    <row r="4" spans="1:20" s="11" customFormat="1" ht="27" customHeight="1">
      <c r="A4" s="149">
        <v>1</v>
      </c>
      <c r="B4" s="36" t="s">
        <v>39</v>
      </c>
      <c r="C4" s="37" t="s">
        <v>29</v>
      </c>
      <c r="D4" s="37">
        <v>1</v>
      </c>
      <c r="E4" s="49" t="s">
        <v>37</v>
      </c>
      <c r="F4" s="49"/>
      <c r="G4" s="39"/>
      <c r="H4" s="10"/>
      <c r="I4" s="10"/>
      <c r="J4" s="213">
        <v>620000</v>
      </c>
      <c r="K4" s="46"/>
      <c r="L4" s="218"/>
      <c r="M4" s="218"/>
      <c r="N4" s="218"/>
      <c r="O4" s="219">
        <v>1000</v>
      </c>
      <c r="T4" s="19"/>
    </row>
    <row r="5" spans="1:20" s="11" customFormat="1" ht="14.25" customHeight="1">
      <c r="A5" s="149">
        <v>2</v>
      </c>
      <c r="B5" s="36" t="s">
        <v>52</v>
      </c>
      <c r="C5" s="61" t="s">
        <v>53</v>
      </c>
      <c r="D5" s="61">
        <v>3</v>
      </c>
      <c r="E5" s="49" t="s">
        <v>54</v>
      </c>
      <c r="F5" s="49" t="s">
        <v>55</v>
      </c>
      <c r="G5" s="64" t="s">
        <v>57</v>
      </c>
      <c r="H5" s="10"/>
      <c r="I5" s="10"/>
      <c r="J5" s="213">
        <v>120000</v>
      </c>
      <c r="K5" s="46"/>
      <c r="L5" s="218"/>
      <c r="M5" s="218"/>
      <c r="N5" s="218"/>
      <c r="O5" s="219">
        <v>1000</v>
      </c>
    </row>
    <row r="6" spans="1:20" s="11" customFormat="1" ht="41.25" customHeight="1">
      <c r="A6" s="149">
        <v>3</v>
      </c>
      <c r="B6" s="75" t="s">
        <v>62</v>
      </c>
      <c r="C6" s="61" t="s">
        <v>53</v>
      </c>
      <c r="D6" s="61">
        <v>2</v>
      </c>
      <c r="E6" s="71" t="s">
        <v>63</v>
      </c>
      <c r="F6" s="71" t="s">
        <v>64</v>
      </c>
      <c r="G6" s="69" t="s">
        <v>66</v>
      </c>
      <c r="H6" s="70"/>
      <c r="I6" s="70"/>
      <c r="J6" s="213">
        <v>594865.84</v>
      </c>
      <c r="K6" s="46" t="e">
        <f>SUM(#REF!)*2</f>
        <v>#REF!</v>
      </c>
      <c r="L6" s="218" t="e">
        <f>#REF!-K6</f>
        <v>#REF!</v>
      </c>
      <c r="M6" s="218"/>
      <c r="N6" s="218" t="e">
        <f>(SUM(#REF!)*2)-#REF!</f>
        <v>#REF!</v>
      </c>
      <c r="O6" s="219">
        <v>1000</v>
      </c>
    </row>
    <row r="7" spans="1:20" s="11" customFormat="1" ht="69" customHeight="1">
      <c r="A7" s="149">
        <v>4</v>
      </c>
      <c r="B7" s="75" t="s">
        <v>108</v>
      </c>
      <c r="C7" s="93" t="s">
        <v>109</v>
      </c>
      <c r="D7" s="93">
        <v>2</v>
      </c>
      <c r="E7" s="94" t="s">
        <v>110</v>
      </c>
      <c r="F7" s="71" t="s">
        <v>111</v>
      </c>
      <c r="G7" s="81" t="s">
        <v>113</v>
      </c>
      <c r="H7" s="53"/>
      <c r="I7" s="45"/>
      <c r="J7" s="213">
        <v>5850.87</v>
      </c>
      <c r="K7" s="46" t="e">
        <f>SUM(#REF!)*2</f>
        <v>#REF!</v>
      </c>
      <c r="L7" s="218" t="e">
        <f>#REF!-K7</f>
        <v>#REF!</v>
      </c>
      <c r="M7" s="218"/>
      <c r="N7" s="218"/>
      <c r="O7" s="219">
        <v>1000</v>
      </c>
    </row>
    <row r="8" spans="1:20" s="11" customFormat="1" ht="54.75" customHeight="1">
      <c r="A8" s="149">
        <v>5</v>
      </c>
      <c r="B8" s="86" t="s">
        <v>453</v>
      </c>
      <c r="C8" s="76" t="s">
        <v>109</v>
      </c>
      <c r="D8" s="76">
        <v>2</v>
      </c>
      <c r="E8" s="49" t="s">
        <v>168</v>
      </c>
      <c r="F8" s="49" t="s">
        <v>169</v>
      </c>
      <c r="G8" s="98" t="s">
        <v>171</v>
      </c>
      <c r="H8" s="10"/>
      <c r="I8" s="10"/>
      <c r="J8" s="213">
        <v>10753.53</v>
      </c>
      <c r="K8" s="46" t="e">
        <f>SUM(#REF!)*2</f>
        <v>#REF!</v>
      </c>
      <c r="L8" s="218" t="e">
        <f>#REF!-K8</f>
        <v>#REF!</v>
      </c>
      <c r="M8" s="218"/>
      <c r="N8" s="218" t="e">
        <f>(SUM(#REF!)*2)-#REF!</f>
        <v>#REF!</v>
      </c>
      <c r="O8" s="219">
        <v>1000</v>
      </c>
    </row>
    <row r="9" spans="1:20" s="11" customFormat="1" ht="22.5" customHeight="1">
      <c r="A9" s="149">
        <v>6</v>
      </c>
      <c r="B9" s="86" t="s">
        <v>181</v>
      </c>
      <c r="C9" s="93" t="s">
        <v>109</v>
      </c>
      <c r="D9" s="93">
        <v>1</v>
      </c>
      <c r="E9" s="114" t="s">
        <v>182</v>
      </c>
      <c r="F9" s="49" t="s">
        <v>472</v>
      </c>
      <c r="G9" s="81" t="s">
        <v>185</v>
      </c>
      <c r="H9" s="45"/>
      <c r="I9" s="10"/>
      <c r="J9" s="213">
        <v>130952.88</v>
      </c>
      <c r="K9" s="46" t="e">
        <f>SUM(#REF!)*2</f>
        <v>#REF!</v>
      </c>
      <c r="L9" s="218" t="e">
        <f>#REF!-K9</f>
        <v>#REF!</v>
      </c>
      <c r="M9" s="218"/>
      <c r="N9" s="218" t="e">
        <f>(SUM(#REF!)*2)-#REF!</f>
        <v>#REF!</v>
      </c>
      <c r="O9" s="219">
        <v>1000</v>
      </c>
    </row>
    <row r="10" spans="1:20" s="11" customFormat="1" ht="41.25" customHeight="1">
      <c r="A10" s="149">
        <v>7</v>
      </c>
      <c r="B10" s="89" t="s">
        <v>198</v>
      </c>
      <c r="C10" s="76" t="s">
        <v>109</v>
      </c>
      <c r="D10" s="76">
        <v>1</v>
      </c>
      <c r="E10" s="67" t="s">
        <v>199</v>
      </c>
      <c r="F10" s="67" t="s">
        <v>200</v>
      </c>
      <c r="G10" s="81" t="s">
        <v>202</v>
      </c>
      <c r="H10" s="45"/>
      <c r="I10" s="10"/>
      <c r="J10" s="213">
        <v>22744.6</v>
      </c>
      <c r="K10" s="46" t="e">
        <f>SUM(#REF!)*2</f>
        <v>#REF!</v>
      </c>
      <c r="L10" s="218"/>
      <c r="M10" s="218">
        <v>-212997.86</v>
      </c>
      <c r="N10" s="218" t="e">
        <f>(SUM(#REF!)*2)-#REF!</f>
        <v>#REF!</v>
      </c>
      <c r="O10" s="219">
        <v>1000</v>
      </c>
    </row>
    <row r="11" spans="1:20" s="11" customFormat="1" ht="18.75" customHeight="1">
      <c r="A11" s="149">
        <v>8</v>
      </c>
      <c r="B11" s="75" t="s">
        <v>203</v>
      </c>
      <c r="C11" s="93" t="s">
        <v>109</v>
      </c>
      <c r="D11" s="93">
        <v>1</v>
      </c>
      <c r="E11" s="94" t="s">
        <v>204</v>
      </c>
      <c r="F11" s="71">
        <v>69207850000161</v>
      </c>
      <c r="G11" s="81" t="s">
        <v>207</v>
      </c>
      <c r="H11" s="45"/>
      <c r="I11" s="10"/>
      <c r="J11" s="213">
        <v>212841.48</v>
      </c>
      <c r="K11" s="46" t="e">
        <f>SUM(#REF!)*2</f>
        <v>#REF!</v>
      </c>
      <c r="L11" s="218"/>
      <c r="M11" s="218" t="e">
        <f>#REF!-K11</f>
        <v>#REF!</v>
      </c>
      <c r="N11" s="218"/>
      <c r="O11" s="219">
        <v>1000</v>
      </c>
    </row>
    <row r="12" spans="1:20" s="11" customFormat="1" ht="41.25" customHeight="1">
      <c r="A12" s="149">
        <v>9</v>
      </c>
      <c r="B12" s="86" t="s">
        <v>208</v>
      </c>
      <c r="C12" s="93" t="s">
        <v>109</v>
      </c>
      <c r="D12" s="93">
        <v>1</v>
      </c>
      <c r="E12" s="94" t="s">
        <v>209</v>
      </c>
      <c r="F12" s="71" t="s">
        <v>210</v>
      </c>
      <c r="G12" s="81" t="s">
        <v>212</v>
      </c>
      <c r="H12" s="45"/>
      <c r="I12" s="10"/>
      <c r="J12" s="213">
        <v>1617878.59</v>
      </c>
      <c r="K12" s="46" t="e">
        <f>SUM(#REF!)*2</f>
        <v>#REF!</v>
      </c>
      <c r="L12" s="218"/>
      <c r="M12" s="218" t="e">
        <f>#REF!-K12</f>
        <v>#REF!</v>
      </c>
      <c r="N12" s="218" t="e">
        <f>(SUM(#REF!)*2)-#REF!</f>
        <v>#REF!</v>
      </c>
      <c r="O12" s="219">
        <v>1000</v>
      </c>
    </row>
    <row r="13" spans="1:20" s="11" customFormat="1" ht="41.25" customHeight="1">
      <c r="A13" s="149">
        <v>10</v>
      </c>
      <c r="B13" s="75" t="s">
        <v>213</v>
      </c>
      <c r="C13" s="93" t="s">
        <v>109</v>
      </c>
      <c r="D13" s="93">
        <v>1</v>
      </c>
      <c r="E13" s="94" t="s">
        <v>214</v>
      </c>
      <c r="F13" s="71" t="s">
        <v>215</v>
      </c>
      <c r="G13" s="81" t="s">
        <v>217</v>
      </c>
      <c r="H13" s="45"/>
      <c r="I13" s="10"/>
      <c r="J13" s="213">
        <v>2361607.52</v>
      </c>
      <c r="K13" s="46" t="e">
        <f>SUM(#REF!)*2</f>
        <v>#REF!</v>
      </c>
      <c r="L13" s="218"/>
      <c r="M13" s="218" t="e">
        <f>#REF!-K13</f>
        <v>#REF!</v>
      </c>
      <c r="N13" s="218" t="e">
        <f>(SUM(#REF!)*2)-#REF!</f>
        <v>#REF!</v>
      </c>
      <c r="O13" s="219">
        <v>1000</v>
      </c>
    </row>
    <row r="14" spans="1:20" s="11" customFormat="1" ht="76.5" customHeight="1">
      <c r="A14" s="149">
        <v>11</v>
      </c>
      <c r="B14" s="75" t="s">
        <v>478</v>
      </c>
      <c r="C14" s="93" t="s">
        <v>109</v>
      </c>
      <c r="D14" s="93">
        <v>2</v>
      </c>
      <c r="E14" s="94" t="s">
        <v>228</v>
      </c>
      <c r="F14" s="71" t="s">
        <v>229</v>
      </c>
      <c r="G14" s="81" t="s">
        <v>231</v>
      </c>
      <c r="H14" s="45"/>
      <c r="I14" s="45"/>
      <c r="J14" s="213">
        <v>1592033</v>
      </c>
      <c r="K14" s="46" t="e">
        <f>SUM(#REF!)*2</f>
        <v>#REF!</v>
      </c>
      <c r="L14" s="218"/>
      <c r="M14" s="218">
        <v>-419070</v>
      </c>
      <c r="N14" s="218" t="e">
        <f>(SUM(#REF!)*2)-#REF!</f>
        <v>#REF!</v>
      </c>
      <c r="O14" s="219">
        <v>1000</v>
      </c>
    </row>
    <row r="15" spans="1:20" s="11" customFormat="1" ht="76.5" customHeight="1">
      <c r="A15" s="149">
        <v>12</v>
      </c>
      <c r="B15" s="75" t="s">
        <v>479</v>
      </c>
      <c r="C15" s="93" t="s">
        <v>109</v>
      </c>
      <c r="D15" s="93">
        <v>2</v>
      </c>
      <c r="E15" s="94" t="s">
        <v>228</v>
      </c>
      <c r="F15" s="71" t="s">
        <v>238</v>
      </c>
      <c r="G15" s="81" t="s">
        <v>240</v>
      </c>
      <c r="H15" s="45"/>
      <c r="I15" s="45"/>
      <c r="J15" s="213">
        <v>2393.3599999999901</v>
      </c>
      <c r="K15" s="46" t="e">
        <f>SUM(#REF!)*2</f>
        <v>#REF!</v>
      </c>
      <c r="L15" s="218" t="e">
        <f>#REF!-K15</f>
        <v>#REF!</v>
      </c>
      <c r="M15" s="218"/>
      <c r="N15" s="218"/>
      <c r="O15" s="219">
        <v>1000</v>
      </c>
    </row>
    <row r="16" spans="1:20" s="11" customFormat="1" ht="14.25" customHeight="1">
      <c r="A16" s="149">
        <v>13</v>
      </c>
      <c r="B16" s="86" t="s">
        <v>251</v>
      </c>
      <c r="C16" s="76" t="s">
        <v>109</v>
      </c>
      <c r="D16" s="76">
        <v>2</v>
      </c>
      <c r="E16" s="38" t="s">
        <v>247</v>
      </c>
      <c r="F16" s="38" t="s">
        <v>252</v>
      </c>
      <c r="G16" s="98" t="s">
        <v>253</v>
      </c>
      <c r="H16" s="10"/>
      <c r="I16" s="45"/>
      <c r="J16" s="213">
        <v>30000</v>
      </c>
      <c r="K16" s="46" t="e">
        <f>SUM(#REF!)*2</f>
        <v>#REF!</v>
      </c>
      <c r="L16" s="218"/>
      <c r="M16" s="218"/>
      <c r="N16" s="218"/>
      <c r="O16" s="219">
        <v>1000</v>
      </c>
    </row>
    <row r="17" spans="1:17" s="11" customFormat="1" ht="28.5" customHeight="1">
      <c r="A17" s="149">
        <v>14</v>
      </c>
      <c r="B17" s="86" t="s">
        <v>254</v>
      </c>
      <c r="C17" s="93" t="s">
        <v>47</v>
      </c>
      <c r="D17" s="124">
        <v>1</v>
      </c>
      <c r="E17" s="71" t="s">
        <v>255</v>
      </c>
      <c r="F17" s="71" t="s">
        <v>256</v>
      </c>
      <c r="G17" s="81" t="s">
        <v>258</v>
      </c>
      <c r="H17" s="45"/>
      <c r="I17" s="45"/>
      <c r="J17" s="213">
        <v>6140.73</v>
      </c>
      <c r="K17" s="46" t="e">
        <f>SUM(#REF!)*2</f>
        <v>#REF!</v>
      </c>
      <c r="L17" s="218"/>
      <c r="M17" s="218">
        <v>-643.349999999999</v>
      </c>
      <c r="N17" s="218" t="e">
        <f>(SUM(#REF!)*2)-#REF!</f>
        <v>#REF!</v>
      </c>
      <c r="O17" s="219">
        <v>1000</v>
      </c>
    </row>
    <row r="18" spans="1:17" s="11" customFormat="1" ht="29.25" customHeight="1">
      <c r="A18" s="149">
        <v>15</v>
      </c>
      <c r="B18" s="90" t="s">
        <v>259</v>
      </c>
      <c r="C18" s="93" t="s">
        <v>47</v>
      </c>
      <c r="D18" s="124">
        <v>1</v>
      </c>
      <c r="E18" s="94" t="s">
        <v>209</v>
      </c>
      <c r="F18" s="71" t="s">
        <v>260</v>
      </c>
      <c r="G18" s="81" t="s">
        <v>262</v>
      </c>
      <c r="H18" s="53"/>
      <c r="I18" s="10"/>
      <c r="J18" s="213">
        <v>23452.22</v>
      </c>
      <c r="K18" s="46" t="e">
        <f>SUM(#REF!)*2</f>
        <v>#REF!</v>
      </c>
      <c r="L18" s="218"/>
      <c r="M18" s="218">
        <v>-46904.36</v>
      </c>
      <c r="N18" s="218" t="e">
        <f>(SUM(#REF!)*2)-#REF!</f>
        <v>#REF!</v>
      </c>
      <c r="O18" s="219">
        <v>1000</v>
      </c>
    </row>
    <row r="19" spans="1:17" s="11" customFormat="1" ht="30">
      <c r="A19" s="149">
        <v>16</v>
      </c>
      <c r="B19" s="86" t="s">
        <v>321</v>
      </c>
      <c r="C19" s="76" t="s">
        <v>322</v>
      </c>
      <c r="D19" s="76">
        <v>1</v>
      </c>
      <c r="E19" s="49" t="s">
        <v>323</v>
      </c>
      <c r="F19" s="49" t="s">
        <v>324</v>
      </c>
      <c r="G19" s="84" t="s">
        <v>326</v>
      </c>
      <c r="H19" s="10"/>
      <c r="I19" s="10"/>
      <c r="J19" s="213">
        <v>1104719.76</v>
      </c>
      <c r="K19" s="46" t="e">
        <f>#REF!+#REF!</f>
        <v>#REF!</v>
      </c>
      <c r="L19" s="218"/>
      <c r="M19" s="218"/>
      <c r="N19" s="218" t="e">
        <f>(SUM(#REF!)*2)-#REF!</f>
        <v>#REF!</v>
      </c>
      <c r="O19" s="219">
        <v>1000</v>
      </c>
      <c r="Q19" s="19"/>
    </row>
    <row r="20" spans="1:17" s="11" customFormat="1" ht="154.5" customHeight="1">
      <c r="A20" s="149">
        <v>17</v>
      </c>
      <c r="B20" s="86" t="s">
        <v>481</v>
      </c>
      <c r="C20" s="76" t="s">
        <v>328</v>
      </c>
      <c r="D20" s="76">
        <v>2</v>
      </c>
      <c r="E20" s="38" t="s">
        <v>334</v>
      </c>
      <c r="F20" s="38"/>
      <c r="G20" s="79"/>
      <c r="H20" s="53"/>
      <c r="I20" s="145"/>
      <c r="J20" s="213">
        <v>61992.46</v>
      </c>
      <c r="K20" s="221"/>
      <c r="L20" s="218"/>
      <c r="M20" s="218"/>
      <c r="N20" s="218" t="e">
        <f>(SUM(#REF!)*2)-#REF!</f>
        <v>#REF!</v>
      </c>
      <c r="O20" s="219">
        <v>1000</v>
      </c>
    </row>
    <row r="21" spans="1:17" s="11" customFormat="1" ht="197.25" customHeight="1">
      <c r="A21" s="149">
        <v>18</v>
      </c>
      <c r="B21" s="86" t="s">
        <v>337</v>
      </c>
      <c r="C21" s="76" t="s">
        <v>328</v>
      </c>
      <c r="D21" s="76">
        <v>2</v>
      </c>
      <c r="E21" s="38" t="s">
        <v>334</v>
      </c>
      <c r="F21" s="38"/>
      <c r="G21" s="79"/>
      <c r="H21" s="53"/>
      <c r="I21" s="145"/>
      <c r="J21" s="213">
        <v>24066.75</v>
      </c>
      <c r="K21" s="221"/>
      <c r="L21" s="218"/>
      <c r="M21" s="218"/>
      <c r="N21" s="218" t="e">
        <f>(SUM(#REF!)*2)-#REF!</f>
        <v>#REF!</v>
      </c>
      <c r="O21" s="219">
        <v>1000</v>
      </c>
    </row>
    <row r="22" spans="1:17" s="11" customFormat="1" ht="174" customHeight="1">
      <c r="A22" s="149">
        <v>19</v>
      </c>
      <c r="B22" s="185" t="s">
        <v>502</v>
      </c>
      <c r="C22" s="76" t="s">
        <v>328</v>
      </c>
      <c r="D22" s="76">
        <v>2</v>
      </c>
      <c r="E22" s="38" t="s">
        <v>334</v>
      </c>
      <c r="F22" s="38"/>
      <c r="G22" s="79"/>
      <c r="H22" s="53"/>
      <c r="I22" s="145"/>
      <c r="J22" s="213">
        <v>7372.51</v>
      </c>
      <c r="K22" s="221"/>
      <c r="L22" s="218"/>
      <c r="M22" s="218"/>
      <c r="N22" s="218" t="e">
        <f>(SUM(#REF!)*2)-#REF!</f>
        <v>#REF!</v>
      </c>
      <c r="O22" s="219">
        <v>1000</v>
      </c>
    </row>
    <row r="23" spans="1:17" s="11" customFormat="1" ht="29.25" customHeight="1">
      <c r="A23" s="149">
        <v>20</v>
      </c>
      <c r="B23" s="155" t="s">
        <v>369</v>
      </c>
      <c r="C23" s="76" t="s">
        <v>328</v>
      </c>
      <c r="D23" s="76">
        <v>1</v>
      </c>
      <c r="E23" s="77" t="s">
        <v>370</v>
      </c>
      <c r="F23" s="77" t="s">
        <v>256</v>
      </c>
      <c r="G23" s="84" t="s">
        <v>373</v>
      </c>
      <c r="H23" s="10"/>
      <c r="I23" s="10"/>
      <c r="J23" s="213">
        <v>5039.3474999999999</v>
      </c>
      <c r="K23" s="46" t="e">
        <f>#REF!*2</f>
        <v>#REF!</v>
      </c>
      <c r="L23" s="218"/>
      <c r="M23" s="218"/>
      <c r="N23" s="218" t="e">
        <f>(SUM(#REF!)*2)-#REF!</f>
        <v>#REF!</v>
      </c>
      <c r="O23" s="219">
        <v>1000</v>
      </c>
    </row>
    <row r="24" spans="1:17" s="11" customFormat="1" ht="29.25" customHeight="1">
      <c r="A24" s="149">
        <v>21</v>
      </c>
      <c r="B24" s="157" t="s">
        <v>503</v>
      </c>
      <c r="C24" s="206" t="s">
        <v>382</v>
      </c>
      <c r="D24" s="76">
        <v>2</v>
      </c>
      <c r="E24" s="49" t="s">
        <v>383</v>
      </c>
      <c r="F24" s="49" t="s">
        <v>384</v>
      </c>
      <c r="G24" s="159" t="s">
        <v>504</v>
      </c>
      <c r="H24" s="10"/>
      <c r="I24" s="10"/>
      <c r="J24" s="213">
        <v>609.75</v>
      </c>
      <c r="K24" s="46" t="e">
        <f>#REF!*2</f>
        <v>#REF!</v>
      </c>
      <c r="L24" s="218"/>
      <c r="M24" s="218">
        <v>-642</v>
      </c>
      <c r="N24" s="218" t="e">
        <f>(SUM(#REF!)*2)-#REF!</f>
        <v>#REF!</v>
      </c>
      <c r="O24" s="219">
        <v>1000</v>
      </c>
    </row>
    <row r="25" spans="1:17" s="11" customFormat="1" ht="29.25" customHeight="1">
      <c r="A25" s="149">
        <v>22</v>
      </c>
      <c r="B25" s="157" t="s">
        <v>505</v>
      </c>
      <c r="C25" s="206" t="s">
        <v>382</v>
      </c>
      <c r="D25" s="76">
        <v>2</v>
      </c>
      <c r="E25" s="49" t="s">
        <v>388</v>
      </c>
      <c r="F25" s="49"/>
      <c r="G25" s="38" t="s">
        <v>390</v>
      </c>
      <c r="H25" s="53"/>
      <c r="I25" s="45"/>
      <c r="J25" s="213">
        <v>531.84</v>
      </c>
      <c r="K25" s="46" t="e">
        <f>#REF!*2</f>
        <v>#REF!</v>
      </c>
      <c r="L25" s="218" t="e">
        <f>#REF!-K25</f>
        <v>#REF!</v>
      </c>
      <c r="M25" s="218"/>
      <c r="N25" s="218" t="e">
        <f>(SUM(#REF!)*2)-#REF!</f>
        <v>#REF!</v>
      </c>
      <c r="O25" s="219">
        <v>1000</v>
      </c>
    </row>
    <row r="26" spans="1:17" s="11" customFormat="1" ht="13.5" customHeight="1">
      <c r="A26" s="307" t="s">
        <v>412</v>
      </c>
      <c r="B26" s="307"/>
      <c r="C26" s="307"/>
      <c r="D26" s="307"/>
      <c r="E26" s="307"/>
      <c r="F26" s="307"/>
      <c r="G26" s="307"/>
      <c r="H26" s="173">
        <f>SUM(H4:H18)</f>
        <v>0</v>
      </c>
      <c r="I26" s="173">
        <f>SUM(I4:I18)</f>
        <v>0</v>
      </c>
      <c r="J26" s="193">
        <f>SUM(J4:J25)</f>
        <v>8555847.0375000015</v>
      </c>
      <c r="K26" s="173" t="e">
        <f>SUM(K4:K18)</f>
        <v>#REF!</v>
      </c>
      <c r="L26" s="173" t="e">
        <f>SUM(L4:L18)</f>
        <v>#REF!</v>
      </c>
      <c r="M26" s="173" t="e">
        <f>SUM(M4:M18)</f>
        <v>#REF!</v>
      </c>
      <c r="N26" s="173" t="e">
        <f>SUM(N4:N18)</f>
        <v>#REF!</v>
      </c>
      <c r="O26" s="173"/>
      <c r="Q26" s="220"/>
    </row>
    <row r="27" spans="1:17" s="11" customFormat="1">
      <c r="A27" s="12"/>
      <c r="B27" s="165"/>
      <c r="C27" s="166"/>
      <c r="D27" s="166"/>
      <c r="E27" s="165"/>
      <c r="F27" s="165"/>
      <c r="G27" s="165"/>
      <c r="J27" s="17"/>
      <c r="K27" s="19"/>
      <c r="L27" s="19"/>
    </row>
    <row r="28" spans="1:17" s="11" customFormat="1" ht="27" customHeight="1">
      <c r="A28" s="306" t="s">
        <v>7</v>
      </c>
      <c r="B28" s="306"/>
      <c r="C28" s="1" t="s">
        <v>8</v>
      </c>
      <c r="D28" s="1" t="s">
        <v>413</v>
      </c>
      <c r="E28" s="1" t="s">
        <v>9</v>
      </c>
      <c r="F28" s="1" t="s">
        <v>10</v>
      </c>
      <c r="G28" s="1" t="s">
        <v>15</v>
      </c>
      <c r="H28" s="31">
        <v>45658</v>
      </c>
      <c r="I28" s="31">
        <v>45689</v>
      </c>
      <c r="J28" s="31" t="s">
        <v>22</v>
      </c>
      <c r="K28" s="31"/>
      <c r="L28" s="31"/>
      <c r="M28" s="31"/>
      <c r="N28" s="217"/>
      <c r="O28" s="31" t="s">
        <v>496</v>
      </c>
      <c r="Q28" s="220"/>
    </row>
    <row r="29" spans="1:17" ht="30">
      <c r="A29" s="149">
        <v>1</v>
      </c>
      <c r="B29" s="126" t="s">
        <v>272</v>
      </c>
      <c r="C29" s="128" t="s">
        <v>273</v>
      </c>
      <c r="D29" s="128">
        <v>1</v>
      </c>
      <c r="E29" s="129" t="s">
        <v>274</v>
      </c>
      <c r="F29" s="129" t="s">
        <v>494</v>
      </c>
      <c r="G29" s="130" t="s">
        <v>277</v>
      </c>
      <c r="H29" s="53"/>
      <c r="I29" s="53"/>
      <c r="J29" s="46">
        <v>746313.59</v>
      </c>
      <c r="K29" s="46" t="e">
        <f>SUM(#REF!)*2</f>
        <v>#REF!</v>
      </c>
      <c r="L29" s="218" t="e">
        <f>#REF!-K29</f>
        <v>#REF!</v>
      </c>
      <c r="M29" s="218"/>
      <c r="N29" s="218" t="e">
        <f>(SUM(#REF!)*2)-#REF!</f>
        <v>#REF!</v>
      </c>
      <c r="O29" s="219">
        <v>1050</v>
      </c>
    </row>
    <row r="30" spans="1:17">
      <c r="A30" s="149">
        <v>2</v>
      </c>
      <c r="B30" s="126" t="s">
        <v>278</v>
      </c>
      <c r="C30" s="128" t="s">
        <v>273</v>
      </c>
      <c r="D30" s="128">
        <v>1</v>
      </c>
      <c r="E30" s="129" t="s">
        <v>279</v>
      </c>
      <c r="F30" s="129" t="s">
        <v>280</v>
      </c>
      <c r="G30" s="130" t="s">
        <v>282</v>
      </c>
      <c r="H30" s="53"/>
      <c r="I30" s="53"/>
      <c r="J30" s="46">
        <v>193823.77</v>
      </c>
      <c r="K30" s="46" t="e">
        <f>SUM(#REF!)*2</f>
        <v>#REF!</v>
      </c>
      <c r="L30" s="218" t="e">
        <f>#REF!-K30</f>
        <v>#REF!</v>
      </c>
      <c r="M30" s="218"/>
      <c r="N30" s="218" t="e">
        <f>(SUM(#REF!)*2)-#REF!</f>
        <v>#REF!</v>
      </c>
      <c r="O30" s="219">
        <v>1050</v>
      </c>
    </row>
    <row r="31" spans="1:17" ht="45">
      <c r="A31" s="149">
        <v>3</v>
      </c>
      <c r="B31" s="157" t="s">
        <v>283</v>
      </c>
      <c r="C31" s="128" t="s">
        <v>273</v>
      </c>
      <c r="D31" s="128">
        <v>2</v>
      </c>
      <c r="E31" s="129" t="s">
        <v>284</v>
      </c>
      <c r="F31" s="129" t="s">
        <v>285</v>
      </c>
      <c r="G31" s="63" t="s">
        <v>287</v>
      </c>
      <c r="H31" s="8"/>
      <c r="I31" s="7"/>
      <c r="J31" s="222">
        <v>542145.49</v>
      </c>
      <c r="K31" s="222" t="e">
        <f>#REF!*2</f>
        <v>#REF!</v>
      </c>
      <c r="L31" s="223" t="e">
        <f>#REF!-K31</f>
        <v>#REF!</v>
      </c>
      <c r="M31" s="224"/>
      <c r="N31" s="218" t="e">
        <f>(SUM(#REF!)*2)-#REF!</f>
        <v>#REF!</v>
      </c>
      <c r="O31" s="219">
        <v>1050</v>
      </c>
    </row>
    <row r="32" spans="1:17">
      <c r="A32" s="149">
        <v>4</v>
      </c>
      <c r="B32" s="157" t="s">
        <v>314</v>
      </c>
      <c r="C32" s="128" t="s">
        <v>273</v>
      </c>
      <c r="D32" s="128">
        <v>3</v>
      </c>
      <c r="E32" s="129" t="s">
        <v>41</v>
      </c>
      <c r="F32" s="129" t="s">
        <v>315</v>
      </c>
      <c r="G32" s="38"/>
      <c r="H32" s="10"/>
      <c r="I32" s="10"/>
      <c r="J32" s="46">
        <v>36780.26</v>
      </c>
      <c r="K32" s="46" t="e">
        <f>#REF!*2</f>
        <v>#REF!</v>
      </c>
      <c r="L32" s="218" t="e">
        <f>#REF!-K32</f>
        <v>#REF!</v>
      </c>
      <c r="M32" s="218"/>
      <c r="N32" s="218" t="e">
        <f>(SUM(#REF!)*2)-#REF!</f>
        <v>#REF!</v>
      </c>
      <c r="O32" s="219">
        <v>1050</v>
      </c>
    </row>
    <row r="33" spans="1:15">
      <c r="A33" s="149">
        <v>5</v>
      </c>
      <c r="B33" s="157" t="s">
        <v>316</v>
      </c>
      <c r="C33" s="128" t="s">
        <v>273</v>
      </c>
      <c r="D33" s="128">
        <v>3</v>
      </c>
      <c r="E33" s="129" t="s">
        <v>45</v>
      </c>
      <c r="F33" s="129" t="s">
        <v>317</v>
      </c>
      <c r="G33" s="38"/>
      <c r="H33" s="51"/>
      <c r="I33" s="10"/>
      <c r="J33" s="46">
        <v>271444.86</v>
      </c>
      <c r="K33" s="46" t="e">
        <f>#REF!*2</f>
        <v>#REF!</v>
      </c>
      <c r="L33" s="218" t="e">
        <f>#REF!-K33</f>
        <v>#REF!</v>
      </c>
      <c r="M33" s="218"/>
      <c r="N33" s="218"/>
      <c r="O33" s="219">
        <v>1050</v>
      </c>
    </row>
    <row r="34" spans="1:15">
      <c r="A34" s="149">
        <v>6</v>
      </c>
      <c r="B34" s="157" t="s">
        <v>318</v>
      </c>
      <c r="C34" s="128" t="s">
        <v>273</v>
      </c>
      <c r="D34" s="128">
        <v>1</v>
      </c>
      <c r="E34" s="129" t="s">
        <v>319</v>
      </c>
      <c r="F34" s="129"/>
      <c r="G34" s="38"/>
      <c r="H34" s="45"/>
      <c r="I34" s="45"/>
      <c r="J34" s="46">
        <v>265208.24</v>
      </c>
      <c r="K34" s="46" t="e">
        <f>#REF!*2</f>
        <v>#REF!</v>
      </c>
      <c r="L34" s="218" t="e">
        <f>#REF!-K34</f>
        <v>#REF!</v>
      </c>
      <c r="M34" s="218"/>
      <c r="N34" s="218" t="e">
        <f>(SUM(#REF!)*2)-#REF!</f>
        <v>#REF!</v>
      </c>
      <c r="O34" s="219">
        <v>1050</v>
      </c>
    </row>
    <row r="35" spans="1:15" ht="14.25" customHeight="1">
      <c r="A35" s="307" t="s">
        <v>412</v>
      </c>
      <c r="B35" s="307"/>
      <c r="C35" s="307"/>
      <c r="D35" s="307"/>
      <c r="E35" s="307"/>
      <c r="F35" s="307"/>
      <c r="G35" s="307"/>
      <c r="H35" s="173">
        <f t="shared" ref="H35:N35" si="0">SUM(H29:H34)</f>
        <v>0</v>
      </c>
      <c r="I35" s="173">
        <f t="shared" si="0"/>
        <v>0</v>
      </c>
      <c r="J35" s="193">
        <f t="shared" si="0"/>
        <v>2055716.2100000002</v>
      </c>
      <c r="K35" s="173" t="e">
        <f t="shared" si="0"/>
        <v>#REF!</v>
      </c>
      <c r="L35" s="173" t="e">
        <f t="shared" si="0"/>
        <v>#REF!</v>
      </c>
      <c r="M35" s="173">
        <f t="shared" si="0"/>
        <v>0</v>
      </c>
      <c r="N35" s="173" t="e">
        <f t="shared" si="0"/>
        <v>#REF!</v>
      </c>
      <c r="O35" s="173"/>
    </row>
  </sheetData>
  <autoFilter ref="B3:G18" xr:uid="{00000000-0009-0000-0000-00000A000000}"/>
  <mergeCells count="4">
    <mergeCell ref="A3:B3"/>
    <mergeCell ref="A26:G26"/>
    <mergeCell ref="A28:B28"/>
    <mergeCell ref="A35:G35"/>
  </mergeCells>
  <conditionalFormatting sqref="G31">
    <cfRule type="cellIs" dxfId="19" priority="2" operator="equal">
      <formula>"EXPIRADO"</formula>
    </cfRule>
    <cfRule type="cellIs" dxfId="18" priority="3" operator="equal">
      <formula>"NO PRAZO"</formula>
    </cfRule>
    <cfRule type="cellIs" dxfId="17" priority="4" operator="equal">
      <formula>"EM BREVE"</formula>
    </cfRule>
    <cfRule type="cellIs" dxfId="16" priority="5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4"/>
  <sheetViews>
    <sheetView topLeftCell="A26" zoomScale="80" zoomScaleNormal="80" workbookViewId="0">
      <selection activeCell="E28" sqref="E28"/>
    </sheetView>
  </sheetViews>
  <sheetFormatPr baseColWidth="10" defaultColWidth="8.6640625" defaultRowHeight="15"/>
  <cols>
    <col min="1" max="1" width="23.83203125" customWidth="1"/>
    <col min="2" max="2" width="32.5" style="253" customWidth="1"/>
    <col min="3" max="3" width="11" style="254" customWidth="1"/>
  </cols>
  <sheetData>
    <row r="1" spans="1:2">
      <c r="A1" s="308" t="s">
        <v>537</v>
      </c>
      <c r="B1" s="308"/>
    </row>
    <row r="2" spans="1:2" ht="16">
      <c r="A2" s="255" t="s">
        <v>538</v>
      </c>
      <c r="B2" s="256" t="s">
        <v>539</v>
      </c>
    </row>
    <row r="3" spans="1:2">
      <c r="A3" s="257" t="s">
        <v>540</v>
      </c>
      <c r="B3" s="258">
        <v>530</v>
      </c>
    </row>
    <row r="4" spans="1:2">
      <c r="A4" s="257" t="s">
        <v>541</v>
      </c>
      <c r="B4" s="258">
        <v>407.2</v>
      </c>
    </row>
    <row r="5" spans="1:2">
      <c r="A5" s="257" t="s">
        <v>542</v>
      </c>
      <c r="B5" s="258">
        <v>400</v>
      </c>
    </row>
    <row r="6" spans="1:2">
      <c r="A6" s="257" t="s">
        <v>543</v>
      </c>
      <c r="B6" s="258">
        <v>880.6</v>
      </c>
    </row>
    <row r="7" spans="1:2">
      <c r="A7" s="257" t="s">
        <v>544</v>
      </c>
      <c r="B7" s="258">
        <v>800</v>
      </c>
    </row>
    <row r="8" spans="1:2">
      <c r="A8" s="257" t="s">
        <v>545</v>
      </c>
      <c r="B8" s="258">
        <v>1430</v>
      </c>
    </row>
    <row r="9" spans="1:2">
      <c r="A9" s="257" t="s">
        <v>546</v>
      </c>
      <c r="B9" s="258">
        <v>2000</v>
      </c>
    </row>
    <row r="10" spans="1:2">
      <c r="A10" s="257" t="s">
        <v>547</v>
      </c>
      <c r="B10" s="258">
        <v>1060</v>
      </c>
    </row>
    <row r="11" spans="1:2">
      <c r="A11" s="257" t="s">
        <v>548</v>
      </c>
      <c r="B11" s="258">
        <v>300</v>
      </c>
    </row>
    <row r="12" spans="1:2">
      <c r="A12" s="257" t="s">
        <v>549</v>
      </c>
      <c r="B12" s="258">
        <v>1027.1300000000001</v>
      </c>
    </row>
    <row r="13" spans="1:2">
      <c r="A13" s="257" t="s">
        <v>550</v>
      </c>
      <c r="B13" s="258">
        <v>237.17</v>
      </c>
    </row>
    <row r="14" spans="1:2">
      <c r="A14" s="257" t="s">
        <v>551</v>
      </c>
      <c r="B14" s="258">
        <v>1060</v>
      </c>
    </row>
    <row r="15" spans="1:2">
      <c r="A15" s="257" t="s">
        <v>552</v>
      </c>
      <c r="B15" s="258">
        <v>1635.72</v>
      </c>
    </row>
    <row r="16" spans="1:2">
      <c r="A16" s="257" t="s">
        <v>553</v>
      </c>
      <c r="B16" s="258">
        <v>400</v>
      </c>
    </row>
    <row r="17" spans="1:3">
      <c r="A17" s="257" t="s">
        <v>554</v>
      </c>
      <c r="B17" s="258">
        <v>700</v>
      </c>
    </row>
    <row r="18" spans="1:3">
      <c r="A18" s="257" t="s">
        <v>555</v>
      </c>
      <c r="B18" s="258">
        <v>700</v>
      </c>
    </row>
    <row r="19" spans="1:3">
      <c r="A19" s="257"/>
      <c r="B19" s="258"/>
    </row>
    <row r="20" spans="1:3">
      <c r="A20" s="259" t="s">
        <v>556</v>
      </c>
      <c r="B20" s="260">
        <f>SUM(B3:B19)</f>
        <v>13567.82</v>
      </c>
    </row>
    <row r="22" spans="1:3" ht="16">
      <c r="A22" s="255" t="s">
        <v>538</v>
      </c>
      <c r="B22" s="256" t="s">
        <v>539</v>
      </c>
    </row>
    <row r="23" spans="1:3">
      <c r="A23" s="257" t="s">
        <v>557</v>
      </c>
      <c r="B23" s="258">
        <v>700</v>
      </c>
    </row>
    <row r="24" spans="1:3">
      <c r="A24" s="257" t="s">
        <v>558</v>
      </c>
      <c r="B24" s="258">
        <v>700</v>
      </c>
    </row>
    <row r="25" spans="1:3">
      <c r="A25" s="259" t="s">
        <v>556</v>
      </c>
      <c r="B25" s="260">
        <f>SUM(B23:B24)</f>
        <v>1400</v>
      </c>
    </row>
    <row r="26" spans="1:3">
      <c r="A26" s="257"/>
      <c r="B26" s="258"/>
    </row>
    <row r="27" spans="1:3" ht="16">
      <c r="A27" s="255" t="s">
        <v>538</v>
      </c>
      <c r="B27" s="256" t="s">
        <v>539</v>
      </c>
    </row>
    <row r="28" spans="1:3">
      <c r="A28" s="257" t="s">
        <v>559</v>
      </c>
      <c r="B28" s="258">
        <v>800</v>
      </c>
    </row>
    <row r="29" spans="1:3">
      <c r="A29" s="257" t="s">
        <v>560</v>
      </c>
      <c r="B29" s="258">
        <v>800</v>
      </c>
    </row>
    <row r="30" spans="1:3">
      <c r="A30" s="257" t="s">
        <v>561</v>
      </c>
      <c r="B30" s="258">
        <v>3000</v>
      </c>
      <c r="C30" s="254" t="s">
        <v>562</v>
      </c>
    </row>
    <row r="31" spans="1:3">
      <c r="A31" s="257"/>
      <c r="B31" s="258"/>
    </row>
    <row r="32" spans="1:3">
      <c r="A32" s="257"/>
      <c r="B32" s="258"/>
    </row>
    <row r="33" spans="1:2">
      <c r="A33" s="309" t="s">
        <v>563</v>
      </c>
      <c r="B33" s="309"/>
    </row>
    <row r="34" spans="1:2">
      <c r="A34" s="257" t="s">
        <v>564</v>
      </c>
      <c r="B34" s="258">
        <v>2400</v>
      </c>
    </row>
    <row r="35" spans="1:2">
      <c r="A35" s="257" t="s">
        <v>565</v>
      </c>
      <c r="B35" s="258">
        <v>700</v>
      </c>
    </row>
    <row r="36" spans="1:2">
      <c r="A36" s="257" t="s">
        <v>566</v>
      </c>
      <c r="B36" s="258">
        <v>700</v>
      </c>
    </row>
    <row r="37" spans="1:2">
      <c r="A37" s="257" t="s">
        <v>567</v>
      </c>
      <c r="B37" s="258">
        <v>2100</v>
      </c>
    </row>
    <row r="38" spans="1:2">
      <c r="A38" s="257" t="s">
        <v>568</v>
      </c>
      <c r="B38" s="258">
        <v>400</v>
      </c>
    </row>
    <row r="39" spans="1:2">
      <c r="A39" s="257" t="s">
        <v>569</v>
      </c>
      <c r="B39" s="258">
        <v>400</v>
      </c>
    </row>
    <row r="40" spans="1:2">
      <c r="A40" s="257"/>
      <c r="B40" s="258"/>
    </row>
    <row r="41" spans="1:2">
      <c r="A41" s="257"/>
      <c r="B41" s="258"/>
    </row>
    <row r="42" spans="1:2">
      <c r="A42" s="257"/>
      <c r="B42" s="258"/>
    </row>
    <row r="43" spans="1:2">
      <c r="A43" s="257"/>
      <c r="B43" s="258"/>
    </row>
    <row r="44" spans="1:2">
      <c r="A44" s="257"/>
      <c r="B44" s="258"/>
    </row>
    <row r="45" spans="1:2">
      <c r="A45" s="257"/>
      <c r="B45" s="258"/>
    </row>
    <row r="46" spans="1:2">
      <c r="A46" s="257"/>
      <c r="B46" s="258"/>
    </row>
    <row r="47" spans="1:2">
      <c r="A47" s="257"/>
      <c r="B47" s="258"/>
    </row>
    <row r="48" spans="1:2">
      <c r="A48" s="257"/>
      <c r="B48" s="258"/>
    </row>
    <row r="49" spans="1:2">
      <c r="A49" s="257"/>
      <c r="B49" s="258"/>
    </row>
    <row r="50" spans="1:2">
      <c r="A50" s="257"/>
      <c r="B50" s="258"/>
    </row>
    <row r="51" spans="1:2">
      <c r="A51" s="257"/>
      <c r="B51" s="258"/>
    </row>
    <row r="52" spans="1:2">
      <c r="A52" s="257"/>
      <c r="B52" s="258"/>
    </row>
    <row r="53" spans="1:2">
      <c r="A53" s="257"/>
      <c r="B53" s="261"/>
    </row>
    <row r="54" spans="1:2">
      <c r="A54" s="259" t="s">
        <v>556</v>
      </c>
      <c r="B54" s="260">
        <f>SUM(B3:B53)</f>
        <v>41235.64</v>
      </c>
    </row>
  </sheetData>
  <mergeCells count="2">
    <mergeCell ref="A1:B1"/>
    <mergeCell ref="A33:B3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99694"/>
  </sheetPr>
  <dimension ref="A1:XDF61"/>
  <sheetViews>
    <sheetView zoomScale="85" zoomScaleNormal="85" workbookViewId="0">
      <pane xSplit="4" ySplit="3" topLeftCell="E4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baseColWidth="10" defaultColWidth="9.1640625" defaultRowHeight="15"/>
  <cols>
    <col min="1" max="1" width="64.33203125" style="11" customWidth="1"/>
    <col min="2" max="2" width="18.1640625" style="11" customWidth="1"/>
    <col min="3" max="3" width="14.5" style="12" hidden="1" customWidth="1"/>
    <col min="4" max="4" width="19.1640625" style="12" customWidth="1"/>
    <col min="5" max="5" width="24.33203125" style="12" customWidth="1"/>
    <col min="6" max="6" width="26.1640625" style="12" hidden="1" customWidth="1"/>
    <col min="7" max="7" width="16.33203125" style="12" hidden="1" customWidth="1"/>
    <col min="8" max="8" width="13" style="12" hidden="1" customWidth="1"/>
    <col min="9" max="9" width="17.1640625" style="12" hidden="1" customWidth="1"/>
    <col min="10" max="10" width="12.33203125" style="12" customWidth="1"/>
    <col min="11" max="11" width="14.6640625" style="13" hidden="1" customWidth="1"/>
    <col min="12" max="12" width="15.33203125" style="14" hidden="1" customWidth="1"/>
    <col min="13" max="13" width="14.33203125" style="13" hidden="1" customWidth="1"/>
    <col min="14" max="14" width="15.1640625" style="13" hidden="1" customWidth="1"/>
    <col min="15" max="15" width="17" style="11" hidden="1" customWidth="1"/>
    <col min="16" max="16" width="15.5" style="11" hidden="1" customWidth="1"/>
    <col min="17" max="17" width="13.6640625" style="11" hidden="1" customWidth="1"/>
    <col min="18" max="18" width="13.6640625" style="11" customWidth="1"/>
    <col min="19" max="19" width="13.6640625" style="15" customWidth="1"/>
    <col min="20" max="20" width="16.6640625" style="17" customWidth="1"/>
    <col min="21" max="21" width="25.33203125" style="18" customWidth="1"/>
    <col min="22" max="23" width="16.5" style="19" hidden="1" customWidth="1"/>
    <col min="24" max="25" width="16.5" style="11" hidden="1" customWidth="1"/>
    <col min="26" max="27" width="16.5" style="11" customWidth="1"/>
    <col min="28" max="16334" width="9.1640625" style="11"/>
    <col min="16335" max="16384" width="11.5" customWidth="1"/>
  </cols>
  <sheetData>
    <row r="1" spans="1:26" ht="18">
      <c r="A1" s="20" t="s">
        <v>0</v>
      </c>
      <c r="B1" s="21"/>
      <c r="D1" s="21"/>
      <c r="K1" s="22"/>
      <c r="M1" s="23"/>
      <c r="N1" s="24"/>
      <c r="O1" s="25"/>
      <c r="W1" s="26"/>
      <c r="Z1" s="19"/>
    </row>
    <row r="2" spans="1:26">
      <c r="A2" s="11" t="s">
        <v>506</v>
      </c>
      <c r="B2" s="21"/>
      <c r="K2" s="22"/>
      <c r="L2" s="27"/>
      <c r="M2" s="23"/>
      <c r="O2" s="25"/>
      <c r="W2" s="28"/>
      <c r="Z2" s="19"/>
    </row>
    <row r="3" spans="1:26" ht="45">
      <c r="A3" s="1" t="s">
        <v>7</v>
      </c>
      <c r="B3" s="1" t="s">
        <v>8</v>
      </c>
      <c r="C3" s="1" t="s">
        <v>413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29" t="s">
        <v>16</v>
      </c>
      <c r="L3" s="30" t="s">
        <v>17</v>
      </c>
      <c r="M3" s="31" t="s">
        <v>18</v>
      </c>
      <c r="N3" s="31" t="s">
        <v>19</v>
      </c>
      <c r="O3" s="31" t="s">
        <v>20</v>
      </c>
      <c r="P3" s="32" t="s">
        <v>21</v>
      </c>
      <c r="Q3" s="31">
        <v>45658</v>
      </c>
      <c r="R3" s="31">
        <v>45689</v>
      </c>
      <c r="S3" s="31">
        <v>45717</v>
      </c>
      <c r="T3" s="31" t="s">
        <v>22</v>
      </c>
      <c r="U3" s="33"/>
      <c r="V3" s="31"/>
      <c r="W3" s="31"/>
      <c r="X3" s="31"/>
      <c r="Y3" s="34"/>
      <c r="Z3" s="35"/>
    </row>
    <row r="4" spans="1:26">
      <c r="A4" s="36" t="s">
        <v>507</v>
      </c>
      <c r="B4" s="36" t="s">
        <v>29</v>
      </c>
      <c r="C4" s="37">
        <v>1</v>
      </c>
      <c r="D4" s="49" t="s">
        <v>37</v>
      </c>
      <c r="E4" s="49"/>
      <c r="F4" s="39"/>
      <c r="G4" s="39"/>
      <c r="H4" s="40"/>
      <c r="I4" s="40"/>
      <c r="J4" s="39"/>
      <c r="K4" s="43">
        <v>810000</v>
      </c>
      <c r="L4" s="42"/>
      <c r="M4" s="43">
        <f>K4*12</f>
        <v>9720000</v>
      </c>
      <c r="N4" s="3">
        <v>0</v>
      </c>
      <c r="O4" s="3">
        <v>0</v>
      </c>
      <c r="P4" s="9">
        <f>SUM(N4:O4)</f>
        <v>0</v>
      </c>
      <c r="Q4" s="10"/>
      <c r="R4" s="10">
        <f>K4</f>
        <v>810000</v>
      </c>
      <c r="S4" s="10">
        <f>K4</f>
        <v>810000</v>
      </c>
      <c r="T4" s="46">
        <f t="shared" ref="T4:T46" si="0">SUM(Q4:S4)</f>
        <v>1620000</v>
      </c>
      <c r="U4" s="54"/>
      <c r="W4" s="48"/>
      <c r="X4" s="48"/>
      <c r="Y4" s="48"/>
      <c r="Z4" s="48"/>
    </row>
    <row r="5" spans="1:26" ht="45">
      <c r="A5" s="58" t="s">
        <v>49</v>
      </c>
      <c r="B5" s="36" t="s">
        <v>47</v>
      </c>
      <c r="C5" s="37">
        <v>3</v>
      </c>
      <c r="D5" s="49" t="s">
        <v>41</v>
      </c>
      <c r="E5" s="49">
        <v>1543032000104</v>
      </c>
      <c r="F5" s="49" t="s">
        <v>50</v>
      </c>
      <c r="G5" s="55"/>
      <c r="H5" s="40"/>
      <c r="I5" s="40"/>
      <c r="J5" s="49" t="s">
        <v>51</v>
      </c>
      <c r="K5" s="43">
        <v>1585.03</v>
      </c>
      <c r="L5" s="42"/>
      <c r="M5" s="43">
        <f>K5*12</f>
        <v>19020.36</v>
      </c>
      <c r="N5" s="3">
        <v>83.5</v>
      </c>
      <c r="O5" s="3">
        <v>428.86</v>
      </c>
      <c r="P5" s="9">
        <f>SUM(N5:O5)</f>
        <v>512.36</v>
      </c>
      <c r="Q5" s="45"/>
      <c r="R5" s="51">
        <f>K5-P5</f>
        <v>1072.67</v>
      </c>
      <c r="S5" s="51">
        <f>K5</f>
        <v>1585.03</v>
      </c>
      <c r="T5" s="46">
        <f t="shared" si="0"/>
        <v>2657.7</v>
      </c>
      <c r="V5" s="19">
        <f>SUM(K5:L5)*2</f>
        <v>3170.06</v>
      </c>
      <c r="W5" s="48">
        <f>P5-V5</f>
        <v>-2657.7</v>
      </c>
      <c r="X5" s="48"/>
      <c r="Y5" s="48">
        <f>(SUM(K5:L5)*2)-P5</f>
        <v>2657.7</v>
      </c>
      <c r="Z5" s="48"/>
    </row>
    <row r="6" spans="1:26">
      <c r="A6" s="36" t="s">
        <v>52</v>
      </c>
      <c r="B6" s="60" t="s">
        <v>53</v>
      </c>
      <c r="C6" s="61">
        <v>3</v>
      </c>
      <c r="D6" s="49" t="s">
        <v>54</v>
      </c>
      <c r="E6" s="49" t="s">
        <v>55</v>
      </c>
      <c r="F6" s="38" t="s">
        <v>56</v>
      </c>
      <c r="G6" s="62">
        <v>45882</v>
      </c>
      <c r="H6" s="63" t="str">
        <f t="shared" ref="H6:H35" ca="1" si="1">IF((G6-TODAY())&lt;0,"EXPIRADO", IF((G6-TODAY())&lt;=60,"EM BREVE","NO PRAZO"))</f>
        <v>EXPIRADO</v>
      </c>
      <c r="I6" s="38"/>
      <c r="J6" s="64" t="s">
        <v>57</v>
      </c>
      <c r="K6" s="43">
        <v>60000</v>
      </c>
      <c r="L6" s="42"/>
      <c r="M6" s="43">
        <f>K6*12</f>
        <v>720000</v>
      </c>
      <c r="O6" s="3">
        <v>58853.98</v>
      </c>
      <c r="P6" s="9">
        <f>SUM(O6:O6)</f>
        <v>58853.98</v>
      </c>
      <c r="Q6" s="10"/>
      <c r="R6" s="10">
        <f>K6-P6</f>
        <v>1146.0199999999968</v>
      </c>
      <c r="S6" s="10">
        <f>K6</f>
        <v>60000</v>
      </c>
      <c r="T6" s="46">
        <f t="shared" si="0"/>
        <v>61146.02</v>
      </c>
      <c r="V6" s="19">
        <f>SUM(K6:L6)*2</f>
        <v>120000</v>
      </c>
      <c r="W6" s="48">
        <f>P6-V6</f>
        <v>-61146.02</v>
      </c>
      <c r="X6" s="48" t="e">
        <f>-#REF!-#REF!</f>
        <v>#REF!</v>
      </c>
      <c r="Y6" s="48">
        <f>(SUM(K6:L6)*2)-P6</f>
        <v>61146.02</v>
      </c>
      <c r="Z6" s="48"/>
    </row>
    <row r="7" spans="1:26" ht="30">
      <c r="A7" s="60" t="s">
        <v>62</v>
      </c>
      <c r="B7" s="60" t="s">
        <v>53</v>
      </c>
      <c r="C7" s="61">
        <v>2</v>
      </c>
      <c r="D7" s="71" t="s">
        <v>63</v>
      </c>
      <c r="E7" s="71" t="s">
        <v>64</v>
      </c>
      <c r="F7" s="72" t="s">
        <v>65</v>
      </c>
      <c r="G7" s="73">
        <v>45836</v>
      </c>
      <c r="H7" s="63" t="str">
        <f t="shared" ca="1" si="1"/>
        <v>EXPIRADO</v>
      </c>
      <c r="I7" s="38"/>
      <c r="J7" s="69" t="s">
        <v>66</v>
      </c>
      <c r="K7" s="43"/>
      <c r="L7" s="42">
        <f>M7/12</f>
        <v>369702.92</v>
      </c>
      <c r="M7" s="43">
        <f>4436435.04</f>
        <v>4436435.04</v>
      </c>
      <c r="N7" s="3">
        <v>0</v>
      </c>
      <c r="O7" s="3">
        <v>364226.06</v>
      </c>
      <c r="P7" s="9">
        <f t="shared" ref="P7:P46" si="2">SUM(N7:O7)</f>
        <v>364226.06</v>
      </c>
      <c r="Q7" s="70"/>
      <c r="R7" s="70">
        <f>L7-P7</f>
        <v>5476.859999999986</v>
      </c>
      <c r="S7" s="70">
        <f>L7</f>
        <v>369702.92</v>
      </c>
      <c r="T7" s="46">
        <f t="shared" si="0"/>
        <v>375179.77999999997</v>
      </c>
      <c r="V7" s="19">
        <f>SUM(K7:L7)*2</f>
        <v>739405.84</v>
      </c>
      <c r="W7" s="48">
        <f>P7-V7</f>
        <v>-375179.77999999997</v>
      </c>
      <c r="X7" s="48"/>
      <c r="Y7" s="48">
        <f>(SUM(K7:L7)*2)-P7</f>
        <v>375179.77999999997</v>
      </c>
      <c r="Z7" s="48"/>
    </row>
    <row r="8" spans="1:26" ht="30">
      <c r="A8" s="90" t="s">
        <v>104</v>
      </c>
      <c r="B8" s="86" t="s">
        <v>81</v>
      </c>
      <c r="C8" s="76">
        <v>1</v>
      </c>
      <c r="D8" s="49" t="s">
        <v>33</v>
      </c>
      <c r="E8" s="49" t="s">
        <v>105</v>
      </c>
      <c r="F8" s="81" t="s">
        <v>106</v>
      </c>
      <c r="G8" s="68">
        <v>45721</v>
      </c>
      <c r="H8" s="63" t="str">
        <f t="shared" ca="1" si="1"/>
        <v>EXPIRADO</v>
      </c>
      <c r="I8" s="38" t="s">
        <v>508</v>
      </c>
      <c r="J8" s="81" t="s">
        <v>107</v>
      </c>
      <c r="K8" s="10">
        <v>3870</v>
      </c>
      <c r="L8" s="80"/>
      <c r="M8" s="10">
        <v>48000</v>
      </c>
      <c r="N8" s="91">
        <v>0</v>
      </c>
      <c r="O8" s="3">
        <v>85.6</v>
      </c>
      <c r="P8" s="9">
        <f t="shared" si="2"/>
        <v>85.6</v>
      </c>
      <c r="Q8" s="53"/>
      <c r="R8" s="70">
        <f>K8-P8</f>
        <v>3784.4</v>
      </c>
      <c r="S8" s="43">
        <f>K8</f>
        <v>3870</v>
      </c>
      <c r="T8" s="46">
        <f t="shared" si="0"/>
        <v>7654.4</v>
      </c>
      <c r="V8" s="26">
        <f>SUM(K8:L8)*2</f>
        <v>7740</v>
      </c>
      <c r="W8" s="92"/>
      <c r="X8" s="92"/>
      <c r="Y8" s="48"/>
      <c r="Z8" s="48"/>
    </row>
    <row r="9" spans="1:26">
      <c r="A9" s="89" t="s">
        <v>128</v>
      </c>
      <c r="B9" s="86" t="s">
        <v>509</v>
      </c>
      <c r="C9" s="76">
        <v>2</v>
      </c>
      <c r="D9" s="49" t="s">
        <v>129</v>
      </c>
      <c r="E9" s="49" t="s">
        <v>130</v>
      </c>
      <c r="F9" s="38" t="s">
        <v>131</v>
      </c>
      <c r="G9" s="68">
        <v>45980</v>
      </c>
      <c r="H9" s="63" t="str">
        <f t="shared" ca="1" si="1"/>
        <v>EM BREVE</v>
      </c>
      <c r="I9" s="38"/>
      <c r="J9" s="49" t="s">
        <v>133</v>
      </c>
      <c r="K9" s="10">
        <f>M9/12</f>
        <v>65625.02</v>
      </c>
      <c r="L9" s="80"/>
      <c r="M9" s="10">
        <v>787500.24</v>
      </c>
      <c r="N9" s="3">
        <v>0</v>
      </c>
      <c r="O9" s="3">
        <v>65625.02</v>
      </c>
      <c r="P9" s="9">
        <f t="shared" si="2"/>
        <v>65625.02</v>
      </c>
      <c r="Q9" s="45"/>
      <c r="R9" s="45"/>
      <c r="S9" s="70">
        <f>K9</f>
        <v>65625.02</v>
      </c>
      <c r="T9" s="46">
        <f t="shared" si="0"/>
        <v>65625.02</v>
      </c>
      <c r="V9" s="100"/>
      <c r="W9" s="101"/>
      <c r="X9" s="101"/>
      <c r="Y9" s="48">
        <f t="shared" ref="Y9:Y17" si="3">(SUM(K9:L9)*2)-P9</f>
        <v>65625.02</v>
      </c>
      <c r="Z9" s="48"/>
    </row>
    <row r="10" spans="1:26" ht="30">
      <c r="A10" s="86" t="s">
        <v>134</v>
      </c>
      <c r="B10" s="86" t="s">
        <v>509</v>
      </c>
      <c r="C10" s="76">
        <v>2</v>
      </c>
      <c r="D10" s="49" t="s">
        <v>135</v>
      </c>
      <c r="E10" s="49" t="s">
        <v>136</v>
      </c>
      <c r="F10" s="81" t="s">
        <v>137</v>
      </c>
      <c r="G10" s="68">
        <v>45866</v>
      </c>
      <c r="H10" s="63" t="str">
        <f t="shared" ca="1" si="1"/>
        <v>EXPIRADO</v>
      </c>
      <c r="I10" s="63"/>
      <c r="J10" s="81" t="s">
        <v>138</v>
      </c>
      <c r="K10" s="10">
        <v>298000</v>
      </c>
      <c r="L10" s="80"/>
      <c r="M10" s="10">
        <v>3119907.74</v>
      </c>
      <c r="N10" s="10">
        <v>0</v>
      </c>
      <c r="O10" s="3">
        <v>58661.65</v>
      </c>
      <c r="P10" s="9">
        <f t="shared" si="2"/>
        <v>58661.65</v>
      </c>
      <c r="Q10" s="45"/>
      <c r="R10" s="70">
        <f>K10-O10</f>
        <v>239338.35</v>
      </c>
      <c r="S10" s="70">
        <f>K10</f>
        <v>298000</v>
      </c>
      <c r="T10" s="46">
        <f t="shared" si="0"/>
        <v>537338.35</v>
      </c>
      <c r="V10" s="100">
        <f t="shared" ref="V10:V33" si="4">SUM(K10:L10)*2</f>
        <v>596000</v>
      </c>
      <c r="W10" s="101">
        <f>P10-V10</f>
        <v>-537338.35</v>
      </c>
      <c r="X10" s="101"/>
      <c r="Y10" s="48">
        <f t="shared" si="3"/>
        <v>537338.35</v>
      </c>
      <c r="Z10" s="48"/>
    </row>
    <row r="11" spans="1:26" ht="45">
      <c r="A11" s="86" t="s">
        <v>139</v>
      </c>
      <c r="B11" s="86" t="s">
        <v>509</v>
      </c>
      <c r="C11" s="76">
        <v>2</v>
      </c>
      <c r="D11" s="81" t="s">
        <v>140</v>
      </c>
      <c r="E11" s="81" t="s">
        <v>141</v>
      </c>
      <c r="F11" s="81" t="s">
        <v>142</v>
      </c>
      <c r="G11" s="68">
        <v>45697</v>
      </c>
      <c r="H11" s="63" t="str">
        <f t="shared" ca="1" si="1"/>
        <v>EXPIRADO</v>
      </c>
      <c r="I11" s="38" t="s">
        <v>510</v>
      </c>
      <c r="J11" s="73" t="s">
        <v>143</v>
      </c>
      <c r="K11" s="10">
        <v>105000</v>
      </c>
      <c r="L11" s="80"/>
      <c r="M11" s="10">
        <f>K11*12</f>
        <v>1260000</v>
      </c>
      <c r="N11" s="3">
        <v>196800</v>
      </c>
      <c r="O11" s="3">
        <v>0</v>
      </c>
      <c r="P11" s="9">
        <f t="shared" si="2"/>
        <v>196800</v>
      </c>
      <c r="Q11" s="10"/>
      <c r="R11" s="45"/>
      <c r="S11" s="51">
        <f>105000-91800</f>
        <v>13200</v>
      </c>
      <c r="T11" s="46">
        <f t="shared" si="0"/>
        <v>13200</v>
      </c>
      <c r="V11" s="19">
        <f t="shared" si="4"/>
        <v>210000</v>
      </c>
      <c r="W11" s="48"/>
      <c r="X11" s="48"/>
      <c r="Y11" s="48">
        <f t="shared" si="3"/>
        <v>13200</v>
      </c>
      <c r="Z11" s="48"/>
    </row>
    <row r="12" spans="1:26" ht="30">
      <c r="A12" s="86" t="s">
        <v>167</v>
      </c>
      <c r="B12" s="86" t="s">
        <v>109</v>
      </c>
      <c r="C12" s="76">
        <v>2</v>
      </c>
      <c r="D12" s="49" t="s">
        <v>168</v>
      </c>
      <c r="E12" s="49" t="s">
        <v>169</v>
      </c>
      <c r="F12" s="38" t="s">
        <v>170</v>
      </c>
      <c r="G12" s="111">
        <v>46127</v>
      </c>
      <c r="H12" s="63" t="str">
        <f t="shared" ca="1" si="1"/>
        <v>NO PRAZO</v>
      </c>
      <c r="I12" s="38"/>
      <c r="J12" s="98" t="s">
        <v>171</v>
      </c>
      <c r="K12" s="10"/>
      <c r="L12" s="80">
        <v>13366.39</v>
      </c>
      <c r="M12" s="10">
        <f>L12*12</f>
        <v>160396.68</v>
      </c>
      <c r="N12" s="3">
        <v>0</v>
      </c>
      <c r="O12" s="3">
        <v>587.48</v>
      </c>
      <c r="P12" s="9">
        <f t="shared" si="2"/>
        <v>587.48</v>
      </c>
      <c r="Q12" s="10"/>
      <c r="R12" s="10">
        <f t="shared" ref="R12:R22" si="5">L12-P12</f>
        <v>12778.91</v>
      </c>
      <c r="S12" s="10">
        <f>L12</f>
        <v>13366.39</v>
      </c>
      <c r="T12" s="46">
        <f t="shared" si="0"/>
        <v>26145.3</v>
      </c>
      <c r="V12" s="19">
        <f t="shared" si="4"/>
        <v>26732.78</v>
      </c>
      <c r="W12" s="48">
        <f>P12-V12</f>
        <v>-26145.3</v>
      </c>
      <c r="X12" s="48"/>
      <c r="Y12" s="48">
        <f t="shared" si="3"/>
        <v>26145.3</v>
      </c>
      <c r="Z12" s="48"/>
    </row>
    <row r="13" spans="1:26" ht="45">
      <c r="A13" s="60" t="s">
        <v>172</v>
      </c>
      <c r="B13" s="89" t="s">
        <v>109</v>
      </c>
      <c r="C13" s="93">
        <v>1</v>
      </c>
      <c r="D13" s="94" t="s">
        <v>110</v>
      </c>
      <c r="E13" s="71" t="s">
        <v>173</v>
      </c>
      <c r="F13" s="81" t="s">
        <v>174</v>
      </c>
      <c r="G13" s="68">
        <v>45854</v>
      </c>
      <c r="H13" s="63" t="str">
        <f t="shared" ca="1" si="1"/>
        <v>EXPIRADO</v>
      </c>
      <c r="I13" s="63"/>
      <c r="J13" s="81" t="s">
        <v>175</v>
      </c>
      <c r="K13" s="10"/>
      <c r="L13" s="42">
        <f>M13/12</f>
        <v>22669.34</v>
      </c>
      <c r="M13" s="43">
        <v>272032.08</v>
      </c>
      <c r="N13" s="3">
        <v>21063.29</v>
      </c>
      <c r="O13" s="3">
        <v>1351.12</v>
      </c>
      <c r="P13" s="9">
        <f t="shared" si="2"/>
        <v>22414.41</v>
      </c>
      <c r="Q13" s="45"/>
      <c r="R13" s="10">
        <f t="shared" si="5"/>
        <v>254.93000000000029</v>
      </c>
      <c r="S13" s="10">
        <f>L13</f>
        <v>22669.34</v>
      </c>
      <c r="T13" s="46">
        <f t="shared" si="0"/>
        <v>22924.27</v>
      </c>
      <c r="V13" s="19">
        <f t="shared" si="4"/>
        <v>45338.68</v>
      </c>
      <c r="W13" s="48">
        <f>P13-V13</f>
        <v>-22924.27</v>
      </c>
      <c r="X13" s="48"/>
      <c r="Y13" s="48">
        <f t="shared" si="3"/>
        <v>22924.27</v>
      </c>
      <c r="Z13" s="48"/>
    </row>
    <row r="14" spans="1:26">
      <c r="A14" s="75" t="s">
        <v>176</v>
      </c>
      <c r="B14" s="89" t="s">
        <v>109</v>
      </c>
      <c r="C14" s="93">
        <v>1</v>
      </c>
      <c r="D14" s="114" t="s">
        <v>177</v>
      </c>
      <c r="E14" s="49" t="s">
        <v>178</v>
      </c>
      <c r="F14" s="81" t="s">
        <v>179</v>
      </c>
      <c r="G14" s="68">
        <v>45766</v>
      </c>
      <c r="H14" s="63" t="str">
        <f t="shared" ca="1" si="1"/>
        <v>EXPIRADO</v>
      </c>
      <c r="I14" s="63"/>
      <c r="J14" s="81" t="s">
        <v>180</v>
      </c>
      <c r="K14" s="10"/>
      <c r="L14" s="80">
        <f>M14/12</f>
        <v>23238.880000000001</v>
      </c>
      <c r="M14" s="10">
        <v>278866.56</v>
      </c>
      <c r="N14" s="3">
        <v>0</v>
      </c>
      <c r="O14" s="3">
        <v>2308.96</v>
      </c>
      <c r="P14" s="9">
        <f t="shared" si="2"/>
        <v>2308.96</v>
      </c>
      <c r="Q14" s="45"/>
      <c r="R14" s="10">
        <f t="shared" si="5"/>
        <v>20929.920000000002</v>
      </c>
      <c r="S14" s="10">
        <f>L14</f>
        <v>23238.880000000001</v>
      </c>
      <c r="T14" s="46">
        <f t="shared" si="0"/>
        <v>44168.800000000003</v>
      </c>
      <c r="V14" s="19">
        <f t="shared" si="4"/>
        <v>46477.760000000002</v>
      </c>
      <c r="W14" s="48">
        <f>P14-V14</f>
        <v>-44168.800000000003</v>
      </c>
      <c r="X14" s="48"/>
      <c r="Y14" s="48">
        <f t="shared" si="3"/>
        <v>44168.800000000003</v>
      </c>
      <c r="Z14" s="48"/>
    </row>
    <row r="15" spans="1:26" ht="75">
      <c r="A15" s="86" t="s">
        <v>181</v>
      </c>
      <c r="B15" s="89" t="s">
        <v>109</v>
      </c>
      <c r="C15" s="93">
        <v>1</v>
      </c>
      <c r="D15" s="114" t="s">
        <v>182</v>
      </c>
      <c r="E15" s="49" t="s">
        <v>472</v>
      </c>
      <c r="F15" s="81" t="s">
        <v>183</v>
      </c>
      <c r="G15" s="68">
        <v>45929</v>
      </c>
      <c r="H15" s="63" t="str">
        <f t="shared" ca="1" si="1"/>
        <v>EXPIRADO</v>
      </c>
      <c r="I15" s="38" t="s">
        <v>473</v>
      </c>
      <c r="J15" s="81" t="s">
        <v>185</v>
      </c>
      <c r="K15" s="10"/>
      <c r="L15" s="80">
        <v>131667.49</v>
      </c>
      <c r="M15" s="10">
        <f t="shared" ref="M15:M22" si="6">L15*12</f>
        <v>1580009.88</v>
      </c>
      <c r="N15" s="3">
        <v>0</v>
      </c>
      <c r="O15" s="3">
        <v>13210.55</v>
      </c>
      <c r="P15" s="9">
        <f t="shared" si="2"/>
        <v>13210.55</v>
      </c>
      <c r="Q15" s="45"/>
      <c r="R15" s="10">
        <f t="shared" si="5"/>
        <v>118456.93999999999</v>
      </c>
      <c r="S15" s="65"/>
      <c r="T15" s="46">
        <f t="shared" si="0"/>
        <v>118456.93999999999</v>
      </c>
      <c r="V15" s="19">
        <f t="shared" si="4"/>
        <v>263334.98</v>
      </c>
      <c r="W15" s="48">
        <f>P15-V15</f>
        <v>-250124.43</v>
      </c>
      <c r="X15" s="48"/>
      <c r="Y15" s="48">
        <f t="shared" si="3"/>
        <v>250124.43</v>
      </c>
      <c r="Z15" s="48"/>
    </row>
    <row r="16" spans="1:26" ht="45">
      <c r="A16" s="86" t="s">
        <v>190</v>
      </c>
      <c r="B16" s="89" t="s">
        <v>109</v>
      </c>
      <c r="C16" s="93">
        <v>1</v>
      </c>
      <c r="D16" s="114" t="s">
        <v>191</v>
      </c>
      <c r="E16" s="49" t="s">
        <v>192</v>
      </c>
      <c r="F16" s="81" t="s">
        <v>193</v>
      </c>
      <c r="G16" s="68">
        <v>45745</v>
      </c>
      <c r="H16" s="63" t="str">
        <f t="shared" ca="1" si="1"/>
        <v>EXPIRADO</v>
      </c>
      <c r="I16" s="38" t="s">
        <v>510</v>
      </c>
      <c r="J16" s="81" t="s">
        <v>194</v>
      </c>
      <c r="K16" s="10"/>
      <c r="L16" s="80">
        <v>174973.01</v>
      </c>
      <c r="M16" s="10">
        <f t="shared" si="6"/>
        <v>2099676.12</v>
      </c>
      <c r="N16" s="3">
        <v>0</v>
      </c>
      <c r="O16" s="3">
        <v>16783.25</v>
      </c>
      <c r="P16" s="9">
        <f t="shared" si="2"/>
        <v>16783.25</v>
      </c>
      <c r="Q16" s="45"/>
      <c r="R16" s="10">
        <f t="shared" si="5"/>
        <v>158189.76000000001</v>
      </c>
      <c r="S16" s="65"/>
      <c r="T16" s="46">
        <f t="shared" si="0"/>
        <v>158189.76000000001</v>
      </c>
      <c r="V16" s="19">
        <f t="shared" si="4"/>
        <v>349946.02</v>
      </c>
      <c r="W16" s="48">
        <f>P16-V16</f>
        <v>-333162.77</v>
      </c>
      <c r="X16" s="48"/>
      <c r="Y16" s="48">
        <f t="shared" si="3"/>
        <v>333162.77</v>
      </c>
      <c r="Z16" s="48"/>
    </row>
    <row r="17" spans="1:26" ht="30">
      <c r="A17" s="89" t="s">
        <v>198</v>
      </c>
      <c r="B17" s="86" t="s">
        <v>109</v>
      </c>
      <c r="C17" s="76">
        <v>1</v>
      </c>
      <c r="D17" s="67" t="s">
        <v>199</v>
      </c>
      <c r="E17" s="67" t="s">
        <v>200</v>
      </c>
      <c r="F17" s="81" t="s">
        <v>201</v>
      </c>
      <c r="G17" s="111">
        <v>45902</v>
      </c>
      <c r="H17" s="63" t="str">
        <f t="shared" ca="1" si="1"/>
        <v>EXPIRADO</v>
      </c>
      <c r="I17" s="38"/>
      <c r="J17" s="81" t="s">
        <v>202</v>
      </c>
      <c r="K17" s="10"/>
      <c r="L17" s="80">
        <v>106498.93</v>
      </c>
      <c r="M17" s="10">
        <f t="shared" si="6"/>
        <v>1277987.1599999999</v>
      </c>
      <c r="N17" s="10">
        <v>0</v>
      </c>
      <c r="O17" s="3">
        <v>11120.94</v>
      </c>
      <c r="P17" s="9">
        <f t="shared" si="2"/>
        <v>11120.94</v>
      </c>
      <c r="Q17" s="45"/>
      <c r="R17" s="10">
        <f t="shared" si="5"/>
        <v>95377.989999999991</v>
      </c>
      <c r="S17" s="10">
        <f>L17</f>
        <v>106498.93</v>
      </c>
      <c r="T17" s="46">
        <f t="shared" si="0"/>
        <v>201876.91999999998</v>
      </c>
      <c r="V17" s="19">
        <f t="shared" si="4"/>
        <v>212997.86</v>
      </c>
      <c r="W17" s="48"/>
      <c r="X17" s="48">
        <v>-212997.86</v>
      </c>
      <c r="Y17" s="48">
        <f t="shared" si="3"/>
        <v>201876.91999999998</v>
      </c>
      <c r="Z17" s="48"/>
    </row>
    <row r="18" spans="1:26">
      <c r="A18" s="75" t="s">
        <v>203</v>
      </c>
      <c r="B18" s="89" t="s">
        <v>109</v>
      </c>
      <c r="C18" s="93">
        <v>1</v>
      </c>
      <c r="D18" s="94" t="s">
        <v>204</v>
      </c>
      <c r="E18" s="71">
        <v>69207850000161</v>
      </c>
      <c r="F18" s="81" t="s">
        <v>206</v>
      </c>
      <c r="G18" s="68">
        <v>45792</v>
      </c>
      <c r="H18" s="63" t="str">
        <f t="shared" ca="1" si="1"/>
        <v>EXPIRADO</v>
      </c>
      <c r="I18" s="63"/>
      <c r="J18" s="81" t="s">
        <v>207</v>
      </c>
      <c r="K18" s="10"/>
      <c r="L18" s="115">
        <v>1775910.36</v>
      </c>
      <c r="M18" s="10">
        <f t="shared" si="6"/>
        <v>21310924.32</v>
      </c>
      <c r="N18" s="3">
        <v>0</v>
      </c>
      <c r="O18" s="116">
        <v>1652140.17</v>
      </c>
      <c r="P18" s="9">
        <f t="shared" si="2"/>
        <v>1652140.17</v>
      </c>
      <c r="Q18" s="45"/>
      <c r="R18" s="10">
        <f t="shared" si="5"/>
        <v>123770.19000000018</v>
      </c>
      <c r="S18" s="10">
        <f>L18</f>
        <v>1775910.36</v>
      </c>
      <c r="T18" s="46">
        <f t="shared" si="0"/>
        <v>1899680.5500000003</v>
      </c>
      <c r="V18" s="19">
        <f t="shared" si="4"/>
        <v>3551820.72</v>
      </c>
      <c r="W18" s="48"/>
      <c r="X18" s="48">
        <f>P18-V18</f>
        <v>-1899680.5500000003</v>
      </c>
      <c r="Y18" s="48"/>
      <c r="Z18" s="48"/>
    </row>
    <row r="19" spans="1:26" ht="45">
      <c r="A19" s="86" t="s">
        <v>208</v>
      </c>
      <c r="B19" s="89" t="s">
        <v>109</v>
      </c>
      <c r="C19" s="93">
        <v>1</v>
      </c>
      <c r="D19" s="94" t="s">
        <v>209</v>
      </c>
      <c r="E19" s="71" t="s">
        <v>210</v>
      </c>
      <c r="F19" s="81" t="s">
        <v>211</v>
      </c>
      <c r="G19" s="68">
        <v>46097</v>
      </c>
      <c r="H19" s="63" t="str">
        <f t="shared" ca="1" si="1"/>
        <v>NO PRAZO</v>
      </c>
      <c r="I19" s="38" t="s">
        <v>477</v>
      </c>
      <c r="J19" s="81" t="s">
        <v>212</v>
      </c>
      <c r="K19" s="10"/>
      <c r="L19" s="80">
        <v>1617878.59</v>
      </c>
      <c r="M19" s="43">
        <f t="shared" si="6"/>
        <v>19414543.080000002</v>
      </c>
      <c r="N19" s="3">
        <v>0</v>
      </c>
      <c r="O19" s="117">
        <v>146479.43</v>
      </c>
      <c r="P19" s="9">
        <f t="shared" si="2"/>
        <v>146479.43</v>
      </c>
      <c r="Q19" s="45"/>
      <c r="R19" s="10">
        <f t="shared" si="5"/>
        <v>1471399.1600000001</v>
      </c>
      <c r="S19" s="65"/>
      <c r="T19" s="46">
        <f t="shared" si="0"/>
        <v>1471399.1600000001</v>
      </c>
      <c r="V19" s="19">
        <f t="shared" si="4"/>
        <v>3235757.18</v>
      </c>
      <c r="W19" s="48"/>
      <c r="X19" s="48">
        <f>P19-V19</f>
        <v>-3089277.75</v>
      </c>
      <c r="Y19" s="48">
        <f t="shared" ref="Y19:Y24" si="7">(SUM(K19:L19)*2)-P19</f>
        <v>3089277.75</v>
      </c>
      <c r="Z19" s="48"/>
    </row>
    <row r="20" spans="1:26" ht="45">
      <c r="A20" s="75" t="s">
        <v>213</v>
      </c>
      <c r="B20" s="89" t="s">
        <v>109</v>
      </c>
      <c r="C20" s="93">
        <v>1</v>
      </c>
      <c r="D20" s="94" t="s">
        <v>214</v>
      </c>
      <c r="E20" s="71" t="s">
        <v>215</v>
      </c>
      <c r="F20" s="81" t="s">
        <v>216</v>
      </c>
      <c r="G20" s="68">
        <v>46020</v>
      </c>
      <c r="H20" s="63" t="str">
        <f t="shared" ca="1" si="1"/>
        <v>EM BREVE</v>
      </c>
      <c r="I20" s="63"/>
      <c r="J20" s="81" t="s">
        <v>217</v>
      </c>
      <c r="K20" s="10"/>
      <c r="L20" s="80">
        <f>1205875.51+32423.44</f>
        <v>1238298.95</v>
      </c>
      <c r="M20" s="43">
        <f t="shared" si="6"/>
        <v>14859587.399999999</v>
      </c>
      <c r="N20" s="3">
        <v>0</v>
      </c>
      <c r="O20" s="3">
        <v>114990.38</v>
      </c>
      <c r="P20" s="9">
        <f t="shared" si="2"/>
        <v>114990.38</v>
      </c>
      <c r="Q20" s="45"/>
      <c r="R20" s="10">
        <f t="shared" si="5"/>
        <v>1123308.5699999998</v>
      </c>
      <c r="S20" s="10">
        <f>L20</f>
        <v>1238298.95</v>
      </c>
      <c r="T20" s="46">
        <f t="shared" si="0"/>
        <v>2361607.5199999996</v>
      </c>
      <c r="V20" s="19">
        <f t="shared" si="4"/>
        <v>2476597.9</v>
      </c>
      <c r="W20" s="48"/>
      <c r="X20" s="48">
        <f>P20-V20</f>
        <v>-2361607.52</v>
      </c>
      <c r="Y20" s="48">
        <f t="shared" si="7"/>
        <v>2361607.52</v>
      </c>
      <c r="Z20" s="48"/>
    </row>
    <row r="21" spans="1:26" ht="30">
      <c r="A21" s="75" t="s">
        <v>218</v>
      </c>
      <c r="B21" s="89" t="s">
        <v>109</v>
      </c>
      <c r="C21" s="93">
        <v>1</v>
      </c>
      <c r="D21" s="94" t="s">
        <v>219</v>
      </c>
      <c r="E21" s="71" t="s">
        <v>215</v>
      </c>
      <c r="F21" s="81" t="s">
        <v>220</v>
      </c>
      <c r="G21" s="68">
        <v>46166</v>
      </c>
      <c r="H21" s="63" t="str">
        <f t="shared" ca="1" si="1"/>
        <v>NO PRAZO</v>
      </c>
      <c r="I21" s="38"/>
      <c r="J21" s="81" t="s">
        <v>221</v>
      </c>
      <c r="K21" s="118"/>
      <c r="L21" s="42">
        <v>190000</v>
      </c>
      <c r="M21" s="43">
        <f t="shared" si="6"/>
        <v>2280000</v>
      </c>
      <c r="N21" s="3">
        <v>0</v>
      </c>
      <c r="O21" s="3">
        <v>30680.15</v>
      </c>
      <c r="P21" s="9">
        <f t="shared" si="2"/>
        <v>30680.15</v>
      </c>
      <c r="Q21" s="45"/>
      <c r="R21" s="10">
        <f t="shared" si="5"/>
        <v>159319.85</v>
      </c>
      <c r="S21" s="10">
        <f>L21</f>
        <v>190000</v>
      </c>
      <c r="T21" s="46">
        <f t="shared" si="0"/>
        <v>349319.85</v>
      </c>
      <c r="V21" s="19">
        <f t="shared" si="4"/>
        <v>380000</v>
      </c>
      <c r="W21" s="48">
        <f>P21-V21</f>
        <v>-349319.85</v>
      </c>
      <c r="X21" s="48"/>
      <c r="Y21" s="48">
        <f t="shared" si="7"/>
        <v>349319.85</v>
      </c>
      <c r="Z21" s="48"/>
    </row>
    <row r="22" spans="1:26" ht="30">
      <c r="A22" s="86" t="s">
        <v>222</v>
      </c>
      <c r="B22" s="89" t="s">
        <v>109</v>
      </c>
      <c r="C22" s="93">
        <v>1</v>
      </c>
      <c r="D22" s="119" t="s">
        <v>223</v>
      </c>
      <c r="E22" s="71" t="s">
        <v>224</v>
      </c>
      <c r="F22" s="81" t="s">
        <v>511</v>
      </c>
      <c r="G22" s="68">
        <v>45803</v>
      </c>
      <c r="H22" s="63" t="str">
        <f t="shared" ca="1" si="1"/>
        <v>EXPIRADO</v>
      </c>
      <c r="I22" s="63"/>
      <c r="J22" s="81" t="s">
        <v>512</v>
      </c>
      <c r="K22" s="10"/>
      <c r="L22" s="80">
        <f>152221.16</f>
        <v>152221.16</v>
      </c>
      <c r="M22" s="10">
        <f t="shared" si="6"/>
        <v>1826653.92</v>
      </c>
      <c r="N22" s="3">
        <v>0</v>
      </c>
      <c r="O22" s="3">
        <v>15222.12</v>
      </c>
      <c r="P22" s="9">
        <f t="shared" si="2"/>
        <v>15222.12</v>
      </c>
      <c r="Q22" s="45"/>
      <c r="R22" s="10">
        <f t="shared" si="5"/>
        <v>136999.04000000001</v>
      </c>
      <c r="S22" s="10">
        <f>L22</f>
        <v>152221.16</v>
      </c>
      <c r="T22" s="46">
        <f t="shared" si="0"/>
        <v>289220.2</v>
      </c>
      <c r="U22" s="47"/>
      <c r="V22" s="19">
        <f t="shared" si="4"/>
        <v>304442.32</v>
      </c>
      <c r="W22" s="48">
        <f>P22-V22</f>
        <v>-289220.2</v>
      </c>
      <c r="X22" s="48"/>
      <c r="Y22" s="48">
        <f t="shared" si="7"/>
        <v>289220.2</v>
      </c>
      <c r="Z22" s="48"/>
    </row>
    <row r="23" spans="1:26" ht="45">
      <c r="A23" s="75" t="s">
        <v>478</v>
      </c>
      <c r="B23" s="89" t="s">
        <v>109</v>
      </c>
      <c r="C23" s="93">
        <v>2</v>
      </c>
      <c r="D23" s="94" t="s">
        <v>228</v>
      </c>
      <c r="E23" s="71" t="s">
        <v>229</v>
      </c>
      <c r="F23" s="81" t="s">
        <v>230</v>
      </c>
      <c r="G23" s="68">
        <v>46114</v>
      </c>
      <c r="H23" s="63" t="str">
        <f t="shared" ca="1" si="1"/>
        <v>NO PRAZO</v>
      </c>
      <c r="I23" s="38"/>
      <c r="J23" s="81" t="s">
        <v>231</v>
      </c>
      <c r="K23" s="10">
        <v>1600000</v>
      </c>
      <c r="L23" s="42"/>
      <c r="M23" s="43">
        <f>K23*12</f>
        <v>19200000</v>
      </c>
      <c r="N23" s="3">
        <v>0</v>
      </c>
      <c r="O23" s="3">
        <v>3069602.76</v>
      </c>
      <c r="P23" s="9">
        <f t="shared" si="2"/>
        <v>3069602.76</v>
      </c>
      <c r="Q23" s="45"/>
      <c r="R23" s="45"/>
      <c r="S23" s="45"/>
      <c r="T23" s="46">
        <f t="shared" si="0"/>
        <v>0</v>
      </c>
      <c r="V23" s="19">
        <f t="shared" si="4"/>
        <v>3200000</v>
      </c>
      <c r="W23" s="48"/>
      <c r="X23" s="48">
        <v>-419070</v>
      </c>
      <c r="Y23" s="48">
        <f t="shared" si="7"/>
        <v>130397.24000000022</v>
      </c>
      <c r="Z23" s="48"/>
    </row>
    <row r="24" spans="1:26">
      <c r="A24" s="75" t="s">
        <v>232</v>
      </c>
      <c r="B24" s="89" t="s">
        <v>109</v>
      </c>
      <c r="C24" s="93">
        <v>2</v>
      </c>
      <c r="D24" s="94" t="s">
        <v>233</v>
      </c>
      <c r="E24" s="71" t="s">
        <v>229</v>
      </c>
      <c r="F24" s="81" t="s">
        <v>234</v>
      </c>
      <c r="G24" s="68">
        <v>46022</v>
      </c>
      <c r="H24" s="63" t="str">
        <f t="shared" ca="1" si="1"/>
        <v>EM BREVE</v>
      </c>
      <c r="I24" s="38" t="s">
        <v>236</v>
      </c>
      <c r="J24" s="81"/>
      <c r="K24" s="10">
        <f>M24/12</f>
        <v>1924342.125</v>
      </c>
      <c r="L24" s="42"/>
      <c r="M24" s="43">
        <f>8383552.34+14708553.16</f>
        <v>23092105.5</v>
      </c>
      <c r="N24" s="10">
        <v>0</v>
      </c>
      <c r="O24" s="3">
        <v>1924342.12</v>
      </c>
      <c r="P24" s="9">
        <f t="shared" si="2"/>
        <v>1924342.12</v>
      </c>
      <c r="Q24" s="45"/>
      <c r="R24" s="45"/>
      <c r="S24" s="10">
        <f>K24</f>
        <v>1924342.125</v>
      </c>
      <c r="T24" s="46">
        <f t="shared" si="0"/>
        <v>1924342.125</v>
      </c>
      <c r="V24" s="19">
        <f t="shared" si="4"/>
        <v>3848684.25</v>
      </c>
      <c r="W24" s="48"/>
      <c r="X24" s="48">
        <f>-T24</f>
        <v>-1924342.125</v>
      </c>
      <c r="Y24" s="48">
        <f t="shared" si="7"/>
        <v>1924342.13</v>
      </c>
      <c r="Z24" s="48"/>
    </row>
    <row r="25" spans="1:26" ht="45">
      <c r="A25" s="75" t="s">
        <v>479</v>
      </c>
      <c r="B25" s="89" t="s">
        <v>109</v>
      </c>
      <c r="C25" s="93">
        <v>2</v>
      </c>
      <c r="D25" s="94" t="s">
        <v>228</v>
      </c>
      <c r="E25" s="71" t="s">
        <v>238</v>
      </c>
      <c r="F25" s="81" t="s">
        <v>239</v>
      </c>
      <c r="G25" s="68">
        <v>46146</v>
      </c>
      <c r="H25" s="63" t="str">
        <f t="shared" ca="1" si="1"/>
        <v>NO PRAZO</v>
      </c>
      <c r="I25" s="38"/>
      <c r="J25" s="81" t="s">
        <v>240</v>
      </c>
      <c r="K25" s="10">
        <v>145000</v>
      </c>
      <c r="L25" s="42"/>
      <c r="M25" s="43">
        <f>K25*12</f>
        <v>1740000</v>
      </c>
      <c r="N25" s="3">
        <v>0</v>
      </c>
      <c r="O25" s="3">
        <v>199703.63</v>
      </c>
      <c r="P25" s="9">
        <f t="shared" si="2"/>
        <v>199703.63</v>
      </c>
      <c r="Q25" s="45"/>
      <c r="R25" s="45"/>
      <c r="S25" s="10">
        <f>145000-54703.63</f>
        <v>90296.37</v>
      </c>
      <c r="T25" s="46">
        <f t="shared" si="0"/>
        <v>90296.37</v>
      </c>
      <c r="V25" s="19">
        <f t="shared" si="4"/>
        <v>290000</v>
      </c>
      <c r="W25" s="48">
        <f>P25-V25</f>
        <v>-90296.37</v>
      </c>
      <c r="X25" s="48"/>
      <c r="Y25" s="48"/>
      <c r="Z25" s="48"/>
    </row>
    <row r="26" spans="1:26" ht="45">
      <c r="A26" s="86" t="s">
        <v>241</v>
      </c>
      <c r="B26" s="89" t="s">
        <v>109</v>
      </c>
      <c r="C26" s="93">
        <v>1</v>
      </c>
      <c r="D26" s="71" t="s">
        <v>242</v>
      </c>
      <c r="E26" s="71" t="s">
        <v>243</v>
      </c>
      <c r="F26" s="81" t="s">
        <v>244</v>
      </c>
      <c r="G26" s="68">
        <v>46097</v>
      </c>
      <c r="H26" s="63" t="str">
        <f t="shared" ca="1" si="1"/>
        <v>NO PRAZO</v>
      </c>
      <c r="I26" s="38" t="s">
        <v>480</v>
      </c>
      <c r="J26" s="81" t="s">
        <v>245</v>
      </c>
      <c r="K26" s="10"/>
      <c r="L26" s="42">
        <v>458615.91</v>
      </c>
      <c r="M26" s="43">
        <f>L26*12</f>
        <v>5503390.9199999999</v>
      </c>
      <c r="N26" s="3">
        <v>0</v>
      </c>
      <c r="O26" s="3">
        <v>45809.43</v>
      </c>
      <c r="P26" s="9">
        <f t="shared" si="2"/>
        <v>45809.43</v>
      </c>
      <c r="Q26" s="45"/>
      <c r="R26" s="10">
        <f>L26-P26</f>
        <v>412806.48</v>
      </c>
      <c r="S26" s="43">
        <f>L26</f>
        <v>458615.91</v>
      </c>
      <c r="T26" s="46">
        <f t="shared" si="0"/>
        <v>871422.3899999999</v>
      </c>
      <c r="V26" s="19">
        <f t="shared" si="4"/>
        <v>917231.82</v>
      </c>
      <c r="W26" s="48">
        <f>P26-V26</f>
        <v>-871422.3899999999</v>
      </c>
      <c r="X26" s="48"/>
      <c r="Y26" s="48">
        <f>(SUM(K26:L26)*2)-P26</f>
        <v>871422.3899999999</v>
      </c>
      <c r="Z26" s="48"/>
    </row>
    <row r="27" spans="1:26">
      <c r="A27" s="86" t="s">
        <v>246</v>
      </c>
      <c r="B27" s="86" t="s">
        <v>109</v>
      </c>
      <c r="C27" s="76">
        <v>2</v>
      </c>
      <c r="D27" s="38" t="s">
        <v>247</v>
      </c>
      <c r="E27" s="38" t="s">
        <v>248</v>
      </c>
      <c r="F27" s="38" t="s">
        <v>249</v>
      </c>
      <c r="G27" s="68">
        <v>45901</v>
      </c>
      <c r="H27" s="63" t="str">
        <f t="shared" ca="1" si="1"/>
        <v>EXPIRADO</v>
      </c>
      <c r="I27" s="38"/>
      <c r="J27" s="98" t="s">
        <v>250</v>
      </c>
      <c r="K27" s="10">
        <v>100</v>
      </c>
      <c r="L27" s="80"/>
      <c r="M27" s="10">
        <f>K27*12</f>
        <v>1200</v>
      </c>
      <c r="N27" s="3">
        <v>0</v>
      </c>
      <c r="O27" s="3">
        <v>0</v>
      </c>
      <c r="P27" s="9">
        <f t="shared" si="2"/>
        <v>0</v>
      </c>
      <c r="Q27" s="10"/>
      <c r="R27" s="10">
        <f>K27</f>
        <v>100</v>
      </c>
      <c r="S27" s="10">
        <f>K27</f>
        <v>100</v>
      </c>
      <c r="T27" s="46">
        <f t="shared" si="0"/>
        <v>200</v>
      </c>
      <c r="V27" s="19">
        <f t="shared" si="4"/>
        <v>200</v>
      </c>
      <c r="W27" s="48"/>
      <c r="X27" s="48"/>
      <c r="Y27" s="48">
        <f>(SUM(K27:L27)*2)-P27</f>
        <v>200</v>
      </c>
      <c r="Z27" s="48"/>
    </row>
    <row r="28" spans="1:26" ht="45">
      <c r="A28" s="86" t="s">
        <v>254</v>
      </c>
      <c r="B28" s="123" t="s">
        <v>47</v>
      </c>
      <c r="C28" s="124">
        <v>1</v>
      </c>
      <c r="D28" s="71" t="s">
        <v>255</v>
      </c>
      <c r="E28" s="71" t="s">
        <v>256</v>
      </c>
      <c r="F28" s="81" t="s">
        <v>257</v>
      </c>
      <c r="G28" s="68">
        <v>45889</v>
      </c>
      <c r="H28" s="63" t="str">
        <f t="shared" ca="1" si="1"/>
        <v>EXPIRADO</v>
      </c>
      <c r="I28" s="38"/>
      <c r="J28" s="81" t="s">
        <v>258</v>
      </c>
      <c r="K28" s="10"/>
      <c r="L28" s="80">
        <f>M28/12</f>
        <v>5331.32</v>
      </c>
      <c r="M28" s="10">
        <v>63975.839999999997</v>
      </c>
      <c r="N28" s="3">
        <v>0</v>
      </c>
      <c r="O28" s="3">
        <v>6140.73</v>
      </c>
      <c r="P28" s="9">
        <f t="shared" si="2"/>
        <v>6140.73</v>
      </c>
      <c r="Q28" s="45"/>
      <c r="R28" s="45"/>
      <c r="S28" s="10">
        <f>L28*2-P28</f>
        <v>4521.91</v>
      </c>
      <c r="T28" s="46">
        <f t="shared" si="0"/>
        <v>4521.91</v>
      </c>
      <c r="V28" s="19">
        <f t="shared" si="4"/>
        <v>10662.64</v>
      </c>
      <c r="W28" s="48"/>
      <c r="X28" s="48">
        <v>-643.349999999999</v>
      </c>
      <c r="Y28" s="48">
        <f>(SUM(K28:L28)*2)-P28</f>
        <v>4521.91</v>
      </c>
      <c r="Z28" s="48"/>
    </row>
    <row r="29" spans="1:26">
      <c r="A29" s="90" t="s">
        <v>259</v>
      </c>
      <c r="B29" s="123" t="s">
        <v>47</v>
      </c>
      <c r="C29" s="124">
        <v>1</v>
      </c>
      <c r="D29" s="94" t="s">
        <v>209</v>
      </c>
      <c r="E29" s="71" t="s">
        <v>260</v>
      </c>
      <c r="F29" s="81" t="s">
        <v>261</v>
      </c>
      <c r="G29" s="68">
        <v>45938</v>
      </c>
      <c r="H29" s="63" t="str">
        <f t="shared" ca="1" si="1"/>
        <v>EXPIRADO</v>
      </c>
      <c r="I29" s="38"/>
      <c r="J29" s="81" t="s">
        <v>262</v>
      </c>
      <c r="K29" s="10"/>
      <c r="L29" s="80">
        <v>23452.22</v>
      </c>
      <c r="M29" s="10">
        <f>L29*12</f>
        <v>281426.64</v>
      </c>
      <c r="N29" s="125">
        <v>0</v>
      </c>
      <c r="O29" s="3">
        <v>2345.2199999999998</v>
      </c>
      <c r="P29" s="9">
        <f t="shared" si="2"/>
        <v>2345.2199999999998</v>
      </c>
      <c r="Q29" s="53"/>
      <c r="R29" s="10">
        <f>L29-O29</f>
        <v>21107</v>
      </c>
      <c r="S29" s="10">
        <f>L29</f>
        <v>23452.22</v>
      </c>
      <c r="T29" s="46">
        <f t="shared" si="0"/>
        <v>44559.22</v>
      </c>
      <c r="V29" s="19">
        <f t="shared" si="4"/>
        <v>46904.44</v>
      </c>
      <c r="W29" s="48"/>
      <c r="X29" s="48">
        <v>-46904.36</v>
      </c>
      <c r="Y29" s="48">
        <f>(SUM(K29:L29)*2)-P29</f>
        <v>44559.22</v>
      </c>
      <c r="Z29" s="48"/>
    </row>
    <row r="30" spans="1:26" ht="30">
      <c r="A30" s="86" t="s">
        <v>263</v>
      </c>
      <c r="B30" s="123" t="s">
        <v>47</v>
      </c>
      <c r="C30" s="124">
        <v>2</v>
      </c>
      <c r="D30" s="71" t="s">
        <v>135</v>
      </c>
      <c r="E30" s="71" t="s">
        <v>264</v>
      </c>
      <c r="F30" s="81" t="s">
        <v>265</v>
      </c>
      <c r="G30" s="68">
        <v>45944</v>
      </c>
      <c r="H30" s="63" t="str">
        <f t="shared" ca="1" si="1"/>
        <v>EXPIRADO</v>
      </c>
      <c r="I30" s="38"/>
      <c r="J30" s="81" t="s">
        <v>266</v>
      </c>
      <c r="K30" s="10">
        <f>M30/12</f>
        <v>3945.9274999999998</v>
      </c>
      <c r="L30" s="42"/>
      <c r="M30" s="43">
        <v>47351.13</v>
      </c>
      <c r="N30" s="125">
        <v>0</v>
      </c>
      <c r="O30" s="3">
        <v>0</v>
      </c>
      <c r="P30" s="9">
        <f t="shared" si="2"/>
        <v>0</v>
      </c>
      <c r="Q30" s="53"/>
      <c r="R30" s="10">
        <f>K30</f>
        <v>3945.9274999999998</v>
      </c>
      <c r="S30" s="10">
        <f>K30</f>
        <v>3945.9274999999998</v>
      </c>
      <c r="T30" s="46">
        <f t="shared" si="0"/>
        <v>7891.8549999999996</v>
      </c>
      <c r="V30" s="19">
        <f t="shared" si="4"/>
        <v>7891.8549999999996</v>
      </c>
      <c r="W30" s="48"/>
      <c r="X30" s="48" t="e">
        <f>-#REF!*2</f>
        <v>#REF!</v>
      </c>
      <c r="Y30" s="48"/>
      <c r="Z30" s="48"/>
    </row>
    <row r="31" spans="1:26">
      <c r="A31" s="86" t="s">
        <v>267</v>
      </c>
      <c r="B31" s="123" t="s">
        <v>47</v>
      </c>
      <c r="C31" s="124">
        <v>1</v>
      </c>
      <c r="D31" s="71" t="s">
        <v>223</v>
      </c>
      <c r="E31" s="71" t="s">
        <v>268</v>
      </c>
      <c r="F31" s="81" t="s">
        <v>269</v>
      </c>
      <c r="G31" s="68">
        <v>46068</v>
      </c>
      <c r="H31" s="63" t="str">
        <f t="shared" ca="1" si="1"/>
        <v>NO PRAZO</v>
      </c>
      <c r="I31" s="38"/>
      <c r="J31" s="81" t="s">
        <v>271</v>
      </c>
      <c r="K31" s="10"/>
      <c r="L31" s="42">
        <f>M31/12</f>
        <v>4290.91</v>
      </c>
      <c r="M31" s="43">
        <v>51490.92</v>
      </c>
      <c r="N31" s="3">
        <v>0</v>
      </c>
      <c r="O31" s="3">
        <v>0</v>
      </c>
      <c r="P31" s="9">
        <f t="shared" si="2"/>
        <v>0</v>
      </c>
      <c r="Q31" s="53"/>
      <c r="R31" s="10">
        <f>L31</f>
        <v>4290.91</v>
      </c>
      <c r="S31" s="10">
        <f>L31</f>
        <v>4290.91</v>
      </c>
      <c r="T31" s="46">
        <f t="shared" si="0"/>
        <v>8581.82</v>
      </c>
      <c r="V31" s="19">
        <f t="shared" si="4"/>
        <v>8581.82</v>
      </c>
      <c r="W31" s="48">
        <f t="shared" ref="W31:W38" si="8">P31-V31</f>
        <v>-8581.82</v>
      </c>
      <c r="X31" s="48"/>
      <c r="Y31" s="48">
        <f t="shared" ref="Y31:Y36" si="9">(SUM(K31:L31)*2)-P31</f>
        <v>8581.82</v>
      </c>
      <c r="Z31" s="48"/>
    </row>
    <row r="32" spans="1:26">
      <c r="A32" s="126" t="s">
        <v>272</v>
      </c>
      <c r="B32" s="127" t="s">
        <v>273</v>
      </c>
      <c r="C32" s="128">
        <v>1</v>
      </c>
      <c r="D32" s="129" t="s">
        <v>274</v>
      </c>
      <c r="E32" s="129" t="s">
        <v>494</v>
      </c>
      <c r="F32" s="81" t="s">
        <v>276</v>
      </c>
      <c r="G32" s="68">
        <v>45824</v>
      </c>
      <c r="H32" s="63" t="str">
        <f t="shared" ca="1" si="1"/>
        <v>EXPIRADO</v>
      </c>
      <c r="I32" s="63"/>
      <c r="J32" s="130" t="s">
        <v>277</v>
      </c>
      <c r="K32" s="10"/>
      <c r="L32" s="80">
        <v>413619.58</v>
      </c>
      <c r="M32" s="10">
        <f>L32*12</f>
        <v>4963434.96</v>
      </c>
      <c r="N32" s="3">
        <v>0</v>
      </c>
      <c r="O32" s="3">
        <v>453240.66</v>
      </c>
      <c r="P32" s="9">
        <f t="shared" si="2"/>
        <v>453240.66</v>
      </c>
      <c r="Q32" s="53"/>
      <c r="R32" s="53"/>
      <c r="S32" s="10">
        <f>L32*2-P32</f>
        <v>373998.50000000006</v>
      </c>
      <c r="T32" s="46">
        <f t="shared" si="0"/>
        <v>373998.50000000006</v>
      </c>
      <c r="V32" s="19">
        <f t="shared" si="4"/>
        <v>827239.16</v>
      </c>
      <c r="W32" s="48">
        <f t="shared" si="8"/>
        <v>-373998.50000000006</v>
      </c>
      <c r="X32" s="48"/>
      <c r="Y32" s="48">
        <f t="shared" si="9"/>
        <v>373998.50000000006</v>
      </c>
      <c r="Z32" s="48"/>
    </row>
    <row r="33" spans="1:26">
      <c r="A33" s="126" t="s">
        <v>278</v>
      </c>
      <c r="B33" s="127" t="s">
        <v>273</v>
      </c>
      <c r="C33" s="128">
        <v>1</v>
      </c>
      <c r="D33" s="129" t="s">
        <v>279</v>
      </c>
      <c r="E33" s="129" t="s">
        <v>280</v>
      </c>
      <c r="F33" s="81" t="s">
        <v>281</v>
      </c>
      <c r="G33" s="68">
        <v>45854</v>
      </c>
      <c r="H33" s="63" t="str">
        <f t="shared" ca="1" si="1"/>
        <v>EXPIRADO</v>
      </c>
      <c r="I33" s="63"/>
      <c r="J33" s="130" t="s">
        <v>282</v>
      </c>
      <c r="K33" s="10"/>
      <c r="L33" s="80">
        <v>193823.77</v>
      </c>
      <c r="M33" s="10">
        <f>L33*12</f>
        <v>2325885.2399999998</v>
      </c>
      <c r="N33" s="3">
        <v>0</v>
      </c>
      <c r="O33" s="3">
        <v>243800.27</v>
      </c>
      <c r="P33" s="9">
        <f t="shared" si="2"/>
        <v>243800.27</v>
      </c>
      <c r="Q33" s="53"/>
      <c r="R33" s="53"/>
      <c r="S33" s="10">
        <f>L33*2-P33</f>
        <v>143847.26999999999</v>
      </c>
      <c r="T33" s="46">
        <f t="shared" si="0"/>
        <v>143847.26999999999</v>
      </c>
      <c r="V33" s="19">
        <f t="shared" si="4"/>
        <v>387647.54</v>
      </c>
      <c r="W33" s="48">
        <f t="shared" si="8"/>
        <v>-143847.26999999999</v>
      </c>
      <c r="X33" s="48"/>
      <c r="Y33" s="48">
        <f t="shared" si="9"/>
        <v>143847.26999999999</v>
      </c>
      <c r="Z33" s="48"/>
    </row>
    <row r="34" spans="1:26" ht="30">
      <c r="A34" s="131" t="s">
        <v>283</v>
      </c>
      <c r="B34" s="127" t="s">
        <v>273</v>
      </c>
      <c r="C34" s="128">
        <v>2</v>
      </c>
      <c r="D34" s="129" t="s">
        <v>284</v>
      </c>
      <c r="E34" s="129" t="s">
        <v>285</v>
      </c>
      <c r="F34" s="81" t="s">
        <v>286</v>
      </c>
      <c r="G34" s="68">
        <v>46035</v>
      </c>
      <c r="H34" s="63" t="str">
        <f t="shared" ca="1" si="1"/>
        <v>EM BREVE</v>
      </c>
      <c r="I34" s="63"/>
      <c r="J34" s="63" t="s">
        <v>287</v>
      </c>
      <c r="K34" s="10">
        <v>309551</v>
      </c>
      <c r="L34" s="132"/>
      <c r="M34" s="10">
        <v>6773741.9900000002</v>
      </c>
      <c r="N34" s="3">
        <v>0</v>
      </c>
      <c r="O34" s="3">
        <v>279787.19</v>
      </c>
      <c r="P34" s="9">
        <f t="shared" si="2"/>
        <v>279787.19</v>
      </c>
      <c r="Q34" s="8"/>
      <c r="R34" s="8">
        <f>K34-279787</f>
        <v>29764</v>
      </c>
      <c r="S34" s="8">
        <f>K34</f>
        <v>309551</v>
      </c>
      <c r="T34" s="225">
        <f t="shared" si="0"/>
        <v>339315</v>
      </c>
      <c r="U34" s="6"/>
      <c r="V34" s="5">
        <f>K34*2</f>
        <v>619102</v>
      </c>
      <c r="W34" s="4">
        <f t="shared" si="8"/>
        <v>-339314.81</v>
      </c>
      <c r="X34" s="133"/>
      <c r="Y34" s="48">
        <f t="shared" si="9"/>
        <v>339314.81</v>
      </c>
      <c r="Z34" s="48"/>
    </row>
    <row r="35" spans="1:26">
      <c r="A35" s="126" t="s">
        <v>305</v>
      </c>
      <c r="B35" s="127" t="s">
        <v>273</v>
      </c>
      <c r="C35" s="128">
        <v>2</v>
      </c>
      <c r="D35" s="129" t="s">
        <v>306</v>
      </c>
      <c r="E35" s="129" t="s">
        <v>307</v>
      </c>
      <c r="F35" s="81" t="s">
        <v>308</v>
      </c>
      <c r="G35" s="68">
        <v>45920</v>
      </c>
      <c r="H35" s="63" t="str">
        <f t="shared" ca="1" si="1"/>
        <v>EXPIRADO</v>
      </c>
      <c r="I35" s="63"/>
      <c r="J35" s="81" t="s">
        <v>309</v>
      </c>
      <c r="K35" s="10"/>
      <c r="L35" s="80">
        <f>M35/12</f>
        <v>39124.22</v>
      </c>
      <c r="M35" s="10">
        <v>469490.64</v>
      </c>
      <c r="N35" s="3">
        <v>0</v>
      </c>
      <c r="O35" s="3">
        <v>0</v>
      </c>
      <c r="P35" s="9">
        <f t="shared" si="2"/>
        <v>0</v>
      </c>
      <c r="Q35" s="10"/>
      <c r="R35" s="10">
        <f>L35</f>
        <v>39124.22</v>
      </c>
      <c r="S35" s="70">
        <f>L35</f>
        <v>39124.22</v>
      </c>
      <c r="T35" s="46">
        <f t="shared" si="0"/>
        <v>78248.44</v>
      </c>
      <c r="V35" s="19">
        <f>SUM(K35:L35)*2</f>
        <v>78248.44</v>
      </c>
      <c r="W35" s="48">
        <f t="shared" si="8"/>
        <v>-78248.44</v>
      </c>
      <c r="X35" s="48"/>
      <c r="Y35" s="48">
        <f t="shared" si="9"/>
        <v>78248.44</v>
      </c>
      <c r="Z35" s="48"/>
    </row>
    <row r="36" spans="1:26">
      <c r="A36" s="138" t="s">
        <v>314</v>
      </c>
      <c r="B36" s="127" t="s">
        <v>273</v>
      </c>
      <c r="C36" s="128">
        <v>3</v>
      </c>
      <c r="D36" s="129" t="s">
        <v>41</v>
      </c>
      <c r="E36" s="129" t="s">
        <v>315</v>
      </c>
      <c r="F36" s="38"/>
      <c r="G36" s="38"/>
      <c r="H36" s="63"/>
      <c r="I36" s="63"/>
      <c r="J36" s="38"/>
      <c r="K36" s="10">
        <v>40000</v>
      </c>
      <c r="L36" s="80"/>
      <c r="M36" s="10">
        <f>K36*12</f>
        <v>480000</v>
      </c>
      <c r="N36" s="3">
        <v>1732</v>
      </c>
      <c r="O36" s="3">
        <v>3235.47</v>
      </c>
      <c r="P36" s="9">
        <f t="shared" si="2"/>
        <v>4967.4699999999993</v>
      </c>
      <c r="Q36" s="10"/>
      <c r="R36" s="10">
        <f>K36-P36</f>
        <v>35032.53</v>
      </c>
      <c r="S36" s="70">
        <f>K36</f>
        <v>40000</v>
      </c>
      <c r="T36" s="46">
        <f t="shared" si="0"/>
        <v>75032.53</v>
      </c>
      <c r="V36" s="19">
        <f>K36*2</f>
        <v>80000</v>
      </c>
      <c r="W36" s="48">
        <f t="shared" si="8"/>
        <v>-75032.53</v>
      </c>
      <c r="X36" s="48"/>
      <c r="Y36" s="48">
        <f t="shared" si="9"/>
        <v>75032.53</v>
      </c>
      <c r="Z36" s="48"/>
    </row>
    <row r="37" spans="1:26">
      <c r="A37" s="138" t="s">
        <v>316</v>
      </c>
      <c r="B37" s="127" t="s">
        <v>273</v>
      </c>
      <c r="C37" s="128">
        <v>3</v>
      </c>
      <c r="D37" s="129" t="s">
        <v>45</v>
      </c>
      <c r="E37" s="129" t="s">
        <v>317</v>
      </c>
      <c r="F37" s="38"/>
      <c r="G37" s="38"/>
      <c r="H37" s="63"/>
      <c r="I37" s="63"/>
      <c r="J37" s="38"/>
      <c r="K37" s="10">
        <v>136350</v>
      </c>
      <c r="L37" s="80"/>
      <c r="M37" s="10">
        <f>K37*12</f>
        <v>1636200</v>
      </c>
      <c r="N37" s="3">
        <v>0</v>
      </c>
      <c r="O37" s="3">
        <v>1308.56</v>
      </c>
      <c r="P37" s="9">
        <f t="shared" si="2"/>
        <v>1308.56</v>
      </c>
      <c r="Q37" s="51"/>
      <c r="R37" s="10">
        <f>K37-P37</f>
        <v>135041.44</v>
      </c>
      <c r="S37" s="70">
        <f>K37</f>
        <v>136350</v>
      </c>
      <c r="T37" s="46">
        <f t="shared" si="0"/>
        <v>271391.44</v>
      </c>
      <c r="V37" s="19">
        <f>K37*2</f>
        <v>272700</v>
      </c>
      <c r="W37" s="48">
        <f t="shared" si="8"/>
        <v>-271391.44</v>
      </c>
      <c r="X37" s="48"/>
      <c r="Y37" s="48"/>
      <c r="Z37" s="48"/>
    </row>
    <row r="38" spans="1:26">
      <c r="A38" s="138" t="s">
        <v>318</v>
      </c>
      <c r="B38" s="127" t="s">
        <v>273</v>
      </c>
      <c r="C38" s="128">
        <v>1</v>
      </c>
      <c r="D38" s="129" t="s">
        <v>319</v>
      </c>
      <c r="E38" s="129"/>
      <c r="F38" s="38" t="s">
        <v>320</v>
      </c>
      <c r="G38" s="38"/>
      <c r="H38" s="63"/>
      <c r="I38" s="63"/>
      <c r="J38" s="38"/>
      <c r="K38" s="10">
        <v>245000</v>
      </c>
      <c r="L38" s="80"/>
      <c r="M38" s="10">
        <f>K38*12</f>
        <v>2940000</v>
      </c>
      <c r="N38" s="3">
        <v>0</v>
      </c>
      <c r="O38" s="3">
        <v>254113.54</v>
      </c>
      <c r="P38" s="9">
        <f t="shared" si="2"/>
        <v>254113.54</v>
      </c>
      <c r="Q38" s="45"/>
      <c r="R38" s="45"/>
      <c r="S38" s="70">
        <f>K38*2-P38</f>
        <v>235886.46</v>
      </c>
      <c r="T38" s="46">
        <f t="shared" si="0"/>
        <v>235886.46</v>
      </c>
      <c r="V38" s="19">
        <f>K38*2</f>
        <v>490000</v>
      </c>
      <c r="W38" s="48">
        <f t="shared" si="8"/>
        <v>-235886.46</v>
      </c>
      <c r="X38" s="48"/>
      <c r="Y38" s="48">
        <f t="shared" ref="Y38:Y46" si="10">(SUM(K38:L38)*2)-P38</f>
        <v>235886.46</v>
      </c>
      <c r="Z38" s="48"/>
    </row>
    <row r="39" spans="1:26">
      <c r="A39" s="86" t="s">
        <v>321</v>
      </c>
      <c r="B39" s="86" t="s">
        <v>322</v>
      </c>
      <c r="C39" s="76">
        <v>1</v>
      </c>
      <c r="D39" s="49" t="s">
        <v>323</v>
      </c>
      <c r="E39" s="49" t="s">
        <v>324</v>
      </c>
      <c r="F39" s="81" t="s">
        <v>325</v>
      </c>
      <c r="G39" s="140">
        <v>45909</v>
      </c>
      <c r="H39" s="63" t="str">
        <f ca="1">IF((G39-TODAY())&lt;0,"EXPIRADO", IF((G39-TODAY())&lt;=60,"EM BREVE","NO PRAZO"))</f>
        <v>EXPIRADO</v>
      </c>
      <c r="I39" s="38"/>
      <c r="J39" s="84" t="s">
        <v>326</v>
      </c>
      <c r="K39" s="51">
        <f>M39/12</f>
        <v>1500933.5674999999</v>
      </c>
      <c r="L39" s="141"/>
      <c r="M39" s="10">
        <v>18011202.809999999</v>
      </c>
      <c r="N39" s="3">
        <v>100</v>
      </c>
      <c r="O39" s="3">
        <v>0</v>
      </c>
      <c r="P39" s="9">
        <f t="shared" si="2"/>
        <v>100</v>
      </c>
      <c r="Q39" s="10"/>
      <c r="R39" s="10">
        <f>K39-P39</f>
        <v>1500833.5674999999</v>
      </c>
      <c r="S39" s="70">
        <f>K39</f>
        <v>1500933.5674999999</v>
      </c>
      <c r="T39" s="46">
        <f t="shared" si="0"/>
        <v>3001767.1349999998</v>
      </c>
      <c r="U39" s="142"/>
      <c r="V39" s="19" t="e">
        <f>#REF!+#REF!</f>
        <v>#REF!</v>
      </c>
      <c r="W39" s="48"/>
      <c r="X39" s="48"/>
      <c r="Y39" s="48">
        <f t="shared" si="10"/>
        <v>3001767.1349999998</v>
      </c>
      <c r="Z39" s="48"/>
    </row>
    <row r="40" spans="1:26" ht="135">
      <c r="A40" s="87" t="s">
        <v>481</v>
      </c>
      <c r="B40" s="86" t="s">
        <v>328</v>
      </c>
      <c r="C40" s="76">
        <v>2</v>
      </c>
      <c r="D40" s="38" t="s">
        <v>334</v>
      </c>
      <c r="E40" s="38"/>
      <c r="F40" s="38" t="s">
        <v>335</v>
      </c>
      <c r="G40" s="38" t="s">
        <v>336</v>
      </c>
      <c r="H40" s="63"/>
      <c r="I40" s="63"/>
      <c r="J40" s="79"/>
      <c r="K40" s="145">
        <v>285000</v>
      </c>
      <c r="L40" s="80"/>
      <c r="M40" s="10">
        <f>K40*12</f>
        <v>3420000</v>
      </c>
      <c r="N40" s="3">
        <v>0</v>
      </c>
      <c r="O40" s="3">
        <v>61992.46</v>
      </c>
      <c r="P40" s="9">
        <f t="shared" si="2"/>
        <v>61992.46</v>
      </c>
      <c r="Q40" s="53"/>
      <c r="R40" s="145">
        <f>K40-P40</f>
        <v>223007.54</v>
      </c>
      <c r="S40" s="145">
        <v>285000</v>
      </c>
      <c r="T40" s="46">
        <f t="shared" si="0"/>
        <v>508007.54000000004</v>
      </c>
      <c r="U40" s="95"/>
      <c r="V40" s="146"/>
      <c r="W40" s="48"/>
      <c r="X40" s="48"/>
      <c r="Y40" s="48">
        <f t="shared" si="10"/>
        <v>508007.54</v>
      </c>
      <c r="Z40" s="48"/>
    </row>
    <row r="41" spans="1:26" ht="180">
      <c r="A41" s="147" t="s">
        <v>337</v>
      </c>
      <c r="B41" s="86" t="s">
        <v>328</v>
      </c>
      <c r="C41" s="76">
        <v>2</v>
      </c>
      <c r="D41" s="38" t="s">
        <v>334</v>
      </c>
      <c r="E41" s="38"/>
      <c r="F41" s="148" t="s">
        <v>338</v>
      </c>
      <c r="G41" s="38" t="s">
        <v>339</v>
      </c>
      <c r="H41" s="63"/>
      <c r="I41" s="63"/>
      <c r="J41" s="79"/>
      <c r="K41" s="145">
        <v>28500</v>
      </c>
      <c r="L41" s="80"/>
      <c r="M41" s="10">
        <f>K41*12</f>
        <v>342000</v>
      </c>
      <c r="N41" s="3">
        <v>0</v>
      </c>
      <c r="O41" s="3">
        <v>24066.75</v>
      </c>
      <c r="P41" s="9">
        <f t="shared" si="2"/>
        <v>24066.75</v>
      </c>
      <c r="Q41" s="53"/>
      <c r="R41" s="145">
        <f>K41-P41</f>
        <v>4433.25</v>
      </c>
      <c r="S41" s="145">
        <v>28500</v>
      </c>
      <c r="T41" s="46">
        <f t="shared" si="0"/>
        <v>32933.25</v>
      </c>
      <c r="U41" s="95"/>
      <c r="V41" s="146"/>
      <c r="W41" s="48"/>
      <c r="X41" s="48"/>
      <c r="Y41" s="48">
        <f t="shared" si="10"/>
        <v>32933.25</v>
      </c>
      <c r="Z41" s="48"/>
    </row>
    <row r="42" spans="1:26" ht="150">
      <c r="A42" s="147" t="s">
        <v>340</v>
      </c>
      <c r="B42" s="86" t="s">
        <v>328</v>
      </c>
      <c r="C42" s="76">
        <v>2</v>
      </c>
      <c r="D42" s="38" t="s">
        <v>334</v>
      </c>
      <c r="E42" s="38"/>
      <c r="F42" s="148" t="s">
        <v>341</v>
      </c>
      <c r="G42" s="38" t="s">
        <v>342</v>
      </c>
      <c r="H42" s="63"/>
      <c r="I42" s="63"/>
      <c r="J42" s="79"/>
      <c r="K42" s="145">
        <v>17500</v>
      </c>
      <c r="L42" s="80"/>
      <c r="M42" s="10">
        <f>K42*12</f>
        <v>210000</v>
      </c>
      <c r="N42" s="3">
        <v>0</v>
      </c>
      <c r="O42" s="3">
        <v>12426.07</v>
      </c>
      <c r="P42" s="9">
        <f t="shared" si="2"/>
        <v>12426.07</v>
      </c>
      <c r="Q42" s="53"/>
      <c r="R42" s="145">
        <f>K42-P42</f>
        <v>5073.93</v>
      </c>
      <c r="S42" s="145">
        <v>17500</v>
      </c>
      <c r="T42" s="46">
        <f t="shared" si="0"/>
        <v>22573.93</v>
      </c>
      <c r="U42" s="95"/>
      <c r="V42" s="146"/>
      <c r="W42" s="48"/>
      <c r="X42" s="48"/>
      <c r="Y42" s="48">
        <f t="shared" si="10"/>
        <v>22573.93</v>
      </c>
      <c r="Z42" s="48"/>
    </row>
    <row r="43" spans="1:26" ht="45">
      <c r="A43" s="90" t="s">
        <v>358</v>
      </c>
      <c r="B43" s="90" t="s">
        <v>328</v>
      </c>
      <c r="C43" s="61">
        <v>1</v>
      </c>
      <c r="D43" s="49" t="s">
        <v>359</v>
      </c>
      <c r="E43" s="49" t="s">
        <v>360</v>
      </c>
      <c r="F43" s="67" t="s">
        <v>361</v>
      </c>
      <c r="G43" s="68">
        <v>46327</v>
      </c>
      <c r="H43" s="63" t="str">
        <f ca="1">IF((G43-TODAY())&lt;0,"EXPIRADO", IF((G43-TODAY())&lt;=60,"EM BREVE","NO PRAZO"))</f>
        <v>NO PRAZO</v>
      </c>
      <c r="I43" s="38" t="s">
        <v>513</v>
      </c>
      <c r="J43" s="69" t="s">
        <v>362</v>
      </c>
      <c r="K43" s="10">
        <v>17000</v>
      </c>
      <c r="L43" s="42"/>
      <c r="M43" s="43">
        <f>K43*12</f>
        <v>204000</v>
      </c>
      <c r="N43" s="3">
        <v>0</v>
      </c>
      <c r="O43" s="3">
        <v>0</v>
      </c>
      <c r="P43" s="9">
        <f t="shared" si="2"/>
        <v>0</v>
      </c>
      <c r="Q43" s="70"/>
      <c r="R43" s="70">
        <f>K43</f>
        <v>17000</v>
      </c>
      <c r="S43" s="70">
        <f>K43</f>
        <v>17000</v>
      </c>
      <c r="T43" s="46">
        <f t="shared" si="0"/>
        <v>34000</v>
      </c>
      <c r="U43" s="54"/>
      <c r="V43" s="19">
        <f>K43*2</f>
        <v>34000</v>
      </c>
      <c r="W43" s="48"/>
      <c r="X43" s="48">
        <v>-31532.95</v>
      </c>
      <c r="Y43" s="48">
        <f t="shared" si="10"/>
        <v>34000</v>
      </c>
      <c r="Z43" s="48"/>
    </row>
    <row r="44" spans="1:26" ht="30">
      <c r="A44" s="155" t="s">
        <v>450</v>
      </c>
      <c r="B44" s="86" t="s">
        <v>328</v>
      </c>
      <c r="C44" s="76">
        <v>1</v>
      </c>
      <c r="D44" s="77" t="s">
        <v>370</v>
      </c>
      <c r="E44" s="77" t="s">
        <v>256</v>
      </c>
      <c r="F44" s="81" t="s">
        <v>371</v>
      </c>
      <c r="G44" s="111">
        <v>45844</v>
      </c>
      <c r="H44" s="63" t="str">
        <f ca="1">IF((G44-TODAY())&lt;0,"EXPIRADO", IF((G44-TODAY())&lt;=60,"EM BREVE","NO PRAZO"))</f>
        <v>EXPIRADO</v>
      </c>
      <c r="I44" s="63"/>
      <c r="J44" s="84" t="s">
        <v>373</v>
      </c>
      <c r="K44" s="10"/>
      <c r="L44" s="80">
        <f>M44/12</f>
        <v>5039.3474999999999</v>
      </c>
      <c r="M44" s="10">
        <v>60472.17</v>
      </c>
      <c r="N44" s="3">
        <v>0</v>
      </c>
      <c r="O44" s="3">
        <v>0</v>
      </c>
      <c r="P44" s="9">
        <f t="shared" si="2"/>
        <v>0</v>
      </c>
      <c r="Q44" s="10"/>
      <c r="R44" s="10">
        <f>L44</f>
        <v>5039.3474999999999</v>
      </c>
      <c r="S44" s="70">
        <f>L44</f>
        <v>5039.3474999999999</v>
      </c>
      <c r="T44" s="46">
        <f t="shared" si="0"/>
        <v>10078.695</v>
      </c>
      <c r="V44" s="19">
        <f>L44*2</f>
        <v>10078.695</v>
      </c>
      <c r="W44" s="48"/>
      <c r="X44" s="48"/>
      <c r="Y44" s="48">
        <f t="shared" si="10"/>
        <v>10078.695</v>
      </c>
      <c r="Z44" s="48"/>
    </row>
    <row r="45" spans="1:26" ht="30">
      <c r="A45" s="157" t="s">
        <v>381</v>
      </c>
      <c r="B45" s="157" t="s">
        <v>382</v>
      </c>
      <c r="C45" s="76">
        <v>2</v>
      </c>
      <c r="D45" s="49" t="s">
        <v>383</v>
      </c>
      <c r="E45" s="49" t="s">
        <v>384</v>
      </c>
      <c r="F45" s="158" t="s">
        <v>514</v>
      </c>
      <c r="G45" s="62">
        <v>46792</v>
      </c>
      <c r="H45" s="63" t="str">
        <f ca="1">IF((G45-TODAY())&lt;0,"EXPIRADO", IF((G45-TODAY())&lt;=60,"EM BREVE","NO PRAZO"))</f>
        <v>NO PRAZO</v>
      </c>
      <c r="I45" s="63"/>
      <c r="J45" s="159" t="s">
        <v>515</v>
      </c>
      <c r="K45" s="10">
        <v>3000</v>
      </c>
      <c r="L45" s="80"/>
      <c r="M45" s="10">
        <f>K45*12</f>
        <v>36000</v>
      </c>
      <c r="N45" s="3">
        <v>0</v>
      </c>
      <c r="O45" s="3">
        <v>0</v>
      </c>
      <c r="P45" s="9">
        <f t="shared" si="2"/>
        <v>0</v>
      </c>
      <c r="Q45" s="10"/>
      <c r="R45" s="10">
        <f>K45</f>
        <v>3000</v>
      </c>
      <c r="S45" s="10">
        <f>K45</f>
        <v>3000</v>
      </c>
      <c r="T45" s="46">
        <f t="shared" si="0"/>
        <v>6000</v>
      </c>
      <c r="V45" s="19">
        <f>K45*2</f>
        <v>6000</v>
      </c>
      <c r="W45" s="48"/>
      <c r="X45" s="48">
        <v>-642</v>
      </c>
      <c r="Y45" s="48">
        <f t="shared" si="10"/>
        <v>6000</v>
      </c>
      <c r="Z45" s="48"/>
    </row>
    <row r="46" spans="1:26" ht="45">
      <c r="A46" s="75" t="s">
        <v>406</v>
      </c>
      <c r="B46" s="36" t="s">
        <v>407</v>
      </c>
      <c r="C46" s="37">
        <v>2</v>
      </c>
      <c r="D46" s="71" t="s">
        <v>408</v>
      </c>
      <c r="E46" s="71" t="s">
        <v>409</v>
      </c>
      <c r="F46" s="67" t="s">
        <v>410</v>
      </c>
      <c r="G46" s="68">
        <v>45903</v>
      </c>
      <c r="H46" s="63" t="str">
        <f ca="1">IF((G46-TODAY())&lt;0,"EXPIRADO", IF((G46-TODAY())&lt;=60,"EM BREVE","NO PRAZO"))</f>
        <v>EXPIRADO</v>
      </c>
      <c r="I46" s="63"/>
      <c r="J46" s="69" t="s">
        <v>411</v>
      </c>
      <c r="K46" s="43">
        <v>62000</v>
      </c>
      <c r="L46" s="42"/>
      <c r="M46" s="43">
        <f>K46*12</f>
        <v>744000</v>
      </c>
      <c r="N46" s="3">
        <v>0</v>
      </c>
      <c r="O46" s="3">
        <v>0</v>
      </c>
      <c r="P46" s="9">
        <f t="shared" si="2"/>
        <v>0</v>
      </c>
      <c r="Q46" s="10"/>
      <c r="R46" s="10">
        <f>K46</f>
        <v>62000</v>
      </c>
      <c r="S46" s="10">
        <f>K46</f>
        <v>62000</v>
      </c>
      <c r="T46" s="46">
        <f t="shared" si="0"/>
        <v>124000</v>
      </c>
      <c r="V46" s="19">
        <f>K46*2</f>
        <v>124000</v>
      </c>
      <c r="W46" s="48"/>
      <c r="X46" s="48">
        <v>-60500.4</v>
      </c>
      <c r="Y46" s="48">
        <f t="shared" si="10"/>
        <v>124000</v>
      </c>
      <c r="Z46" s="48"/>
    </row>
    <row r="47" spans="1:26">
      <c r="A47" s="165"/>
      <c r="B47" s="165"/>
      <c r="C47" s="166"/>
      <c r="D47" s="165"/>
      <c r="E47" s="165"/>
      <c r="F47" s="166"/>
      <c r="G47" s="165"/>
      <c r="H47" s="165"/>
      <c r="I47" s="165"/>
      <c r="J47" s="165"/>
      <c r="K47" s="167"/>
      <c r="L47" s="168"/>
      <c r="M47" s="167"/>
      <c r="N47" s="167"/>
      <c r="O47" s="165"/>
      <c r="P47" s="169"/>
      <c r="T47" s="19"/>
      <c r="W47" s="48"/>
      <c r="X47" s="133"/>
      <c r="Y47" s="48">
        <f>(SUM(K47:L47)*3)-P47</f>
        <v>0</v>
      </c>
      <c r="Z47" s="48"/>
    </row>
    <row r="48" spans="1:26">
      <c r="A48" s="171" t="s">
        <v>412</v>
      </c>
      <c r="B48" s="171"/>
      <c r="C48" s="172"/>
      <c r="D48" s="171"/>
      <c r="E48" s="171"/>
      <c r="F48" s="172"/>
      <c r="G48" s="171"/>
      <c r="H48" s="171"/>
      <c r="I48" s="171"/>
      <c r="J48" s="171"/>
      <c r="K48" s="173">
        <f t="shared" ref="K48:T48" si="11">SUM(K4:K46)</f>
        <v>7662302.6699999999</v>
      </c>
      <c r="L48" s="174">
        <f t="shared" si="11"/>
        <v>6959723.2975000003</v>
      </c>
      <c r="M48" s="173">
        <f t="shared" si="11"/>
        <v>178068909.33999997</v>
      </c>
      <c r="N48" s="173">
        <f t="shared" si="11"/>
        <v>219778.79</v>
      </c>
      <c r="O48" s="173">
        <f t="shared" si="11"/>
        <v>9134670.5800000001</v>
      </c>
      <c r="P48" s="173">
        <f t="shared" si="11"/>
        <v>9354449.3699999992</v>
      </c>
      <c r="Q48" s="173">
        <f t="shared" si="11"/>
        <v>0</v>
      </c>
      <c r="R48" s="173">
        <f t="shared" si="11"/>
        <v>6983203.7024999997</v>
      </c>
      <c r="S48" s="173">
        <f t="shared" si="11"/>
        <v>10851482.717500001</v>
      </c>
      <c r="T48" s="173">
        <f t="shared" si="11"/>
        <v>17834686.419999998</v>
      </c>
      <c r="V48" s="173" t="e">
        <f>SUM(V4:V46)</f>
        <v>#REF!</v>
      </c>
      <c r="W48" s="173">
        <f>SUM(W4:W46)</f>
        <v>-4779407.5000000009</v>
      </c>
      <c r="X48" s="173" t="e">
        <f>SUM(X4:X46)</f>
        <v>#REF!</v>
      </c>
      <c r="Y48" s="175">
        <f>SUM(Y4:Y46)</f>
        <v>15992687.949999999</v>
      </c>
      <c r="Z48" s="48"/>
    </row>
    <row r="49" spans="1:26">
      <c r="A49" s="165"/>
      <c r="B49" s="165"/>
      <c r="C49" s="166"/>
      <c r="D49" s="165"/>
      <c r="E49" s="165"/>
      <c r="F49" s="166"/>
      <c r="G49" s="165"/>
      <c r="H49" s="165"/>
      <c r="I49" s="165"/>
      <c r="J49" s="165"/>
      <c r="K49" s="167"/>
      <c r="L49" s="168"/>
      <c r="M49" s="167"/>
      <c r="N49" s="167"/>
      <c r="O49" s="165"/>
      <c r="P49" s="169"/>
    </row>
    <row r="50" spans="1:26">
      <c r="O50" s="19"/>
      <c r="X50" s="19">
        <f>X24</f>
        <v>-1924342.125</v>
      </c>
      <c r="Y50" s="19"/>
      <c r="Z50" s="19"/>
    </row>
    <row r="51" spans="1:26">
      <c r="O51" s="19"/>
      <c r="X51" s="19">
        <v>-6000000</v>
      </c>
      <c r="Y51" s="19"/>
      <c r="Z51" s="19"/>
    </row>
    <row r="52" spans="1:26">
      <c r="O52" s="19"/>
      <c r="X52" s="19">
        <v>-1280820.8600000001</v>
      </c>
      <c r="Y52" s="19"/>
      <c r="Z52" s="19"/>
    </row>
    <row r="53" spans="1:26">
      <c r="O53" s="19"/>
      <c r="Y53" s="19"/>
      <c r="Z53" s="19"/>
    </row>
    <row r="54" spans="1:26">
      <c r="O54" s="19"/>
      <c r="X54" s="19">
        <f>SUM(X50:X51)</f>
        <v>-7924342.125</v>
      </c>
      <c r="Y54" s="19"/>
      <c r="Z54" s="19"/>
    </row>
    <row r="55" spans="1:26">
      <c r="X55" s="19" t="e">
        <f>X54+#REF!</f>
        <v>#REF!</v>
      </c>
    </row>
    <row r="56" spans="1:26">
      <c r="Y56" s="19"/>
      <c r="Z56" s="19"/>
    </row>
    <row r="58" spans="1:26">
      <c r="Y58" s="19"/>
      <c r="Z58" s="19"/>
    </row>
    <row r="59" spans="1:26">
      <c r="Y59" s="19"/>
      <c r="Z59" s="19"/>
    </row>
    <row r="61" spans="1:26">
      <c r="Y61" s="19"/>
      <c r="Z61" s="19"/>
    </row>
  </sheetData>
  <autoFilter ref="A3:P46" xr:uid="{00000000-0009-0000-0000-00000B000000}"/>
  <conditionalFormatting sqref="H6:I33 H34:J34 H35:I46">
    <cfRule type="cellIs" dxfId="15" priority="2" operator="equal">
      <formula>"EXPIRADO"</formula>
    </cfRule>
    <cfRule type="cellIs" dxfId="14" priority="3" operator="equal">
      <formula>"NO PRAZO"</formula>
    </cfRule>
    <cfRule type="cellIs" dxfId="13" priority="4" operator="equal">
      <formula>"EM BREVE"</formula>
    </cfRule>
    <cfRule type="cellIs" dxfId="12" priority="5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9694"/>
  </sheetPr>
  <dimension ref="A1:AKZ19"/>
  <sheetViews>
    <sheetView zoomScale="130" zoomScaleNormal="130" workbookViewId="0">
      <selection activeCell="E28" sqref="E28"/>
    </sheetView>
  </sheetViews>
  <sheetFormatPr baseColWidth="10" defaultColWidth="11.5" defaultRowHeight="16"/>
  <cols>
    <col min="1" max="2" width="16.1640625" style="226" customWidth="1"/>
    <col min="3" max="3" width="17.6640625" style="226" customWidth="1"/>
    <col min="4" max="4" width="17.1640625" style="226" customWidth="1"/>
    <col min="5" max="5" width="14.33203125" style="226" customWidth="1"/>
    <col min="6" max="6" width="13.5" style="226" customWidth="1"/>
    <col min="7" max="7" width="19.5" style="226" customWidth="1"/>
    <col min="8" max="9" width="13.5" style="226" customWidth="1"/>
    <col min="10" max="10" width="19.83203125" style="226" customWidth="1"/>
    <col min="11" max="988" width="9.1640625" style="226" customWidth="1"/>
  </cols>
  <sheetData>
    <row r="1" spans="1:10" ht="66.75" customHeight="1"/>
    <row r="2" spans="1:10" s="226" customFormat="1">
      <c r="A2" s="227"/>
    </row>
    <row r="3" spans="1:10" s="226" customFormat="1" ht="24.75" customHeight="1">
      <c r="A3" s="228" t="s">
        <v>516</v>
      </c>
      <c r="B3" s="310" t="s">
        <v>517</v>
      </c>
      <c r="C3" s="310"/>
      <c r="D3" s="310"/>
      <c r="E3" s="311" t="s">
        <v>518</v>
      </c>
      <c r="F3" s="311"/>
      <c r="G3" s="311"/>
      <c r="H3" s="311" t="s">
        <v>519</v>
      </c>
      <c r="I3" s="311"/>
      <c r="J3" s="311"/>
    </row>
    <row r="4" spans="1:10" s="226" customFormat="1" ht="15.75" customHeight="1">
      <c r="A4" s="229" t="s">
        <v>520</v>
      </c>
      <c r="B4" s="230" t="s">
        <v>521</v>
      </c>
      <c r="C4" s="230" t="s">
        <v>522</v>
      </c>
      <c r="D4" s="230" t="s">
        <v>523</v>
      </c>
      <c r="E4" s="230" t="s">
        <v>521</v>
      </c>
      <c r="F4" s="230" t="s">
        <v>522</v>
      </c>
      <c r="G4" s="230" t="s">
        <v>523</v>
      </c>
      <c r="H4" s="230" t="s">
        <v>521</v>
      </c>
      <c r="I4" s="230" t="s">
        <v>522</v>
      </c>
      <c r="J4" s="230" t="s">
        <v>523</v>
      </c>
    </row>
    <row r="5" spans="1:10" s="226" customFormat="1" ht="15.75" customHeight="1">
      <c r="A5" s="231" t="s">
        <v>524</v>
      </c>
      <c r="B5" s="232">
        <v>1998066.9</v>
      </c>
      <c r="C5" s="232">
        <v>1042993.8</v>
      </c>
      <c r="D5" s="233">
        <v>955073.1</v>
      </c>
      <c r="E5" s="234">
        <v>603489.69999999995</v>
      </c>
      <c r="F5" s="234">
        <v>327591.56</v>
      </c>
      <c r="G5" s="234">
        <v>275898.14</v>
      </c>
      <c r="H5" s="235">
        <v>3138620.64</v>
      </c>
      <c r="I5" s="235">
        <v>1632082.73</v>
      </c>
      <c r="J5" s="235">
        <v>1506537.91</v>
      </c>
    </row>
    <row r="6" spans="1:10" s="226" customFormat="1" ht="15.75" customHeight="1">
      <c r="A6" s="231" t="s">
        <v>525</v>
      </c>
      <c r="B6" s="232">
        <v>3350142.75</v>
      </c>
      <c r="C6" s="232">
        <v>1790331</v>
      </c>
      <c r="D6" s="233">
        <v>1559811.75</v>
      </c>
      <c r="E6" s="234">
        <v>803325.7</v>
      </c>
      <c r="F6" s="234">
        <v>430456.32000000001</v>
      </c>
      <c r="G6" s="234">
        <v>372869.38</v>
      </c>
      <c r="H6" s="235">
        <v>3138620.64</v>
      </c>
      <c r="I6" s="235">
        <v>1632082.73</v>
      </c>
      <c r="J6" s="235">
        <v>1506537.91</v>
      </c>
    </row>
    <row r="7" spans="1:10" s="226" customFormat="1" ht="15.75" customHeight="1">
      <c r="A7" s="231" t="s">
        <v>526</v>
      </c>
      <c r="B7" s="236">
        <v>531345.05000000005</v>
      </c>
      <c r="C7" s="236">
        <v>279922.8</v>
      </c>
      <c r="D7" s="237">
        <v>251422.25</v>
      </c>
      <c r="E7" s="234">
        <v>653606.42000000004</v>
      </c>
      <c r="F7" s="234">
        <v>329534.21999999997</v>
      </c>
      <c r="G7" s="234">
        <v>324072.2</v>
      </c>
      <c r="H7" s="238">
        <v>1288635.46</v>
      </c>
      <c r="I7" s="239">
        <v>670090.43999999994</v>
      </c>
      <c r="J7" s="240">
        <v>618545.02</v>
      </c>
    </row>
    <row r="8" spans="1:10" s="226" customFormat="1" ht="15.75" customHeight="1">
      <c r="A8" s="231" t="s">
        <v>527</v>
      </c>
      <c r="B8" s="233">
        <v>2569853.4</v>
      </c>
      <c r="C8" s="233">
        <v>1316619.6000000001</v>
      </c>
      <c r="D8" s="233">
        <v>1253233.8</v>
      </c>
      <c r="E8" s="234">
        <v>3697714.61</v>
      </c>
      <c r="F8" s="234">
        <v>1840953.18</v>
      </c>
      <c r="G8" s="234">
        <v>1856761.43</v>
      </c>
      <c r="H8" s="241">
        <v>3731930.95</v>
      </c>
      <c r="I8" s="242">
        <v>1940604.1</v>
      </c>
      <c r="J8" s="243">
        <v>1791326.86</v>
      </c>
    </row>
    <row r="9" spans="1:10" s="226" customFormat="1">
      <c r="A9" s="231" t="s">
        <v>528</v>
      </c>
      <c r="B9" s="233">
        <v>3362285.38</v>
      </c>
      <c r="C9" s="233">
        <v>1801003.8</v>
      </c>
      <c r="D9" s="233">
        <v>1561281.58</v>
      </c>
      <c r="E9" s="234">
        <v>2081002.87</v>
      </c>
      <c r="F9" s="234">
        <v>1035624.66</v>
      </c>
      <c r="G9" s="234">
        <v>1045378.21</v>
      </c>
      <c r="H9" s="241">
        <v>3731930.95</v>
      </c>
      <c r="I9" s="242">
        <v>1940604.1</v>
      </c>
      <c r="J9" s="243">
        <v>1791326.86</v>
      </c>
    </row>
    <row r="10" spans="1:10" s="226" customFormat="1" ht="15.75" customHeight="1">
      <c r="A10" s="231" t="s">
        <v>529</v>
      </c>
      <c r="B10" s="233">
        <v>3515177.45</v>
      </c>
      <c r="C10" s="233">
        <v>1852738.2</v>
      </c>
      <c r="D10" s="233">
        <v>1662439.25</v>
      </c>
      <c r="E10" s="234">
        <v>1764715.09</v>
      </c>
      <c r="F10" s="234">
        <v>856938.44</v>
      </c>
      <c r="G10" s="234">
        <v>907776.65</v>
      </c>
      <c r="H10" s="241">
        <v>3731930.95</v>
      </c>
      <c r="I10" s="242">
        <v>1940604.1</v>
      </c>
      <c r="J10" s="243">
        <v>1791326.86</v>
      </c>
    </row>
    <row r="11" spans="1:10" s="226" customFormat="1" ht="15.75" customHeight="1">
      <c r="A11" s="231" t="s">
        <v>530</v>
      </c>
      <c r="B11" s="233">
        <v>3119864.5</v>
      </c>
      <c r="C11" s="233">
        <v>1648166.4</v>
      </c>
      <c r="D11" s="233">
        <v>1471698.1</v>
      </c>
      <c r="E11" s="234">
        <v>2545342.2799999998</v>
      </c>
      <c r="F11" s="234">
        <v>1263642.46</v>
      </c>
      <c r="G11" s="234">
        <v>1281699.82</v>
      </c>
      <c r="H11" s="244">
        <v>3138620.64</v>
      </c>
      <c r="I11" s="235">
        <v>1632082.73</v>
      </c>
      <c r="J11" s="235">
        <v>1506537.91</v>
      </c>
    </row>
    <row r="12" spans="1:10" s="226" customFormat="1" ht="15.75" customHeight="1">
      <c r="A12" s="231" t="s">
        <v>531</v>
      </c>
      <c r="B12" s="245">
        <v>985048.4</v>
      </c>
      <c r="C12" s="245">
        <v>472462.2</v>
      </c>
      <c r="D12" s="245">
        <v>512586.2</v>
      </c>
      <c r="E12" s="234">
        <v>2736213.12</v>
      </c>
      <c r="F12" s="234">
        <v>1449386.86</v>
      </c>
      <c r="G12" s="234">
        <v>1286826.26</v>
      </c>
      <c r="H12" s="238">
        <v>1288635.46</v>
      </c>
      <c r="I12" s="239">
        <v>670090.43999999994</v>
      </c>
      <c r="J12" s="240">
        <v>618545.02</v>
      </c>
    </row>
    <row r="13" spans="1:10" s="226" customFormat="1" ht="15.75" customHeight="1">
      <c r="A13" s="231" t="s">
        <v>532</v>
      </c>
      <c r="B13" s="233">
        <v>2756000.3</v>
      </c>
      <c r="C13" s="233">
        <v>1372165.34</v>
      </c>
      <c r="D13" s="233">
        <v>1383834.96</v>
      </c>
      <c r="E13" s="234">
        <v>2068371.49</v>
      </c>
      <c r="F13" s="234">
        <v>1078941.6000000001</v>
      </c>
      <c r="G13" s="234">
        <v>989429.89</v>
      </c>
      <c r="H13" s="241">
        <v>3731930.95</v>
      </c>
      <c r="I13" s="242">
        <v>1940604.1</v>
      </c>
      <c r="J13" s="243">
        <v>1791326.86</v>
      </c>
    </row>
    <row r="14" spans="1:10">
      <c r="A14" s="231" t="s">
        <v>533</v>
      </c>
      <c r="B14" s="233">
        <v>2967447.75</v>
      </c>
      <c r="C14" s="233">
        <v>1514874.92</v>
      </c>
      <c r="D14" s="233">
        <v>1452572.83</v>
      </c>
      <c r="E14" s="246">
        <v>3562297.73</v>
      </c>
      <c r="F14" s="246">
        <v>1852394.82</v>
      </c>
      <c r="G14" s="246">
        <v>1709902.91</v>
      </c>
      <c r="H14" s="241">
        <v>3731930.95</v>
      </c>
      <c r="I14" s="242">
        <v>1940604.1</v>
      </c>
      <c r="J14" s="243">
        <v>1791326.86</v>
      </c>
    </row>
    <row r="15" spans="1:10">
      <c r="A15" s="231" t="s">
        <v>534</v>
      </c>
      <c r="B15" s="233">
        <v>3343052.43</v>
      </c>
      <c r="C15" s="233">
        <v>1742763.24</v>
      </c>
      <c r="D15" s="233">
        <v>1600289.19</v>
      </c>
      <c r="E15" s="246">
        <v>3562297.73</v>
      </c>
      <c r="F15" s="246">
        <v>1852394.82</v>
      </c>
      <c r="G15" s="246">
        <v>1709902.91</v>
      </c>
      <c r="H15" s="241">
        <v>3731930.95</v>
      </c>
      <c r="I15" s="242">
        <v>1940604.1</v>
      </c>
      <c r="J15" s="243">
        <v>1791326.86</v>
      </c>
    </row>
    <row r="16" spans="1:10">
      <c r="A16" s="231" t="s">
        <v>535</v>
      </c>
      <c r="B16" s="233">
        <v>3161670.13</v>
      </c>
      <c r="C16" s="233">
        <v>1665462.28</v>
      </c>
      <c r="D16" s="233">
        <v>1496207.85</v>
      </c>
      <c r="E16" s="247">
        <v>3279126.89</v>
      </c>
      <c r="F16" s="247">
        <v>1705145.98</v>
      </c>
      <c r="G16" s="247">
        <v>1573980.91</v>
      </c>
      <c r="H16" s="244">
        <v>3138620.64</v>
      </c>
      <c r="I16" s="235">
        <v>1632082.73</v>
      </c>
      <c r="J16" s="235">
        <v>1506537.91</v>
      </c>
    </row>
    <row r="17" spans="1:10">
      <c r="A17" s="248" t="s">
        <v>536</v>
      </c>
      <c r="B17" s="249">
        <v>31659954.440000001</v>
      </c>
      <c r="C17" s="249">
        <v>16499503.58</v>
      </c>
      <c r="D17" s="249">
        <v>15160450.859999999</v>
      </c>
      <c r="E17" s="250">
        <v>27357503.629999999</v>
      </c>
      <c r="F17" s="251">
        <v>14023004.92</v>
      </c>
      <c r="G17" s="251">
        <v>13334498.710000001</v>
      </c>
      <c r="H17" s="250">
        <v>37523339.18</v>
      </c>
      <c r="I17" s="251">
        <v>19512136.379999999</v>
      </c>
      <c r="J17" s="251">
        <v>18011202.809999999</v>
      </c>
    </row>
    <row r="19" spans="1:10">
      <c r="G19" s="252">
        <f>G17/12</f>
        <v>1111208.2258333333</v>
      </c>
      <c r="J19" s="252">
        <f>J17/12</f>
        <v>1500933.5674999999</v>
      </c>
    </row>
  </sheetData>
  <mergeCells count="3">
    <mergeCell ref="B3:D3"/>
    <mergeCell ref="E3:G3"/>
    <mergeCell ref="H3:J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66E2-14A1-427E-9E0C-E113DA3D9B31}">
  <sheetPr>
    <tabColor rgb="FFD99694"/>
  </sheetPr>
  <dimension ref="A1:XCQ97"/>
  <sheetViews>
    <sheetView tabSelected="1" zoomScale="85" zoomScaleNormal="85" workbookViewId="0">
      <pane xSplit="3" ySplit="1" topLeftCell="D2" activePane="bottomRight" state="frozen"/>
      <selection pane="topRight" activeCell="M1" sqref="M1"/>
      <selection pane="bottomLeft" activeCell="A22" sqref="A22"/>
      <selection pane="bottomRight" activeCell="L91" sqref="L91"/>
    </sheetView>
  </sheetViews>
  <sheetFormatPr baseColWidth="10" defaultColWidth="9.1640625" defaultRowHeight="15"/>
  <cols>
    <col min="1" max="1" width="46.6640625" style="11" customWidth="1"/>
    <col min="2" max="2" width="14.5" style="11" customWidth="1"/>
    <col min="3" max="3" width="38.83203125" style="12" customWidth="1"/>
    <col min="4" max="4" width="24.83203125" style="12" customWidth="1"/>
    <col min="5" max="5" width="31.6640625" style="12" customWidth="1"/>
    <col min="6" max="6" width="16.33203125" style="12" customWidth="1"/>
    <col min="7" max="7" width="13" style="12" customWidth="1"/>
    <col min="8" max="8" width="17.1640625" style="12" customWidth="1"/>
    <col min="9" max="9" width="12.33203125" style="12" customWidth="1"/>
    <col min="10" max="10" width="14.6640625" style="13" customWidth="1"/>
    <col min="11" max="11" width="15.33203125" style="14" customWidth="1"/>
    <col min="12" max="12" width="14.33203125" style="13" customWidth="1"/>
    <col min="13" max="16319" width="9.1640625" style="11"/>
    <col min="16320" max="16384" width="11.5" customWidth="1"/>
  </cols>
  <sheetData>
    <row r="1" spans="1:12" ht="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29" t="s">
        <v>16</v>
      </c>
      <c r="K1" s="30" t="s">
        <v>17</v>
      </c>
      <c r="L1" s="31" t="s">
        <v>18</v>
      </c>
    </row>
    <row r="2" spans="1:12">
      <c r="A2" s="36" t="s">
        <v>28</v>
      </c>
      <c r="B2" s="36" t="s">
        <v>29</v>
      </c>
      <c r="C2" s="38" t="s">
        <v>30</v>
      </c>
      <c r="D2" s="38"/>
      <c r="E2" s="39"/>
      <c r="F2" s="39"/>
      <c r="G2" s="40"/>
      <c r="H2" s="40"/>
      <c r="I2" s="39"/>
      <c r="J2" s="41">
        <v>161000</v>
      </c>
      <c r="K2" s="42"/>
      <c r="L2" s="263">
        <f>J2*12</f>
        <v>1932000</v>
      </c>
    </row>
    <row r="3" spans="1:12">
      <c r="A3" s="36" t="s">
        <v>32</v>
      </c>
      <c r="B3" s="36" t="s">
        <v>29</v>
      </c>
      <c r="C3" s="38" t="s">
        <v>33</v>
      </c>
      <c r="D3" s="38"/>
      <c r="E3" s="39"/>
      <c r="F3" s="39"/>
      <c r="G3" s="40"/>
      <c r="H3" s="40"/>
      <c r="I3" s="39"/>
      <c r="J3" s="41">
        <v>36375</v>
      </c>
      <c r="K3" s="42"/>
      <c r="L3" s="263">
        <f t="shared" ref="L3:L4" si="0">J3*12</f>
        <v>436500</v>
      </c>
    </row>
    <row r="4" spans="1:12" ht="14.25" customHeight="1">
      <c r="A4" s="36" t="s">
        <v>35</v>
      </c>
      <c r="B4" s="36" t="s">
        <v>36</v>
      </c>
      <c r="C4" s="49" t="s">
        <v>37</v>
      </c>
      <c r="D4" s="49"/>
      <c r="E4" s="39"/>
      <c r="F4" s="39"/>
      <c r="G4" s="40"/>
      <c r="H4" s="40"/>
      <c r="I4" s="39"/>
      <c r="J4" s="41">
        <v>49000</v>
      </c>
      <c r="K4" s="42"/>
      <c r="L4" s="263">
        <f>J4*12</f>
        <v>588000</v>
      </c>
    </row>
    <row r="5" spans="1:12" ht="27" customHeight="1">
      <c r="A5" s="36" t="s">
        <v>39</v>
      </c>
      <c r="B5" s="36" t="s">
        <v>29</v>
      </c>
      <c r="C5" s="38" t="s">
        <v>37</v>
      </c>
      <c r="D5" s="49"/>
      <c r="E5" s="39"/>
      <c r="F5" s="39"/>
      <c r="G5" s="40"/>
      <c r="H5" s="40"/>
      <c r="I5" s="39"/>
      <c r="J5" s="43">
        <v>810000</v>
      </c>
      <c r="K5" s="42"/>
      <c r="L5" s="263">
        <f t="shared" ref="L5:L68" si="1">J5*12</f>
        <v>9720000</v>
      </c>
    </row>
    <row r="6" spans="1:12" ht="54.75" customHeight="1">
      <c r="A6" s="36" t="s">
        <v>40</v>
      </c>
      <c r="B6" s="36"/>
      <c r="C6" s="38" t="s">
        <v>41</v>
      </c>
      <c r="D6" s="49" t="s">
        <v>42</v>
      </c>
      <c r="E6" s="49"/>
      <c r="F6" s="55"/>
      <c r="G6" s="40"/>
      <c r="H6" s="40"/>
      <c r="I6" s="49"/>
      <c r="J6" s="10">
        <v>1361927.55</v>
      </c>
      <c r="K6" s="42"/>
      <c r="L6" s="263">
        <f t="shared" si="1"/>
        <v>16343130.600000001</v>
      </c>
    </row>
    <row r="7" spans="1:12" ht="14.25" customHeight="1">
      <c r="A7" s="36" t="s">
        <v>43</v>
      </c>
      <c r="B7" s="36" t="s">
        <v>44</v>
      </c>
      <c r="C7" s="38" t="s">
        <v>45</v>
      </c>
      <c r="D7" s="49">
        <v>82024000137</v>
      </c>
      <c r="E7" s="49"/>
      <c r="F7" s="49"/>
      <c r="G7" s="40"/>
      <c r="H7" s="40"/>
      <c r="I7" s="49"/>
      <c r="J7" s="10">
        <v>700000</v>
      </c>
      <c r="K7" s="42"/>
      <c r="L7" s="263">
        <f t="shared" si="1"/>
        <v>8400000</v>
      </c>
    </row>
    <row r="8" spans="1:12" ht="27" customHeight="1">
      <c r="A8" s="57" t="s">
        <v>46</v>
      </c>
      <c r="B8" s="36" t="s">
        <v>47</v>
      </c>
      <c r="C8" s="38" t="s">
        <v>45</v>
      </c>
      <c r="D8" s="49" t="s">
        <v>48</v>
      </c>
      <c r="E8" s="49"/>
      <c r="F8" s="55"/>
      <c r="G8" s="40"/>
      <c r="H8" s="40"/>
      <c r="I8" s="49"/>
      <c r="J8" s="43">
        <v>333</v>
      </c>
      <c r="K8" s="42"/>
      <c r="L8" s="263">
        <f t="shared" si="1"/>
        <v>3996</v>
      </c>
    </row>
    <row r="9" spans="1:12" ht="54.75" customHeight="1">
      <c r="A9" s="58" t="s">
        <v>49</v>
      </c>
      <c r="B9" s="36" t="s">
        <v>47</v>
      </c>
      <c r="C9" s="49" t="s">
        <v>41</v>
      </c>
      <c r="D9" s="49">
        <v>1543032000104</v>
      </c>
      <c r="E9" s="49" t="s">
        <v>50</v>
      </c>
      <c r="F9" s="55"/>
      <c r="G9" s="40"/>
      <c r="H9" s="40"/>
      <c r="I9" s="49" t="s">
        <v>51</v>
      </c>
      <c r="J9" s="43">
        <v>1585.03</v>
      </c>
      <c r="K9" s="42"/>
      <c r="L9" s="263">
        <f t="shared" si="1"/>
        <v>19020.36</v>
      </c>
    </row>
    <row r="10" spans="1:12" ht="14.25" customHeight="1">
      <c r="A10" s="36" t="s">
        <v>52</v>
      </c>
      <c r="B10" s="60" t="s">
        <v>53</v>
      </c>
      <c r="C10" s="49" t="s">
        <v>54</v>
      </c>
      <c r="D10" s="49" t="s">
        <v>55</v>
      </c>
      <c r="E10" s="38" t="s">
        <v>56</v>
      </c>
      <c r="F10" s="62">
        <v>46247</v>
      </c>
      <c r="G10" s="63" t="str">
        <f ca="1">IF((F10-TODAY())&lt;0,"EXPIRADO", IF((F10-TODAY())&lt;=60,"EM BREVE","NO PRAZO"))</f>
        <v>NO PRAZO</v>
      </c>
      <c r="H10" s="38"/>
      <c r="I10" s="64" t="s">
        <v>57</v>
      </c>
      <c r="J10" s="43">
        <v>60000</v>
      </c>
      <c r="K10" s="42"/>
      <c r="L10" s="263">
        <f t="shared" si="1"/>
        <v>720000</v>
      </c>
    </row>
    <row r="11" spans="1:12" ht="110.25" customHeight="1">
      <c r="A11" s="66" t="s">
        <v>58</v>
      </c>
      <c r="B11" s="60" t="s">
        <v>53</v>
      </c>
      <c r="C11" s="49" t="s">
        <v>59</v>
      </c>
      <c r="D11" s="49"/>
      <c r="E11" s="67" t="s">
        <v>60</v>
      </c>
      <c r="F11" s="68"/>
      <c r="G11" s="63"/>
      <c r="H11" s="38" t="s">
        <v>61</v>
      </c>
      <c r="I11" s="69"/>
      <c r="J11" s="43"/>
      <c r="K11" s="42"/>
      <c r="L11" s="263">
        <f t="shared" si="1"/>
        <v>0</v>
      </c>
    </row>
    <row r="12" spans="1:12" ht="41.25" customHeight="1">
      <c r="A12" s="66" t="s">
        <v>62</v>
      </c>
      <c r="B12" s="60" t="s">
        <v>53</v>
      </c>
      <c r="C12" s="71" t="s">
        <v>63</v>
      </c>
      <c r="D12" s="71" t="s">
        <v>64</v>
      </c>
      <c r="E12" s="72" t="s">
        <v>65</v>
      </c>
      <c r="F12" s="73">
        <v>45836</v>
      </c>
      <c r="G12" s="63" t="str">
        <f t="shared" ref="G12:G32" ca="1" si="2">IF((F12-TODAY())&lt;0,"EXPIRADO", IF((F12-TODAY())&lt;=60,"EM BREVE","NO PRAZO"))</f>
        <v>EXPIRADO</v>
      </c>
      <c r="H12" s="74"/>
      <c r="I12" s="69" t="s">
        <v>66</v>
      </c>
      <c r="J12" s="43"/>
      <c r="K12" s="42">
        <f>L12/12</f>
        <v>0</v>
      </c>
      <c r="L12" s="263">
        <f t="shared" si="1"/>
        <v>0</v>
      </c>
    </row>
    <row r="13" spans="1:12" s="11" customFormat="1" ht="27" customHeight="1">
      <c r="A13" s="75" t="s">
        <v>67</v>
      </c>
      <c r="B13" s="75" t="s">
        <v>53</v>
      </c>
      <c r="C13" s="77" t="s">
        <v>63</v>
      </c>
      <c r="D13" s="77" t="s">
        <v>68</v>
      </c>
      <c r="E13" s="78" t="s">
        <v>69</v>
      </c>
      <c r="F13" s="68">
        <v>46147</v>
      </c>
      <c r="G13" s="63" t="str">
        <f t="shared" ca="1" si="2"/>
        <v>NO PRAZO</v>
      </c>
      <c r="H13" s="38"/>
      <c r="I13" s="8" t="s">
        <v>70</v>
      </c>
      <c r="J13" s="79"/>
      <c r="K13" s="80">
        <f>L13/12</f>
        <v>0</v>
      </c>
      <c r="L13" s="263">
        <f t="shared" si="1"/>
        <v>0</v>
      </c>
    </row>
    <row r="14" spans="1:12" ht="43.5" customHeight="1">
      <c r="A14" s="60" t="s">
        <v>71</v>
      </c>
      <c r="B14" s="60" t="s">
        <v>53</v>
      </c>
      <c r="C14" s="71" t="s">
        <v>72</v>
      </c>
      <c r="D14" s="71">
        <v>30814920000104</v>
      </c>
      <c r="E14" s="81" t="s">
        <v>73</v>
      </c>
      <c r="F14" s="68">
        <v>47457</v>
      </c>
      <c r="G14" s="63" t="str">
        <f t="shared" ca="1" si="2"/>
        <v>NO PRAZO</v>
      </c>
      <c r="H14" s="38"/>
      <c r="I14" s="43"/>
      <c r="J14" s="82"/>
      <c r="K14" s="42"/>
      <c r="L14" s="263">
        <f t="shared" si="1"/>
        <v>0</v>
      </c>
    </row>
    <row r="15" spans="1:12" ht="82.5" customHeight="1">
      <c r="A15" s="60" t="s">
        <v>74</v>
      </c>
      <c r="B15" s="60" t="s">
        <v>53</v>
      </c>
      <c r="C15" s="71" t="s">
        <v>75</v>
      </c>
      <c r="D15" s="71" t="s">
        <v>76</v>
      </c>
      <c r="E15" s="81" t="s">
        <v>77</v>
      </c>
      <c r="F15" s="68">
        <v>46082</v>
      </c>
      <c r="G15" s="63" t="str">
        <f t="shared" ca="1" si="2"/>
        <v>NO PRAZO</v>
      </c>
      <c r="H15" s="63"/>
      <c r="I15" s="84" t="s">
        <v>78</v>
      </c>
      <c r="J15" s="10">
        <f ca="1">L15/12</f>
        <v>236095</v>
      </c>
      <c r="K15" s="85" t="s">
        <v>79</v>
      </c>
      <c r="L15" s="263">
        <f t="shared" ca="1" si="1"/>
        <v>588000</v>
      </c>
    </row>
    <row r="16" spans="1:12" ht="57.75" hidden="1" customHeight="1">
      <c r="A16" s="86" t="s">
        <v>80</v>
      </c>
      <c r="B16" s="86" t="s">
        <v>81</v>
      </c>
      <c r="C16" s="38" t="s">
        <v>82</v>
      </c>
      <c r="D16" s="38" t="s">
        <v>83</v>
      </c>
      <c r="E16" s="81" t="s">
        <v>84</v>
      </c>
      <c r="F16" s="68">
        <v>45743</v>
      </c>
      <c r="G16" s="63" t="str">
        <f t="shared" ca="1" si="2"/>
        <v>EXPIRADO</v>
      </c>
      <c r="H16" s="38"/>
      <c r="I16" s="84" t="s">
        <v>85</v>
      </c>
      <c r="J16" s="10"/>
      <c r="K16" s="80"/>
      <c r="L16" s="263">
        <f t="shared" si="1"/>
        <v>0</v>
      </c>
    </row>
    <row r="17" spans="1:12" ht="57.75" customHeight="1">
      <c r="A17" s="86" t="s">
        <v>86</v>
      </c>
      <c r="B17" s="86" t="s">
        <v>81</v>
      </c>
      <c r="C17" s="38" t="s">
        <v>82</v>
      </c>
      <c r="D17" s="38" t="s">
        <v>87</v>
      </c>
      <c r="E17" s="81" t="s">
        <v>88</v>
      </c>
      <c r="F17" s="68">
        <v>47682</v>
      </c>
      <c r="G17" s="63" t="str">
        <f t="shared" ca="1" si="2"/>
        <v>NO PRAZO</v>
      </c>
      <c r="H17" s="38"/>
      <c r="I17" s="84" t="s">
        <v>89</v>
      </c>
      <c r="J17" s="10">
        <v>4000</v>
      </c>
      <c r="K17" s="80"/>
      <c r="L17" s="263">
        <f t="shared" si="1"/>
        <v>48000</v>
      </c>
    </row>
    <row r="18" spans="1:12" ht="57.75" customHeight="1">
      <c r="A18" s="87" t="s">
        <v>90</v>
      </c>
      <c r="B18" s="86" t="s">
        <v>91</v>
      </c>
      <c r="C18" s="49" t="s">
        <v>82</v>
      </c>
      <c r="D18" s="49" t="s">
        <v>92</v>
      </c>
      <c r="E18" s="81" t="s">
        <v>93</v>
      </c>
      <c r="F18" s="68">
        <v>45106</v>
      </c>
      <c r="G18" s="63" t="str">
        <f t="shared" ca="1" si="2"/>
        <v>EXPIRADO</v>
      </c>
      <c r="H18" s="63"/>
      <c r="I18" s="84" t="s">
        <v>94</v>
      </c>
      <c r="J18" s="10"/>
      <c r="K18" s="80"/>
      <c r="L18" s="263">
        <f t="shared" si="1"/>
        <v>0</v>
      </c>
    </row>
    <row r="19" spans="1:12" ht="54.75" customHeight="1">
      <c r="A19" s="86" t="s">
        <v>95</v>
      </c>
      <c r="B19" s="86" t="s">
        <v>81</v>
      </c>
      <c r="C19" s="49" t="s">
        <v>82</v>
      </c>
      <c r="D19" s="49" t="s">
        <v>92</v>
      </c>
      <c r="E19" s="81" t="s">
        <v>96</v>
      </c>
      <c r="F19" s="68">
        <v>46221</v>
      </c>
      <c r="G19" s="63" t="str">
        <f t="shared" ca="1" si="2"/>
        <v>NO PRAZO</v>
      </c>
      <c r="H19" s="63"/>
      <c r="I19" s="84" t="s">
        <v>97</v>
      </c>
      <c r="J19" s="10">
        <v>4000</v>
      </c>
      <c r="K19" s="80"/>
      <c r="L19" s="263">
        <f t="shared" si="1"/>
        <v>48000</v>
      </c>
    </row>
    <row r="20" spans="1:12" ht="27" customHeight="1">
      <c r="A20" s="89" t="s">
        <v>98</v>
      </c>
      <c r="B20" s="86" t="s">
        <v>81</v>
      </c>
      <c r="C20" s="49" t="s">
        <v>99</v>
      </c>
      <c r="D20" s="49" t="s">
        <v>100</v>
      </c>
      <c r="E20" s="81" t="s">
        <v>101</v>
      </c>
      <c r="F20" s="68">
        <v>45989</v>
      </c>
      <c r="G20" s="63" t="str">
        <f t="shared" ca="1" si="2"/>
        <v>EM BREVE</v>
      </c>
      <c r="H20" s="38" t="s">
        <v>102</v>
      </c>
      <c r="I20" s="84" t="s">
        <v>103</v>
      </c>
      <c r="J20" s="10">
        <v>500</v>
      </c>
      <c r="K20" s="80"/>
      <c r="L20" s="263">
        <f t="shared" si="1"/>
        <v>6000</v>
      </c>
    </row>
    <row r="21" spans="1:12">
      <c r="A21" s="90" t="s">
        <v>104</v>
      </c>
      <c r="B21" s="86" t="s">
        <v>81</v>
      </c>
      <c r="C21" s="49" t="s">
        <v>33</v>
      </c>
      <c r="D21" s="49" t="s">
        <v>105</v>
      </c>
      <c r="E21" s="81" t="s">
        <v>106</v>
      </c>
      <c r="F21" s="68">
        <v>46086</v>
      </c>
      <c r="G21" s="63" t="str">
        <f t="shared" ca="1" si="2"/>
        <v>NO PRAZO</v>
      </c>
      <c r="H21" s="38"/>
      <c r="I21" s="81" t="s">
        <v>107</v>
      </c>
      <c r="J21" s="10">
        <v>3870</v>
      </c>
      <c r="K21" s="80"/>
      <c r="L21" s="263">
        <f t="shared" si="1"/>
        <v>46440</v>
      </c>
    </row>
    <row r="22" spans="1:12" ht="69" customHeight="1">
      <c r="A22" s="75" t="s">
        <v>108</v>
      </c>
      <c r="B22" s="89" t="s">
        <v>109</v>
      </c>
      <c r="C22" s="94" t="s">
        <v>110</v>
      </c>
      <c r="D22" s="71" t="s">
        <v>111</v>
      </c>
      <c r="E22" s="81" t="s">
        <v>112</v>
      </c>
      <c r="F22" s="68">
        <v>46039</v>
      </c>
      <c r="G22" s="63" t="str">
        <f t="shared" ca="1" si="2"/>
        <v>EM BREVE</v>
      </c>
      <c r="H22" s="38"/>
      <c r="I22" s="81" t="s">
        <v>113</v>
      </c>
      <c r="J22" s="10">
        <v>4000</v>
      </c>
      <c r="K22" s="42"/>
      <c r="L22" s="263">
        <f t="shared" si="1"/>
        <v>48000</v>
      </c>
    </row>
    <row r="23" spans="1:12" ht="69" customHeight="1">
      <c r="A23" s="96" t="s">
        <v>114</v>
      </c>
      <c r="B23" s="86" t="s">
        <v>115</v>
      </c>
      <c r="C23" s="49" t="s">
        <v>110</v>
      </c>
      <c r="D23" s="97">
        <v>7044248000101</v>
      </c>
      <c r="E23" s="38" t="s">
        <v>116</v>
      </c>
      <c r="F23" s="62">
        <v>45824</v>
      </c>
      <c r="G23" s="63" t="str">
        <f t="shared" ca="1" si="2"/>
        <v>EXPIRADO</v>
      </c>
      <c r="H23" s="38" t="s">
        <v>117</v>
      </c>
      <c r="I23" s="98" t="s">
        <v>118</v>
      </c>
      <c r="J23" s="10">
        <v>7000</v>
      </c>
      <c r="K23" s="80"/>
      <c r="L23" s="263">
        <f t="shared" si="1"/>
        <v>84000</v>
      </c>
    </row>
    <row r="24" spans="1:12" ht="28.5" customHeight="1">
      <c r="A24" s="96" t="s">
        <v>119</v>
      </c>
      <c r="B24" s="86" t="s">
        <v>115</v>
      </c>
      <c r="C24" s="49" t="s">
        <v>120</v>
      </c>
      <c r="D24" s="49" t="s">
        <v>121</v>
      </c>
      <c r="E24" s="38" t="s">
        <v>122</v>
      </c>
      <c r="F24" s="62">
        <v>46137</v>
      </c>
      <c r="G24" s="63" t="str">
        <f t="shared" ca="1" si="2"/>
        <v>NO PRAZO</v>
      </c>
      <c r="H24" s="38"/>
      <c r="I24" s="98" t="s">
        <v>123</v>
      </c>
      <c r="J24" s="10">
        <v>10000</v>
      </c>
      <c r="K24" s="80"/>
      <c r="L24" s="263">
        <f t="shared" si="1"/>
        <v>120000</v>
      </c>
    </row>
    <row r="25" spans="1:12" ht="57.75" customHeight="1">
      <c r="A25" s="87" t="s">
        <v>124</v>
      </c>
      <c r="B25" s="86" t="s">
        <v>115</v>
      </c>
      <c r="C25" s="49" t="s">
        <v>125</v>
      </c>
      <c r="D25" s="49">
        <v>3506307000157</v>
      </c>
      <c r="E25" s="38" t="s">
        <v>126</v>
      </c>
      <c r="F25" s="62">
        <v>46270</v>
      </c>
      <c r="G25" s="63" t="str">
        <f t="shared" ca="1" si="2"/>
        <v>NO PRAZO</v>
      </c>
      <c r="H25" s="38"/>
      <c r="I25" s="38" t="s">
        <v>127</v>
      </c>
      <c r="J25" s="10">
        <v>80000</v>
      </c>
      <c r="K25" s="80"/>
      <c r="L25" s="263">
        <f t="shared" si="1"/>
        <v>960000</v>
      </c>
    </row>
    <row r="26" spans="1:12" ht="27" customHeight="1">
      <c r="A26" s="96" t="s">
        <v>128</v>
      </c>
      <c r="B26" s="86" t="s">
        <v>115</v>
      </c>
      <c r="C26" s="49" t="s">
        <v>129</v>
      </c>
      <c r="D26" s="49" t="s">
        <v>130</v>
      </c>
      <c r="E26" s="38" t="s">
        <v>131</v>
      </c>
      <c r="F26" s="68">
        <v>45980</v>
      </c>
      <c r="G26" s="63" t="str">
        <f t="shared" ca="1" si="2"/>
        <v>EM BREVE</v>
      </c>
      <c r="H26" s="38" t="s">
        <v>132</v>
      </c>
      <c r="I26" s="49" t="s">
        <v>133</v>
      </c>
      <c r="J26" s="10">
        <f ca="1">L26/12</f>
        <v>65625.02</v>
      </c>
      <c r="K26" s="80"/>
      <c r="L26" s="263">
        <f t="shared" ca="1" si="1"/>
        <v>588000</v>
      </c>
    </row>
    <row r="27" spans="1:12" ht="48.75" customHeight="1">
      <c r="A27" s="87" t="s">
        <v>134</v>
      </c>
      <c r="B27" s="86" t="s">
        <v>115</v>
      </c>
      <c r="C27" s="49" t="s">
        <v>135</v>
      </c>
      <c r="D27" s="49" t="s">
        <v>136</v>
      </c>
      <c r="E27" s="81" t="s">
        <v>137</v>
      </c>
      <c r="F27" s="68">
        <v>46231</v>
      </c>
      <c r="G27" s="63" t="str">
        <f t="shared" ca="1" si="2"/>
        <v>NO PRAZO</v>
      </c>
      <c r="H27" s="38"/>
      <c r="I27" s="81" t="s">
        <v>138</v>
      </c>
      <c r="J27" s="10">
        <v>298000</v>
      </c>
      <c r="K27" s="80"/>
      <c r="L27" s="263">
        <f t="shared" si="1"/>
        <v>3576000</v>
      </c>
    </row>
    <row r="28" spans="1:12" ht="36" customHeight="1">
      <c r="A28" s="87" t="s">
        <v>139</v>
      </c>
      <c r="B28" s="86" t="s">
        <v>115</v>
      </c>
      <c r="C28" s="81" t="s">
        <v>140</v>
      </c>
      <c r="D28" s="81" t="s">
        <v>141</v>
      </c>
      <c r="E28" s="81" t="s">
        <v>142</v>
      </c>
      <c r="F28" s="68">
        <v>46062</v>
      </c>
      <c r="G28" s="63" t="str">
        <f t="shared" ca="1" si="2"/>
        <v>NO PRAZO</v>
      </c>
      <c r="H28" s="38"/>
      <c r="I28" s="73" t="s">
        <v>143</v>
      </c>
      <c r="J28" s="10">
        <v>90000</v>
      </c>
      <c r="K28" s="80"/>
      <c r="L28" s="263">
        <f t="shared" si="1"/>
        <v>1080000</v>
      </c>
    </row>
    <row r="29" spans="1:12" ht="54.75" customHeight="1">
      <c r="A29" s="87" t="s">
        <v>144</v>
      </c>
      <c r="B29" s="86" t="s">
        <v>115</v>
      </c>
      <c r="C29" s="49" t="s">
        <v>145</v>
      </c>
      <c r="D29" s="102">
        <v>12859652000165</v>
      </c>
      <c r="E29" s="81" t="s">
        <v>146</v>
      </c>
      <c r="F29" s="68">
        <v>46123</v>
      </c>
      <c r="G29" s="63" t="str">
        <f t="shared" ca="1" si="2"/>
        <v>NO PRAZO</v>
      </c>
      <c r="H29" s="63"/>
      <c r="I29" s="73" t="s">
        <v>147</v>
      </c>
      <c r="J29" s="10"/>
      <c r="K29" s="80">
        <v>95000</v>
      </c>
      <c r="L29" s="263">
        <f t="shared" si="1"/>
        <v>0</v>
      </c>
    </row>
    <row r="30" spans="1:12">
      <c r="A30" s="87" t="s">
        <v>148</v>
      </c>
      <c r="B30" s="89" t="s">
        <v>115</v>
      </c>
      <c r="C30" s="94" t="s">
        <v>149</v>
      </c>
      <c r="D30" s="71" t="s">
        <v>150</v>
      </c>
      <c r="E30" s="81" t="s">
        <v>151</v>
      </c>
      <c r="F30" s="68">
        <v>46094</v>
      </c>
      <c r="G30" s="63" t="str">
        <f t="shared" ca="1" si="2"/>
        <v>NO PRAZO</v>
      </c>
      <c r="H30" s="105"/>
      <c r="I30" s="68" t="s">
        <v>152</v>
      </c>
      <c r="J30" s="10">
        <v>6000</v>
      </c>
      <c r="K30" s="80"/>
      <c r="L30" s="263">
        <f t="shared" si="1"/>
        <v>72000</v>
      </c>
    </row>
    <row r="31" spans="1:12" ht="30">
      <c r="A31" s="87" t="s">
        <v>153</v>
      </c>
      <c r="B31" s="89" t="s">
        <v>115</v>
      </c>
      <c r="C31" s="71" t="s">
        <v>154</v>
      </c>
      <c r="D31" s="71" t="s">
        <v>155</v>
      </c>
      <c r="E31" s="67" t="s">
        <v>156</v>
      </c>
      <c r="F31" s="73">
        <v>46224</v>
      </c>
      <c r="G31" s="63" t="str">
        <f t="shared" ca="1" si="2"/>
        <v>NO PRAZO</v>
      </c>
      <c r="H31" s="38"/>
      <c r="I31" s="67" t="s">
        <v>157</v>
      </c>
      <c r="J31" s="43">
        <v>500000</v>
      </c>
      <c r="K31" s="42"/>
      <c r="L31" s="263">
        <f t="shared" si="1"/>
        <v>6000000</v>
      </c>
    </row>
    <row r="32" spans="1:12" ht="45">
      <c r="A32" s="87" t="s">
        <v>158</v>
      </c>
      <c r="B32" s="89" t="s">
        <v>115</v>
      </c>
      <c r="C32" s="71" t="s">
        <v>159</v>
      </c>
      <c r="D32" s="71" t="s">
        <v>160</v>
      </c>
      <c r="E32" s="67" t="s">
        <v>161</v>
      </c>
      <c r="F32" s="73">
        <v>46098</v>
      </c>
      <c r="G32" s="63" t="str">
        <f t="shared" ca="1" si="2"/>
        <v>NO PRAZO</v>
      </c>
      <c r="H32" s="38" t="s">
        <v>162</v>
      </c>
      <c r="I32" s="67" t="s">
        <v>163</v>
      </c>
      <c r="J32" s="43"/>
      <c r="K32" s="42"/>
      <c r="L32" s="263">
        <f t="shared" si="1"/>
        <v>0</v>
      </c>
    </row>
    <row r="33" spans="1:12" ht="85.5" customHeight="1">
      <c r="A33" s="86" t="s">
        <v>164</v>
      </c>
      <c r="B33" s="89"/>
      <c r="C33" s="77" t="s">
        <v>165</v>
      </c>
      <c r="D33" s="71"/>
      <c r="E33" s="67" t="s">
        <v>166</v>
      </c>
      <c r="F33" s="73"/>
      <c r="G33" s="63"/>
      <c r="H33" s="63"/>
      <c r="I33" s="67"/>
      <c r="J33" s="43"/>
      <c r="K33" s="42"/>
      <c r="L33" s="263">
        <f t="shared" si="1"/>
        <v>0</v>
      </c>
    </row>
    <row r="34" spans="1:12" ht="54.75" customHeight="1">
      <c r="A34" s="86" t="s">
        <v>167</v>
      </c>
      <c r="B34" s="86" t="s">
        <v>109</v>
      </c>
      <c r="C34" s="49" t="s">
        <v>168</v>
      </c>
      <c r="D34" s="49" t="s">
        <v>169</v>
      </c>
      <c r="E34" s="38" t="s">
        <v>170</v>
      </c>
      <c r="F34" s="111">
        <v>46127</v>
      </c>
      <c r="G34" s="63" t="str">
        <f t="shared" ref="G34:G63" ca="1" si="3">IF((F34-TODAY())&lt;0,"EXPIRADO", IF((F34-TODAY())&lt;=60,"EM BREVE","NO PRAZO"))</f>
        <v>NO PRAZO</v>
      </c>
      <c r="H34" s="38"/>
      <c r="I34" s="98" t="s">
        <v>171</v>
      </c>
      <c r="J34" s="10"/>
      <c r="K34" s="80">
        <f>12640.77</f>
        <v>12640.77</v>
      </c>
      <c r="L34" s="263">
        <f t="shared" si="1"/>
        <v>0</v>
      </c>
    </row>
    <row r="35" spans="1:12" ht="54.75" customHeight="1">
      <c r="A35" s="60" t="s">
        <v>172</v>
      </c>
      <c r="B35" s="89" t="s">
        <v>109</v>
      </c>
      <c r="C35" s="94" t="s">
        <v>110</v>
      </c>
      <c r="D35" s="71" t="s">
        <v>173</v>
      </c>
      <c r="E35" s="81" t="s">
        <v>174</v>
      </c>
      <c r="F35" s="68">
        <v>46219</v>
      </c>
      <c r="G35" s="63" t="str">
        <f t="shared" ca="1" si="3"/>
        <v>NO PRAZO</v>
      </c>
      <c r="H35" s="38"/>
      <c r="I35" s="81" t="s">
        <v>175</v>
      </c>
      <c r="J35" s="10"/>
      <c r="K35" s="42">
        <f>L35/12</f>
        <v>0</v>
      </c>
      <c r="L35" s="263">
        <f t="shared" si="1"/>
        <v>0</v>
      </c>
    </row>
    <row r="36" spans="1:12" ht="30" customHeight="1">
      <c r="A36" s="75" t="s">
        <v>176</v>
      </c>
      <c r="B36" s="89" t="s">
        <v>109</v>
      </c>
      <c r="C36" s="114" t="s">
        <v>177</v>
      </c>
      <c r="D36" s="49" t="s">
        <v>178</v>
      </c>
      <c r="E36" s="81" t="s">
        <v>179</v>
      </c>
      <c r="F36" s="68">
        <v>46131</v>
      </c>
      <c r="G36" s="63" t="str">
        <f t="shared" ca="1" si="3"/>
        <v>NO PRAZO</v>
      </c>
      <c r="H36" s="38"/>
      <c r="I36" s="81" t="s">
        <v>180</v>
      </c>
      <c r="J36" s="10"/>
      <c r="K36" s="80">
        <f>L36/12</f>
        <v>0</v>
      </c>
      <c r="L36" s="263">
        <f t="shared" si="1"/>
        <v>0</v>
      </c>
    </row>
    <row r="37" spans="1:12" ht="76.5" customHeight="1">
      <c r="A37" s="86" t="s">
        <v>181</v>
      </c>
      <c r="B37" s="89" t="s">
        <v>109</v>
      </c>
      <c r="C37" s="114" t="s">
        <v>182</v>
      </c>
      <c r="D37" s="49">
        <v>8220952000122</v>
      </c>
      <c r="E37" s="81" t="s">
        <v>183</v>
      </c>
      <c r="F37" s="68">
        <v>45929</v>
      </c>
      <c r="G37" s="63" t="str">
        <f t="shared" ca="1" si="3"/>
        <v>EXPIRADO</v>
      </c>
      <c r="H37" s="154" t="s">
        <v>184</v>
      </c>
      <c r="I37" s="81" t="s">
        <v>185</v>
      </c>
      <c r="J37" s="10"/>
      <c r="K37" s="80">
        <v>131667.49</v>
      </c>
      <c r="L37" s="263">
        <f t="shared" si="1"/>
        <v>0</v>
      </c>
    </row>
    <row r="38" spans="1:12" ht="76.5" customHeight="1">
      <c r="A38" s="86" t="s">
        <v>186</v>
      </c>
      <c r="B38" s="89" t="s">
        <v>109</v>
      </c>
      <c r="C38" s="114" t="s">
        <v>182</v>
      </c>
      <c r="D38" s="49" t="s">
        <v>187</v>
      </c>
      <c r="E38" s="81" t="s">
        <v>188</v>
      </c>
      <c r="F38" s="68">
        <v>46660</v>
      </c>
      <c r="G38" s="63" t="str">
        <f t="shared" ca="1" si="3"/>
        <v>NO PRAZO</v>
      </c>
      <c r="H38" s="38"/>
      <c r="I38" s="81" t="s">
        <v>189</v>
      </c>
      <c r="J38" s="10"/>
      <c r="K38" s="80">
        <v>155277.21</v>
      </c>
      <c r="L38" s="263">
        <f t="shared" si="1"/>
        <v>0</v>
      </c>
    </row>
    <row r="39" spans="1:12" ht="38.25" customHeight="1">
      <c r="A39" s="86" t="s">
        <v>190</v>
      </c>
      <c r="B39" s="89" t="s">
        <v>109</v>
      </c>
      <c r="C39" s="114" t="s">
        <v>191</v>
      </c>
      <c r="D39" s="49" t="s">
        <v>192</v>
      </c>
      <c r="E39" s="81" t="s">
        <v>193</v>
      </c>
      <c r="F39" s="68">
        <v>45929</v>
      </c>
      <c r="G39" s="63" t="str">
        <f t="shared" ca="1" si="3"/>
        <v>EXPIRADO</v>
      </c>
      <c r="H39" s="154" t="s">
        <v>184</v>
      </c>
      <c r="I39" s="81" t="s">
        <v>194</v>
      </c>
      <c r="J39" s="10"/>
      <c r="K39" s="80">
        <v>183316.03</v>
      </c>
      <c r="L39" s="263">
        <f t="shared" si="1"/>
        <v>0</v>
      </c>
    </row>
    <row r="40" spans="1:12" ht="38.25" customHeight="1">
      <c r="A40" s="86" t="s">
        <v>195</v>
      </c>
      <c r="B40" s="89" t="s">
        <v>109</v>
      </c>
      <c r="C40" s="114" t="s">
        <v>191</v>
      </c>
      <c r="D40" s="49" t="s">
        <v>187</v>
      </c>
      <c r="E40" s="81" t="s">
        <v>196</v>
      </c>
      <c r="F40" s="68">
        <v>46660</v>
      </c>
      <c r="G40" s="63" t="str">
        <f t="shared" ca="1" si="3"/>
        <v>NO PRAZO</v>
      </c>
      <c r="H40" s="38"/>
      <c r="I40" s="81" t="s">
        <v>197</v>
      </c>
      <c r="J40" s="10"/>
      <c r="K40" s="80">
        <v>258893.8</v>
      </c>
      <c r="L40" s="263">
        <f t="shared" si="1"/>
        <v>0</v>
      </c>
    </row>
    <row r="41" spans="1:12" ht="41.25" customHeight="1">
      <c r="A41" s="89" t="s">
        <v>198</v>
      </c>
      <c r="B41" s="86" t="s">
        <v>109</v>
      </c>
      <c r="C41" s="67" t="s">
        <v>199</v>
      </c>
      <c r="D41" s="67" t="s">
        <v>200</v>
      </c>
      <c r="E41" s="81" t="s">
        <v>201</v>
      </c>
      <c r="F41" s="111">
        <v>46267</v>
      </c>
      <c r="G41" s="63" t="str">
        <f t="shared" ca="1" si="3"/>
        <v>NO PRAZO</v>
      </c>
      <c r="H41" s="38"/>
      <c r="I41" s="81" t="s">
        <v>202</v>
      </c>
      <c r="J41" s="10"/>
      <c r="K41" s="80">
        <v>116248.37</v>
      </c>
      <c r="L41" s="263">
        <f t="shared" si="1"/>
        <v>0</v>
      </c>
    </row>
    <row r="42" spans="1:12" ht="18.75" customHeight="1">
      <c r="A42" s="75" t="s">
        <v>203</v>
      </c>
      <c r="B42" s="89" t="s">
        <v>109</v>
      </c>
      <c r="C42" s="94" t="s">
        <v>204</v>
      </c>
      <c r="D42" s="71" t="s">
        <v>205</v>
      </c>
      <c r="E42" s="81" t="s">
        <v>206</v>
      </c>
      <c r="F42" s="68">
        <v>46402</v>
      </c>
      <c r="G42" s="63" t="str">
        <f t="shared" ca="1" si="3"/>
        <v>NO PRAZO</v>
      </c>
      <c r="H42" s="63"/>
      <c r="I42" s="81" t="s">
        <v>207</v>
      </c>
      <c r="J42" s="10"/>
      <c r="K42" s="115">
        <v>1918496.1</v>
      </c>
      <c r="L42" s="263">
        <f t="shared" si="1"/>
        <v>0</v>
      </c>
    </row>
    <row r="43" spans="1:12" ht="41.25" customHeight="1">
      <c r="A43" s="86" t="s">
        <v>208</v>
      </c>
      <c r="B43" s="89" t="s">
        <v>109</v>
      </c>
      <c r="C43" s="94" t="s">
        <v>209</v>
      </c>
      <c r="D43" s="71" t="s">
        <v>210</v>
      </c>
      <c r="E43" s="81" t="s">
        <v>211</v>
      </c>
      <c r="F43" s="68">
        <v>46097</v>
      </c>
      <c r="G43" s="63" t="str">
        <f t="shared" ca="1" si="3"/>
        <v>NO PRAZO</v>
      </c>
      <c r="H43" s="38"/>
      <c r="I43" s="81" t="s">
        <v>212</v>
      </c>
      <c r="J43" s="10"/>
      <c r="K43" s="80">
        <v>1617878.59</v>
      </c>
      <c r="L43" s="263">
        <f t="shared" si="1"/>
        <v>0</v>
      </c>
    </row>
    <row r="44" spans="1:12" ht="41.25" customHeight="1">
      <c r="A44" s="75" t="s">
        <v>213</v>
      </c>
      <c r="B44" s="89" t="s">
        <v>109</v>
      </c>
      <c r="C44" s="94" t="s">
        <v>214</v>
      </c>
      <c r="D44" s="71" t="s">
        <v>215</v>
      </c>
      <c r="E44" s="81" t="s">
        <v>216</v>
      </c>
      <c r="F44" s="68">
        <v>46020</v>
      </c>
      <c r="G44" s="63" t="str">
        <f t="shared" ca="1" si="3"/>
        <v>EM BREVE</v>
      </c>
      <c r="H44" s="63"/>
      <c r="I44" s="81" t="s">
        <v>217</v>
      </c>
      <c r="J44" s="10"/>
      <c r="K44" s="80">
        <f>1412211.24</f>
        <v>1412211.24</v>
      </c>
      <c r="L44" s="263">
        <f t="shared" si="1"/>
        <v>0</v>
      </c>
    </row>
    <row r="45" spans="1:12" ht="27" customHeight="1">
      <c r="A45" s="75" t="s">
        <v>218</v>
      </c>
      <c r="B45" s="89" t="s">
        <v>109</v>
      </c>
      <c r="C45" s="94" t="s">
        <v>219</v>
      </c>
      <c r="D45" s="71" t="s">
        <v>215</v>
      </c>
      <c r="E45" s="81" t="s">
        <v>220</v>
      </c>
      <c r="F45" s="68">
        <v>46166</v>
      </c>
      <c r="G45" s="63" t="str">
        <f t="shared" ca="1" si="3"/>
        <v>NO PRAZO</v>
      </c>
      <c r="H45" s="38"/>
      <c r="I45" s="81" t="s">
        <v>221</v>
      </c>
      <c r="J45" s="118"/>
      <c r="K45" s="42">
        <v>236438.33100000001</v>
      </c>
      <c r="L45" s="263">
        <f t="shared" si="1"/>
        <v>0</v>
      </c>
    </row>
    <row r="46" spans="1:12" ht="45">
      <c r="A46" s="86" t="s">
        <v>222</v>
      </c>
      <c r="B46" s="89" t="s">
        <v>109</v>
      </c>
      <c r="C46" s="119" t="s">
        <v>223</v>
      </c>
      <c r="D46" s="71" t="s">
        <v>224</v>
      </c>
      <c r="E46" s="81" t="s">
        <v>225</v>
      </c>
      <c r="F46" s="68">
        <v>46221</v>
      </c>
      <c r="G46" s="63" t="str">
        <f t="shared" ca="1" si="3"/>
        <v>NO PRAZO</v>
      </c>
      <c r="H46" s="63"/>
      <c r="I46" s="81" t="s">
        <v>226</v>
      </c>
      <c r="J46" s="10"/>
      <c r="K46" s="80">
        <v>163496.79999999999</v>
      </c>
      <c r="L46" s="263">
        <f t="shared" si="1"/>
        <v>0</v>
      </c>
    </row>
    <row r="47" spans="1:12" ht="76.5" customHeight="1">
      <c r="A47" s="120" t="s">
        <v>227</v>
      </c>
      <c r="B47" s="89" t="s">
        <v>109</v>
      </c>
      <c r="C47" s="94" t="s">
        <v>228</v>
      </c>
      <c r="D47" s="71" t="s">
        <v>229</v>
      </c>
      <c r="E47" s="81" t="s">
        <v>230</v>
      </c>
      <c r="F47" s="68">
        <v>46114</v>
      </c>
      <c r="G47" s="63" t="str">
        <f t="shared" ca="1" si="3"/>
        <v>NO PRAZO</v>
      </c>
      <c r="H47" s="38"/>
      <c r="I47" s="81" t="s">
        <v>231</v>
      </c>
      <c r="J47" s="10">
        <v>1600000</v>
      </c>
      <c r="K47" s="42"/>
      <c r="L47" s="263">
        <f t="shared" si="1"/>
        <v>19200000</v>
      </c>
    </row>
    <row r="48" spans="1:12" ht="76.5" customHeight="1">
      <c r="A48" s="75" t="s">
        <v>232</v>
      </c>
      <c r="B48" s="89" t="s">
        <v>109</v>
      </c>
      <c r="C48" s="94" t="s">
        <v>233</v>
      </c>
      <c r="D48" s="71" t="s">
        <v>229</v>
      </c>
      <c r="E48" s="81" t="s">
        <v>234</v>
      </c>
      <c r="F48" s="68">
        <v>46022</v>
      </c>
      <c r="G48" s="63" t="str">
        <f t="shared" ca="1" si="3"/>
        <v>EM BREVE</v>
      </c>
      <c r="H48" s="38" t="s">
        <v>235</v>
      </c>
      <c r="I48" s="38" t="s">
        <v>236</v>
      </c>
      <c r="J48" s="10">
        <f ca="1">L48/12</f>
        <v>1924342.125</v>
      </c>
      <c r="K48" s="42"/>
      <c r="L48" s="263">
        <f t="shared" ca="1" si="1"/>
        <v>588000</v>
      </c>
    </row>
    <row r="49" spans="1:12" ht="76.5" customHeight="1">
      <c r="A49" s="280" t="s">
        <v>237</v>
      </c>
      <c r="B49" s="89" t="s">
        <v>109</v>
      </c>
      <c r="C49" s="94" t="s">
        <v>228</v>
      </c>
      <c r="D49" s="71" t="s">
        <v>238</v>
      </c>
      <c r="E49" s="81" t="s">
        <v>239</v>
      </c>
      <c r="F49" s="68">
        <v>46146</v>
      </c>
      <c r="G49" s="63" t="str">
        <f t="shared" ca="1" si="3"/>
        <v>NO PRAZO</v>
      </c>
      <c r="H49" s="38"/>
      <c r="I49" s="81" t="s">
        <v>240</v>
      </c>
      <c r="J49" s="10">
        <v>145000</v>
      </c>
      <c r="K49" s="42"/>
      <c r="L49" s="263">
        <f t="shared" si="1"/>
        <v>1740000</v>
      </c>
    </row>
    <row r="50" spans="1:12" ht="40.5" customHeight="1">
      <c r="A50" s="86" t="s">
        <v>241</v>
      </c>
      <c r="B50" s="89" t="s">
        <v>109</v>
      </c>
      <c r="C50" s="71" t="s">
        <v>242</v>
      </c>
      <c r="D50" s="71" t="s">
        <v>243</v>
      </c>
      <c r="E50" s="81" t="s">
        <v>244</v>
      </c>
      <c r="F50" s="68">
        <v>46097</v>
      </c>
      <c r="G50" s="63" t="str">
        <f t="shared" ca="1" si="3"/>
        <v>NO PRAZO</v>
      </c>
      <c r="H50" s="38"/>
      <c r="I50" s="81" t="s">
        <v>245</v>
      </c>
      <c r="J50" s="10"/>
      <c r="K50" s="42">
        <v>484202.15</v>
      </c>
      <c r="L50" s="263">
        <f t="shared" si="1"/>
        <v>0</v>
      </c>
    </row>
    <row r="51" spans="1:12" ht="24.75" customHeight="1">
      <c r="A51" s="86" t="s">
        <v>246</v>
      </c>
      <c r="B51" s="86" t="s">
        <v>109</v>
      </c>
      <c r="C51" s="38" t="s">
        <v>247</v>
      </c>
      <c r="D51" s="38" t="s">
        <v>248</v>
      </c>
      <c r="E51" s="38" t="s">
        <v>249</v>
      </c>
      <c r="F51" s="68">
        <v>46266</v>
      </c>
      <c r="G51" s="63" t="str">
        <f t="shared" ca="1" si="3"/>
        <v>NO PRAZO</v>
      </c>
      <c r="H51" s="38"/>
      <c r="I51" s="98" t="s">
        <v>250</v>
      </c>
      <c r="J51" s="10">
        <v>100</v>
      </c>
      <c r="K51" s="80"/>
      <c r="L51" s="263">
        <f t="shared" si="1"/>
        <v>1200</v>
      </c>
    </row>
    <row r="52" spans="1:12" ht="22.5" customHeight="1">
      <c r="A52" s="86" t="s">
        <v>251</v>
      </c>
      <c r="B52" s="86" t="s">
        <v>109</v>
      </c>
      <c r="C52" s="38" t="s">
        <v>247</v>
      </c>
      <c r="D52" s="38" t="s">
        <v>252</v>
      </c>
      <c r="E52" s="38" t="s">
        <v>249</v>
      </c>
      <c r="F52" s="68">
        <v>46266</v>
      </c>
      <c r="G52" s="63" t="str">
        <f t="shared" ca="1" si="3"/>
        <v>NO PRAZO</v>
      </c>
      <c r="H52" s="38"/>
      <c r="I52" s="98" t="s">
        <v>253</v>
      </c>
      <c r="J52" s="10">
        <v>15000</v>
      </c>
      <c r="K52" s="80"/>
      <c r="L52" s="263">
        <f t="shared" si="1"/>
        <v>180000</v>
      </c>
    </row>
    <row r="53" spans="1:12" ht="41.25" customHeight="1">
      <c r="A53" s="86" t="s">
        <v>254</v>
      </c>
      <c r="B53" s="123" t="s">
        <v>47</v>
      </c>
      <c r="C53" s="71" t="s">
        <v>255</v>
      </c>
      <c r="D53" s="71" t="s">
        <v>256</v>
      </c>
      <c r="E53" s="81" t="s">
        <v>257</v>
      </c>
      <c r="F53" s="68">
        <v>46254</v>
      </c>
      <c r="G53" s="63" t="str">
        <f t="shared" ca="1" si="3"/>
        <v>NO PRAZO</v>
      </c>
      <c r="H53" s="38"/>
      <c r="I53" s="81" t="s">
        <v>258</v>
      </c>
      <c r="J53" s="10"/>
      <c r="K53" s="80">
        <v>5954.2</v>
      </c>
      <c r="L53" s="263">
        <f t="shared" si="1"/>
        <v>0</v>
      </c>
    </row>
    <row r="54" spans="1:12" ht="38.25" customHeight="1">
      <c r="A54" s="90" t="s">
        <v>259</v>
      </c>
      <c r="B54" s="123" t="s">
        <v>47</v>
      </c>
      <c r="C54" s="94" t="s">
        <v>209</v>
      </c>
      <c r="D54" s="71" t="s">
        <v>260</v>
      </c>
      <c r="E54" s="81" t="s">
        <v>261</v>
      </c>
      <c r="F54" s="68">
        <v>46303</v>
      </c>
      <c r="G54" s="63" t="str">
        <f t="shared" ca="1" si="3"/>
        <v>NO PRAZO</v>
      </c>
      <c r="H54" s="38"/>
      <c r="I54" s="81" t="s">
        <v>262</v>
      </c>
      <c r="J54" s="10"/>
      <c r="K54" s="80">
        <v>23452.22</v>
      </c>
      <c r="L54" s="263">
        <f t="shared" si="1"/>
        <v>0</v>
      </c>
    </row>
    <row r="55" spans="1:12" ht="41.25" customHeight="1">
      <c r="A55" s="86" t="s">
        <v>263</v>
      </c>
      <c r="B55" s="123" t="s">
        <v>47</v>
      </c>
      <c r="C55" s="71" t="s">
        <v>135</v>
      </c>
      <c r="D55" s="71" t="s">
        <v>264</v>
      </c>
      <c r="E55" s="81" t="s">
        <v>265</v>
      </c>
      <c r="F55" s="68">
        <v>46309</v>
      </c>
      <c r="G55" s="63" t="str">
        <f t="shared" ca="1" si="3"/>
        <v>NO PRAZO</v>
      </c>
      <c r="H55" s="38"/>
      <c r="I55" s="81" t="s">
        <v>266</v>
      </c>
      <c r="J55" s="10">
        <f ca="1">L55/12</f>
        <v>4106.25</v>
      </c>
      <c r="K55" s="42"/>
      <c r="L55" s="263">
        <f t="shared" ca="1" si="1"/>
        <v>588000</v>
      </c>
    </row>
    <row r="56" spans="1:12" ht="60">
      <c r="A56" s="86" t="s">
        <v>267</v>
      </c>
      <c r="B56" s="123" t="s">
        <v>47</v>
      </c>
      <c r="C56" s="71" t="s">
        <v>223</v>
      </c>
      <c r="D56" s="71" t="s">
        <v>268</v>
      </c>
      <c r="E56" s="81" t="s">
        <v>269</v>
      </c>
      <c r="F56" s="68">
        <v>46068</v>
      </c>
      <c r="G56" s="63" t="str">
        <f t="shared" ca="1" si="3"/>
        <v>NO PRAZO</v>
      </c>
      <c r="H56" s="154" t="s">
        <v>270</v>
      </c>
      <c r="I56" s="81" t="s">
        <v>271</v>
      </c>
      <c r="J56" s="10"/>
      <c r="K56" s="42">
        <f>L56/12</f>
        <v>0</v>
      </c>
      <c r="L56" s="263">
        <f t="shared" si="1"/>
        <v>0</v>
      </c>
    </row>
    <row r="57" spans="1:12" ht="27" customHeight="1">
      <c r="A57" s="126" t="s">
        <v>272</v>
      </c>
      <c r="B57" s="127" t="s">
        <v>273</v>
      </c>
      <c r="C57" s="129" t="s">
        <v>274</v>
      </c>
      <c r="D57" s="129" t="s">
        <v>275</v>
      </c>
      <c r="E57" s="81" t="s">
        <v>276</v>
      </c>
      <c r="F57" s="68">
        <v>46434</v>
      </c>
      <c r="G57" s="63" t="str">
        <f t="shared" ca="1" si="3"/>
        <v>NO PRAZO</v>
      </c>
      <c r="H57" s="63"/>
      <c r="I57" s="130" t="s">
        <v>277</v>
      </c>
      <c r="J57" s="10"/>
      <c r="K57" s="80">
        <v>382896.8</v>
      </c>
      <c r="L57" s="263">
        <f t="shared" si="1"/>
        <v>0</v>
      </c>
    </row>
    <row r="58" spans="1:12" ht="14.25" customHeight="1">
      <c r="A58" s="126" t="s">
        <v>278</v>
      </c>
      <c r="B58" s="127" t="s">
        <v>273</v>
      </c>
      <c r="C58" s="129" t="s">
        <v>279</v>
      </c>
      <c r="D58" s="129" t="s">
        <v>280</v>
      </c>
      <c r="E58" s="81" t="s">
        <v>281</v>
      </c>
      <c r="F58" s="68">
        <v>46462</v>
      </c>
      <c r="G58" s="63" t="str">
        <f t="shared" ca="1" si="3"/>
        <v>NO PRAZO</v>
      </c>
      <c r="H58" s="63"/>
      <c r="I58" s="130" t="s">
        <v>282</v>
      </c>
      <c r="J58" s="10"/>
      <c r="K58" s="80">
        <v>193823.77</v>
      </c>
      <c r="L58" s="263">
        <f t="shared" si="1"/>
        <v>0</v>
      </c>
    </row>
    <row r="59" spans="1:12" ht="66" customHeight="1">
      <c r="A59" s="131" t="s">
        <v>283</v>
      </c>
      <c r="B59" s="127" t="s">
        <v>273</v>
      </c>
      <c r="C59" s="129" t="s">
        <v>284</v>
      </c>
      <c r="D59" s="129" t="s">
        <v>285</v>
      </c>
      <c r="E59" s="81" t="s">
        <v>286</v>
      </c>
      <c r="F59" s="68">
        <v>46035</v>
      </c>
      <c r="G59" s="63" t="str">
        <f t="shared" ca="1" si="3"/>
        <v>EM BREVE</v>
      </c>
      <c r="H59" s="63"/>
      <c r="I59" s="67" t="s">
        <v>287</v>
      </c>
      <c r="J59" s="291">
        <v>309551</v>
      </c>
      <c r="K59" s="132"/>
      <c r="L59" s="263">
        <f t="shared" si="1"/>
        <v>3714612</v>
      </c>
    </row>
    <row r="60" spans="1:12" ht="41.25" customHeight="1">
      <c r="A60" s="131" t="s">
        <v>288</v>
      </c>
      <c r="B60" s="127" t="s">
        <v>273</v>
      </c>
      <c r="C60" s="129" t="s">
        <v>284</v>
      </c>
      <c r="D60" s="129" t="s">
        <v>285</v>
      </c>
      <c r="E60" s="81" t="s">
        <v>289</v>
      </c>
      <c r="F60" s="68">
        <v>46079</v>
      </c>
      <c r="G60" s="63" t="str">
        <f t="shared" ca="1" si="3"/>
        <v>NO PRAZO</v>
      </c>
      <c r="H60" s="38"/>
      <c r="I60" s="67" t="s">
        <v>290</v>
      </c>
      <c r="J60" s="291"/>
      <c r="K60" s="132"/>
      <c r="L60" s="263">
        <f t="shared" si="1"/>
        <v>0</v>
      </c>
    </row>
    <row r="61" spans="1:12" ht="82.5" customHeight="1">
      <c r="A61" s="134" t="s">
        <v>291</v>
      </c>
      <c r="B61" s="135" t="s">
        <v>273</v>
      </c>
      <c r="C61" s="136" t="s">
        <v>292</v>
      </c>
      <c r="D61" s="137" t="s">
        <v>293</v>
      </c>
      <c r="E61" s="81" t="s">
        <v>294</v>
      </c>
      <c r="F61" s="68">
        <v>46340</v>
      </c>
      <c r="G61" s="63" t="str">
        <f t="shared" ca="1" si="3"/>
        <v>NO PRAZO</v>
      </c>
      <c r="H61" s="38"/>
      <c r="I61" s="81" t="s">
        <v>295</v>
      </c>
      <c r="J61" s="10">
        <f ca="1">L61/12</f>
        <v>7018</v>
      </c>
      <c r="K61" s="42"/>
      <c r="L61" s="263">
        <f t="shared" ca="1" si="1"/>
        <v>588000</v>
      </c>
    </row>
    <row r="62" spans="1:12" ht="41.25" customHeight="1">
      <c r="A62" s="138" t="s">
        <v>296</v>
      </c>
      <c r="B62" s="127" t="s">
        <v>273</v>
      </c>
      <c r="C62" s="129" t="s">
        <v>297</v>
      </c>
      <c r="D62" s="129" t="s">
        <v>298</v>
      </c>
      <c r="E62" s="38" t="s">
        <v>299</v>
      </c>
      <c r="F62" s="68">
        <v>46331</v>
      </c>
      <c r="G62" s="63" t="str">
        <f t="shared" ca="1" si="3"/>
        <v>NO PRAZO</v>
      </c>
      <c r="H62" s="38"/>
      <c r="I62" s="279" t="s">
        <v>300</v>
      </c>
      <c r="J62" s="10">
        <f ca="1">L62/12</f>
        <v>1241.6666666666667</v>
      </c>
      <c r="K62" s="80"/>
      <c r="L62" s="263">
        <f t="shared" ca="1" si="1"/>
        <v>588000</v>
      </c>
    </row>
    <row r="63" spans="1:12" ht="35.25" customHeight="1">
      <c r="A63" s="138" t="s">
        <v>301</v>
      </c>
      <c r="B63" s="127" t="s">
        <v>273</v>
      </c>
      <c r="C63" s="129" t="s">
        <v>297</v>
      </c>
      <c r="D63" s="129" t="s">
        <v>302</v>
      </c>
      <c r="E63" s="38" t="s">
        <v>303</v>
      </c>
      <c r="F63" s="68">
        <v>46327</v>
      </c>
      <c r="G63" s="63" t="str">
        <f t="shared" ca="1" si="3"/>
        <v>NO PRAZO</v>
      </c>
      <c r="H63" s="63"/>
      <c r="I63" s="279" t="s">
        <v>304</v>
      </c>
      <c r="J63" s="10">
        <f ca="1">L63/12</f>
        <v>832.5</v>
      </c>
      <c r="K63" s="80"/>
      <c r="L63" s="263">
        <f t="shared" ca="1" si="1"/>
        <v>588000</v>
      </c>
    </row>
    <row r="64" spans="1:12" ht="27" customHeight="1">
      <c r="A64" s="126" t="s">
        <v>305</v>
      </c>
      <c r="B64" s="127" t="s">
        <v>273</v>
      </c>
      <c r="C64" s="129" t="s">
        <v>306</v>
      </c>
      <c r="D64" s="129" t="s">
        <v>307</v>
      </c>
      <c r="E64" s="81" t="s">
        <v>308</v>
      </c>
      <c r="F64" s="68">
        <v>45920</v>
      </c>
      <c r="G64" s="63" t="str">
        <f ca="1">IF((F64-TODAY())&lt;0,"EXPIRADO", IF((F64-TODAY())&lt;=60,"EM BREVE","NO PRAZO"))</f>
        <v>EXPIRADO</v>
      </c>
      <c r="H64" s="154" t="s">
        <v>184</v>
      </c>
      <c r="I64" s="81" t="s">
        <v>309</v>
      </c>
      <c r="J64" s="10"/>
      <c r="K64" s="80">
        <f>L64/12</f>
        <v>0</v>
      </c>
      <c r="L64" s="263">
        <f t="shared" si="1"/>
        <v>0</v>
      </c>
    </row>
    <row r="65" spans="1:12" ht="22.5" customHeight="1">
      <c r="A65" s="139" t="s">
        <v>310</v>
      </c>
      <c r="B65" s="86" t="s">
        <v>273</v>
      </c>
      <c r="C65" s="38" t="s">
        <v>306</v>
      </c>
      <c r="D65" s="38" t="s">
        <v>311</v>
      </c>
      <c r="E65" s="81" t="s">
        <v>312</v>
      </c>
      <c r="F65" s="68">
        <v>47436</v>
      </c>
      <c r="G65" s="63" t="str">
        <f ca="1">IF((F65-TODAY())&lt;0,"EXPIRADO", IF((F65-TODAY())&lt;=60,"EM BREVE","NO PRAZO"))</f>
        <v>NO PRAZO</v>
      </c>
      <c r="H65" s="38"/>
      <c r="I65" s="63" t="s">
        <v>313</v>
      </c>
      <c r="J65" s="10">
        <f ca="1">L65/12</f>
        <v>339678</v>
      </c>
      <c r="K65" s="80"/>
      <c r="L65" s="263">
        <f t="shared" ca="1" si="1"/>
        <v>588000</v>
      </c>
    </row>
    <row r="66" spans="1:12" ht="18.75" customHeight="1">
      <c r="A66" s="138" t="s">
        <v>314</v>
      </c>
      <c r="B66" s="127" t="s">
        <v>273</v>
      </c>
      <c r="C66" s="129" t="s">
        <v>41</v>
      </c>
      <c r="D66" s="129" t="s">
        <v>315</v>
      </c>
      <c r="E66" s="38"/>
      <c r="F66" s="38"/>
      <c r="G66" s="63"/>
      <c r="H66" s="63"/>
      <c r="I66" s="38"/>
      <c r="J66" s="10">
        <v>40000</v>
      </c>
      <c r="K66" s="80"/>
      <c r="L66" s="263">
        <f t="shared" si="1"/>
        <v>480000</v>
      </c>
    </row>
    <row r="67" spans="1:12" ht="14.25" customHeight="1">
      <c r="A67" s="138" t="s">
        <v>316</v>
      </c>
      <c r="B67" s="127" t="s">
        <v>273</v>
      </c>
      <c r="C67" s="129" t="s">
        <v>45</v>
      </c>
      <c r="D67" s="129" t="s">
        <v>317</v>
      </c>
      <c r="E67" s="38"/>
      <c r="F67" s="38"/>
      <c r="G67" s="63"/>
      <c r="H67" s="63"/>
      <c r="I67" s="38"/>
      <c r="J67" s="10">
        <v>136350</v>
      </c>
      <c r="K67" s="80"/>
      <c r="L67" s="263">
        <f t="shared" si="1"/>
        <v>1636200</v>
      </c>
    </row>
    <row r="68" spans="1:12" ht="14.25" customHeight="1">
      <c r="A68" s="138" t="s">
        <v>318</v>
      </c>
      <c r="B68" s="127" t="s">
        <v>273</v>
      </c>
      <c r="C68" s="129" t="s">
        <v>319</v>
      </c>
      <c r="D68" s="129"/>
      <c r="E68" s="38" t="s">
        <v>320</v>
      </c>
      <c r="F68" s="38"/>
      <c r="G68" s="63"/>
      <c r="H68" s="63"/>
      <c r="I68" s="38"/>
      <c r="J68" s="10">
        <v>245000</v>
      </c>
      <c r="K68" s="80"/>
      <c r="L68" s="263">
        <f t="shared" si="1"/>
        <v>2940000</v>
      </c>
    </row>
    <row r="69" spans="1:12" ht="27" customHeight="1">
      <c r="A69" s="86" t="s">
        <v>321</v>
      </c>
      <c r="B69" s="86" t="s">
        <v>322</v>
      </c>
      <c r="C69" s="49" t="s">
        <v>323</v>
      </c>
      <c r="D69" s="49" t="s">
        <v>324</v>
      </c>
      <c r="E69" s="81" t="s">
        <v>325</v>
      </c>
      <c r="F69" s="140">
        <v>46274</v>
      </c>
      <c r="G69" s="63" t="str">
        <f ca="1">IF((F69-TODAY())&lt;0,"EXPIRADO", IF((F69-TODAY())&lt;=60,"EM BREVE","NO PRAZO"))</f>
        <v>NO PRAZO</v>
      </c>
      <c r="H69" s="38"/>
      <c r="I69" s="84" t="s">
        <v>326</v>
      </c>
      <c r="J69" s="10">
        <f ca="1">L69/12</f>
        <v>1500933.5674999999</v>
      </c>
      <c r="K69" s="141"/>
      <c r="L69" s="263">
        <f t="shared" ref="L69:L89" ca="1" si="4">J69*12</f>
        <v>588000</v>
      </c>
    </row>
    <row r="70" spans="1:12" ht="27" customHeight="1">
      <c r="A70" s="143" t="s">
        <v>327</v>
      </c>
      <c r="B70" s="86" t="s">
        <v>328</v>
      </c>
      <c r="C70" s="38" t="s">
        <v>329</v>
      </c>
      <c r="D70" s="38"/>
      <c r="E70" s="38"/>
      <c r="F70" s="62"/>
      <c r="G70" s="63"/>
      <c r="H70" s="63"/>
      <c r="I70" s="38"/>
      <c r="J70" s="10"/>
      <c r="K70" s="80"/>
      <c r="L70" s="263">
        <f t="shared" si="4"/>
        <v>0</v>
      </c>
    </row>
    <row r="71" spans="1:12" ht="52.5" customHeight="1">
      <c r="A71" s="89" t="s">
        <v>330</v>
      </c>
      <c r="B71" s="86" t="s">
        <v>328</v>
      </c>
      <c r="C71" s="38" t="s">
        <v>331</v>
      </c>
      <c r="D71" s="38"/>
      <c r="E71" s="38" t="s">
        <v>332</v>
      </c>
      <c r="F71" s="38"/>
      <c r="G71" s="63"/>
      <c r="H71" s="63"/>
      <c r="I71" s="38"/>
      <c r="J71" s="10">
        <v>73000</v>
      </c>
      <c r="K71" s="80"/>
      <c r="L71" s="263">
        <f t="shared" si="4"/>
        <v>876000</v>
      </c>
    </row>
    <row r="72" spans="1:12" ht="173.25" customHeight="1">
      <c r="A72" s="262" t="s">
        <v>333</v>
      </c>
      <c r="B72" s="86" t="s">
        <v>328</v>
      </c>
      <c r="C72" s="38" t="s">
        <v>334</v>
      </c>
      <c r="D72" s="38"/>
      <c r="E72" s="38" t="s">
        <v>335</v>
      </c>
      <c r="F72" s="38" t="s">
        <v>336</v>
      </c>
      <c r="G72" s="63"/>
      <c r="H72" s="63"/>
      <c r="I72" s="79"/>
      <c r="J72" s="145">
        <v>285000</v>
      </c>
      <c r="K72" s="80"/>
      <c r="L72" s="263">
        <f t="shared" si="4"/>
        <v>3420000</v>
      </c>
    </row>
    <row r="73" spans="1:12" ht="219.75" customHeight="1">
      <c r="A73" s="147" t="s">
        <v>337</v>
      </c>
      <c r="B73" s="86" t="s">
        <v>328</v>
      </c>
      <c r="C73" s="38" t="s">
        <v>334</v>
      </c>
      <c r="D73" s="38"/>
      <c r="E73" s="148" t="s">
        <v>338</v>
      </c>
      <c r="F73" s="38" t="s">
        <v>339</v>
      </c>
      <c r="G73" s="63"/>
      <c r="H73" s="63"/>
      <c r="I73" s="79"/>
      <c r="J73" s="145">
        <v>28500</v>
      </c>
      <c r="K73" s="80"/>
      <c r="L73" s="263">
        <f t="shared" si="4"/>
        <v>342000</v>
      </c>
    </row>
    <row r="74" spans="1:12" ht="193.5" customHeight="1">
      <c r="A74" s="147" t="s">
        <v>340</v>
      </c>
      <c r="B74" s="86" t="s">
        <v>328</v>
      </c>
      <c r="C74" s="38" t="s">
        <v>334</v>
      </c>
      <c r="D74" s="38"/>
      <c r="E74" s="148" t="s">
        <v>341</v>
      </c>
      <c r="F74" s="38" t="s">
        <v>342</v>
      </c>
      <c r="G74" s="63"/>
      <c r="H74" s="63"/>
      <c r="I74" s="79"/>
      <c r="J74" s="145">
        <v>22500</v>
      </c>
      <c r="K74" s="80"/>
      <c r="L74" s="263">
        <f t="shared" si="4"/>
        <v>270000</v>
      </c>
    </row>
    <row r="75" spans="1:12" ht="27" customHeight="1">
      <c r="A75" s="86" t="s">
        <v>343</v>
      </c>
      <c r="B75" s="86" t="s">
        <v>328</v>
      </c>
      <c r="C75" s="149" t="s">
        <v>344</v>
      </c>
      <c r="D75" s="150"/>
      <c r="E75" s="38"/>
      <c r="F75" s="38"/>
      <c r="G75" s="63"/>
      <c r="H75" s="63"/>
      <c r="I75" s="38"/>
      <c r="J75" s="10">
        <v>20000</v>
      </c>
      <c r="K75" s="80"/>
      <c r="L75" s="263">
        <f t="shared" si="4"/>
        <v>240000</v>
      </c>
    </row>
    <row r="76" spans="1:12" ht="14.25" customHeight="1">
      <c r="A76" s="151" t="s">
        <v>345</v>
      </c>
      <c r="B76" s="86" t="s">
        <v>346</v>
      </c>
      <c r="C76" s="49" t="s">
        <v>347</v>
      </c>
      <c r="D76" s="49"/>
      <c r="E76" s="81" t="s">
        <v>348</v>
      </c>
      <c r="F76" s="81"/>
      <c r="G76" s="63"/>
      <c r="H76" s="63"/>
      <c r="I76" s="84"/>
      <c r="J76" s="10">
        <v>70000</v>
      </c>
      <c r="K76" s="80"/>
      <c r="L76" s="263">
        <f t="shared" si="4"/>
        <v>840000</v>
      </c>
    </row>
    <row r="77" spans="1:12" ht="82.5" customHeight="1">
      <c r="A77" s="152" t="s">
        <v>349</v>
      </c>
      <c r="B77" s="90" t="s">
        <v>350</v>
      </c>
      <c r="C77" s="38" t="s">
        <v>351</v>
      </c>
      <c r="D77" s="153">
        <v>18284407000153</v>
      </c>
      <c r="E77" s="81" t="s">
        <v>352</v>
      </c>
      <c r="F77" s="68">
        <v>46441</v>
      </c>
      <c r="G77" s="63" t="str">
        <f t="shared" ref="G77:G82" ca="1" si="5">IF((F77-TODAY())&lt;0,"EXPIRADO", IF((F77-TODAY())&lt;=60,"EM BREVE","NO PRAZO"))</f>
        <v>NO PRAZO</v>
      </c>
      <c r="H77" s="63"/>
      <c r="I77" s="84" t="s">
        <v>353</v>
      </c>
      <c r="J77" s="10">
        <v>44033.82</v>
      </c>
      <c r="K77" s="80"/>
      <c r="L77" s="263">
        <f t="shared" si="4"/>
        <v>528405.84</v>
      </c>
    </row>
    <row r="78" spans="1:12" ht="96" customHeight="1">
      <c r="A78" s="152" t="s">
        <v>354</v>
      </c>
      <c r="B78" s="90" t="s">
        <v>350</v>
      </c>
      <c r="C78" s="49" t="s">
        <v>355</v>
      </c>
      <c r="D78" s="153">
        <v>18284407000153</v>
      </c>
      <c r="E78" s="67" t="s">
        <v>356</v>
      </c>
      <c r="F78" s="68">
        <v>46734</v>
      </c>
      <c r="G78" s="63" t="str">
        <f t="shared" ca="1" si="5"/>
        <v>NO PRAZO</v>
      </c>
      <c r="H78" s="63"/>
      <c r="I78" s="84" t="s">
        <v>357</v>
      </c>
      <c r="J78" s="10">
        <v>280000</v>
      </c>
      <c r="K78" s="42"/>
      <c r="L78" s="263">
        <f t="shared" si="4"/>
        <v>3360000</v>
      </c>
    </row>
    <row r="79" spans="1:12" ht="41.25" customHeight="1">
      <c r="A79" s="90" t="s">
        <v>358</v>
      </c>
      <c r="B79" s="90" t="s">
        <v>328</v>
      </c>
      <c r="C79" s="49" t="s">
        <v>359</v>
      </c>
      <c r="D79" s="49" t="s">
        <v>360</v>
      </c>
      <c r="E79" s="67" t="s">
        <v>361</v>
      </c>
      <c r="F79" s="68">
        <v>46327</v>
      </c>
      <c r="G79" s="63" t="str">
        <f t="shared" ca="1" si="5"/>
        <v>NO PRAZO</v>
      </c>
      <c r="H79" s="38"/>
      <c r="I79" s="69" t="s">
        <v>362</v>
      </c>
      <c r="J79" s="10">
        <v>17000</v>
      </c>
      <c r="K79" s="42"/>
      <c r="L79" s="263">
        <f t="shared" si="4"/>
        <v>204000</v>
      </c>
    </row>
    <row r="80" spans="1:12" ht="27" customHeight="1">
      <c r="A80" s="86" t="s">
        <v>363</v>
      </c>
      <c r="B80" s="86" t="s">
        <v>328</v>
      </c>
      <c r="C80" s="38" t="s">
        <v>364</v>
      </c>
      <c r="D80" s="38" t="s">
        <v>365</v>
      </c>
      <c r="E80" s="81" t="s">
        <v>366</v>
      </c>
      <c r="F80" s="111">
        <v>45682</v>
      </c>
      <c r="G80" s="63" t="str">
        <f t="shared" ca="1" si="5"/>
        <v>EXPIRADO</v>
      </c>
      <c r="H80" s="154" t="s">
        <v>367</v>
      </c>
      <c r="I80" s="81" t="s">
        <v>368</v>
      </c>
      <c r="J80" s="10"/>
      <c r="K80" s="80"/>
      <c r="L80" s="263">
        <f t="shared" si="4"/>
        <v>0</v>
      </c>
    </row>
    <row r="81" spans="1:12" ht="27" customHeight="1">
      <c r="A81" s="155" t="s">
        <v>369</v>
      </c>
      <c r="B81" s="86" t="s">
        <v>328</v>
      </c>
      <c r="C81" s="77" t="s">
        <v>370</v>
      </c>
      <c r="D81" s="77" t="s">
        <v>256</v>
      </c>
      <c r="E81" s="81" t="s">
        <v>371</v>
      </c>
      <c r="F81" s="111">
        <v>45844</v>
      </c>
      <c r="G81" s="63" t="str">
        <f t="shared" ca="1" si="5"/>
        <v>EXPIRADO</v>
      </c>
      <c r="H81" s="154" t="s">
        <v>372</v>
      </c>
      <c r="I81" s="84" t="s">
        <v>373</v>
      </c>
      <c r="J81" s="10"/>
      <c r="K81" s="80">
        <f>L81/12</f>
        <v>0</v>
      </c>
      <c r="L81" s="263">
        <f t="shared" si="4"/>
        <v>0</v>
      </c>
    </row>
    <row r="82" spans="1:12" ht="27" customHeight="1">
      <c r="A82" s="155" t="s">
        <v>374</v>
      </c>
      <c r="B82" s="86" t="s">
        <v>328</v>
      </c>
      <c r="C82" s="77" t="s">
        <v>370</v>
      </c>
      <c r="D82" s="77">
        <v>27072369000166</v>
      </c>
      <c r="E82" s="81" t="s">
        <v>375</v>
      </c>
      <c r="F82" s="111">
        <v>46331</v>
      </c>
      <c r="G82" s="63" t="str">
        <f t="shared" ca="1" si="5"/>
        <v>NO PRAZO</v>
      </c>
      <c r="H82" s="63"/>
      <c r="I82" s="84" t="s">
        <v>376</v>
      </c>
      <c r="J82" s="10"/>
      <c r="K82" s="80">
        <f>L82/12</f>
        <v>0</v>
      </c>
      <c r="L82" s="263">
        <f t="shared" si="4"/>
        <v>0</v>
      </c>
    </row>
    <row r="83" spans="1:12" ht="39" customHeight="1">
      <c r="A83" s="75" t="s">
        <v>377</v>
      </c>
      <c r="B83" s="86" t="s">
        <v>328</v>
      </c>
      <c r="C83" s="71" t="s">
        <v>378</v>
      </c>
      <c r="D83" s="71"/>
      <c r="E83" s="81" t="s">
        <v>379</v>
      </c>
      <c r="F83" s="62"/>
      <c r="G83" s="63" t="str">
        <f t="shared" ref="G83:G89" ca="1" si="6">IF((F83-TODAY())&lt;0,"EXPIRADO", IF((F83-TODAY())&lt;=60,"EM BREVE","NO PRAZO"))</f>
        <v>EXPIRADO</v>
      </c>
      <c r="H83" s="38"/>
      <c r="I83" s="156" t="s">
        <v>380</v>
      </c>
      <c r="J83" s="10"/>
      <c r="K83" s="80"/>
      <c r="L83" s="263">
        <f t="shared" si="4"/>
        <v>0</v>
      </c>
    </row>
    <row r="84" spans="1:12" ht="35.25" customHeight="1">
      <c r="A84" s="157" t="s">
        <v>381</v>
      </c>
      <c r="B84" s="157" t="s">
        <v>382</v>
      </c>
      <c r="C84" s="49" t="s">
        <v>383</v>
      </c>
      <c r="D84" s="49" t="s">
        <v>384</v>
      </c>
      <c r="E84" s="158" t="s">
        <v>385</v>
      </c>
      <c r="F84" s="62">
        <v>46792</v>
      </c>
      <c r="G84" s="63" t="str">
        <f t="shared" ca="1" si="6"/>
        <v>NO PRAZO</v>
      </c>
      <c r="H84" s="63"/>
      <c r="I84" s="159" t="s">
        <v>386</v>
      </c>
      <c r="J84" s="10">
        <v>3000</v>
      </c>
      <c r="K84" s="80"/>
      <c r="L84" s="263">
        <f t="shared" si="4"/>
        <v>36000</v>
      </c>
    </row>
    <row r="85" spans="1:12" ht="14.25" customHeight="1">
      <c r="A85" s="157" t="s">
        <v>387</v>
      </c>
      <c r="B85" s="157" t="s">
        <v>382</v>
      </c>
      <c r="C85" s="49" t="s">
        <v>388</v>
      </c>
      <c r="D85" s="49"/>
      <c r="E85" s="38" t="s">
        <v>389</v>
      </c>
      <c r="F85" s="62">
        <v>46001</v>
      </c>
      <c r="G85" s="63" t="str">
        <f t="shared" ca="1" si="6"/>
        <v>EM BREVE</v>
      </c>
      <c r="H85" s="63"/>
      <c r="I85" s="38" t="s">
        <v>390</v>
      </c>
      <c r="J85" s="10">
        <v>2000</v>
      </c>
      <c r="K85" s="80"/>
      <c r="L85" s="263">
        <f t="shared" si="4"/>
        <v>24000</v>
      </c>
    </row>
    <row r="86" spans="1:12" ht="69" customHeight="1">
      <c r="A86" s="90" t="s">
        <v>391</v>
      </c>
      <c r="B86" s="86" t="s">
        <v>392</v>
      </c>
      <c r="C86" s="38" t="s">
        <v>393</v>
      </c>
      <c r="D86" s="38" t="s">
        <v>394</v>
      </c>
      <c r="E86" s="81" t="s">
        <v>395</v>
      </c>
      <c r="F86" s="68">
        <v>45638</v>
      </c>
      <c r="G86" s="63" t="str">
        <f t="shared" ca="1" si="6"/>
        <v>EXPIRADO</v>
      </c>
      <c r="H86" s="154" t="s">
        <v>396</v>
      </c>
      <c r="I86" s="84" t="s">
        <v>397</v>
      </c>
      <c r="J86" s="10">
        <v>33000</v>
      </c>
      <c r="K86" s="80"/>
      <c r="L86" s="263">
        <f t="shared" si="4"/>
        <v>396000</v>
      </c>
    </row>
    <row r="87" spans="1:12" ht="56.25" customHeight="1">
      <c r="A87" s="86" t="s">
        <v>398</v>
      </c>
      <c r="B87" s="86" t="s">
        <v>392</v>
      </c>
      <c r="C87" s="49" t="s">
        <v>393</v>
      </c>
      <c r="D87" s="49" t="s">
        <v>399</v>
      </c>
      <c r="E87" s="38" t="s">
        <v>400</v>
      </c>
      <c r="F87" s="68">
        <v>46311</v>
      </c>
      <c r="G87" s="63" t="str">
        <f t="shared" ca="1" si="6"/>
        <v>NO PRAZO</v>
      </c>
      <c r="H87" s="38"/>
      <c r="I87" s="161" t="s">
        <v>401</v>
      </c>
      <c r="J87" s="43">
        <v>10500</v>
      </c>
      <c r="K87" s="42"/>
      <c r="L87" s="263">
        <f t="shared" si="4"/>
        <v>126000</v>
      </c>
    </row>
    <row r="88" spans="1:12" ht="27" customHeight="1">
      <c r="A88" s="86" t="s">
        <v>402</v>
      </c>
      <c r="B88" s="86" t="s">
        <v>392</v>
      </c>
      <c r="C88" s="49" t="s">
        <v>393</v>
      </c>
      <c r="D88" s="163" t="s">
        <v>403</v>
      </c>
      <c r="E88" s="38" t="s">
        <v>404</v>
      </c>
      <c r="F88" s="68">
        <v>46136</v>
      </c>
      <c r="G88" s="63" t="str">
        <f t="shared" ca="1" si="6"/>
        <v>NO PRAZO</v>
      </c>
      <c r="H88" s="63"/>
      <c r="I88" s="164" t="s">
        <v>405</v>
      </c>
      <c r="J88" s="43">
        <v>500</v>
      </c>
      <c r="K88" s="42"/>
      <c r="L88" s="263">
        <f t="shared" si="4"/>
        <v>6000</v>
      </c>
    </row>
    <row r="89" spans="1:12" ht="54.75" customHeight="1">
      <c r="A89" s="75" t="s">
        <v>406</v>
      </c>
      <c r="B89" s="36" t="s">
        <v>407</v>
      </c>
      <c r="C89" s="71" t="s">
        <v>408</v>
      </c>
      <c r="D89" s="71" t="s">
        <v>409</v>
      </c>
      <c r="E89" s="67" t="s">
        <v>410</v>
      </c>
      <c r="F89" s="68">
        <v>46022</v>
      </c>
      <c r="G89" s="63" t="str">
        <f t="shared" ca="1" si="6"/>
        <v>EM BREVE</v>
      </c>
      <c r="H89" s="63"/>
      <c r="I89" s="69" t="s">
        <v>411</v>
      </c>
      <c r="J89" s="43">
        <f>62000*104.4%</f>
        <v>64728</v>
      </c>
      <c r="K89" s="42"/>
      <c r="L89" s="263">
        <f>J89*12</f>
        <v>776736</v>
      </c>
    </row>
    <row r="90" spans="1:12">
      <c r="A90" s="165"/>
      <c r="B90" s="165"/>
      <c r="C90" s="165"/>
      <c r="D90" s="165"/>
      <c r="E90" s="166"/>
      <c r="F90" s="165"/>
      <c r="G90" s="165"/>
      <c r="H90" s="165"/>
      <c r="I90" s="165"/>
      <c r="J90" s="167"/>
      <c r="K90" s="168"/>
      <c r="L90" s="167"/>
    </row>
    <row r="91" spans="1:12">
      <c r="A91" s="171" t="s">
        <v>412</v>
      </c>
      <c r="B91" s="171"/>
      <c r="C91" s="171"/>
      <c r="D91" s="171"/>
      <c r="E91" s="172"/>
      <c r="F91" s="171"/>
      <c r="G91" s="171"/>
      <c r="H91" s="171"/>
      <c r="I91" s="171"/>
      <c r="J91" s="173">
        <f t="shared" ref="J91:L91" ca="1" si="7">SUM(J2:J89)</f>
        <v>11712225.529166665</v>
      </c>
      <c r="K91" s="174">
        <f t="shared" si="7"/>
        <v>7391893.8710000003</v>
      </c>
      <c r="L91" s="173">
        <f t="shared" ca="1" si="7"/>
        <v>245743524.17199996</v>
      </c>
    </row>
    <row r="92" spans="1:12">
      <c r="A92" s="165"/>
      <c r="B92" s="165"/>
      <c r="C92" s="165"/>
      <c r="D92" s="165"/>
      <c r="E92" s="166"/>
      <c r="F92" s="165"/>
      <c r="G92" s="165"/>
      <c r="H92" s="165"/>
      <c r="I92" s="165"/>
      <c r="J92" s="167"/>
      <c r="K92" s="168"/>
      <c r="L92" s="167"/>
    </row>
    <row r="93" spans="1:12">
      <c r="L93" s="23"/>
    </row>
    <row r="96" spans="1:12" ht="16">
      <c r="H96" s="285"/>
    </row>
    <row r="97" spans="8:8">
      <c r="H97" s="286"/>
    </row>
  </sheetData>
  <autoFilter ref="A1:L89" xr:uid="{00000000-0009-0000-0000-000000000000}"/>
  <mergeCells count="1">
    <mergeCell ref="J59:J60"/>
  </mergeCells>
  <conditionalFormatting sqref="G10:H89">
    <cfRule type="cellIs" dxfId="11" priority="1" operator="equal">
      <formula>"EXPIRADO"</formula>
    </cfRule>
    <cfRule type="cellIs" dxfId="10" priority="2" operator="equal">
      <formula>"NO PRAZO"</formula>
    </cfRule>
    <cfRule type="cellIs" dxfId="9" priority="3" operator="equal">
      <formula>"EM BREVE"</formula>
    </cfRule>
    <cfRule type="cellIs" dxfId="8" priority="4" operator="equal">
      <formula>0</formula>
    </cfRule>
  </conditionalFormatting>
  <conditionalFormatting sqref="I48">
    <cfRule type="cellIs" dxfId="7" priority="9" operator="equal">
      <formula>"EXPIRADO"</formula>
    </cfRule>
    <cfRule type="cellIs" dxfId="6" priority="10" operator="equal">
      <formula>"NO PRAZO"</formula>
    </cfRule>
    <cfRule type="cellIs" dxfId="5" priority="11" operator="equal">
      <formula>"EM BREVE"</formula>
    </cfRule>
    <cfRule type="cellIs" dxfId="4" priority="12" operator="equal">
      <formula>0</formula>
    </cfRule>
  </conditionalFormatting>
  <conditionalFormatting sqref="I65">
    <cfRule type="cellIs" dxfId="3" priority="5" operator="equal">
      <formula>"EXPIRADO"</formula>
    </cfRule>
    <cfRule type="cellIs" dxfId="2" priority="6" operator="equal">
      <formula>"NO PRAZO"</formula>
    </cfRule>
    <cfRule type="cellIs" dxfId="1" priority="7" operator="equal">
      <formula>"EM BREVE"</formula>
    </cfRule>
    <cfRule type="cellIs" dxfId="0" priority="8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26</vt:i4>
      </vt:variant>
    </vt:vector>
  </HeadingPairs>
  <TitlesOfParts>
    <vt:vector size="42" baseType="lpstr">
      <vt:lpstr>I. Situação Atual</vt:lpstr>
      <vt:lpstr>Programação 17.11</vt:lpstr>
      <vt:lpstr>Bolsas</vt:lpstr>
      <vt:lpstr>Estudo de Crédito</vt:lpstr>
      <vt:lpstr>Prog-09.10</vt:lpstr>
      <vt:lpstr>Prog-16.09</vt:lpstr>
      <vt:lpstr>Prog-18.08</vt:lpstr>
      <vt:lpstr>Prog-08.07</vt:lpstr>
      <vt:lpstr>Prog 03.06</vt:lpstr>
      <vt:lpstr>Prog 07.04</vt:lpstr>
      <vt:lpstr>Prog-17.03 PRC</vt:lpstr>
      <vt:lpstr>Prog-12.03</vt:lpstr>
      <vt:lpstr>Ressarc DAC 25</vt:lpstr>
      <vt:lpstr>Prog-25.02</vt:lpstr>
      <vt:lpstr>DRU 25</vt:lpstr>
      <vt:lpstr>Variáveis fixas</vt:lpstr>
      <vt:lpstr>'Estudo de Crédito'!_xlcn.WorksheetConnection_II.SituaçãoAtualA2AA90</vt:lpstr>
      <vt:lpstr>'Prog 03.06'!_xlcn.WorksheetConnection_II.SituaçãoAtualA2AA90</vt:lpstr>
      <vt:lpstr>'Prog 07.04'!_xlcn.WorksheetConnection_II.SituaçãoAtualA2AA90</vt:lpstr>
      <vt:lpstr>'Prog-08.07'!_xlcn.WorksheetConnection_II.SituaçãoAtualA2AA90</vt:lpstr>
      <vt:lpstr>'Prog-09.10'!_xlcn.WorksheetConnection_II.SituaçãoAtualA2AA90</vt:lpstr>
      <vt:lpstr>'Prog-12.03'!_xlcn.WorksheetConnection_II.SituaçãoAtualA2AA90</vt:lpstr>
      <vt:lpstr>'Prog-16.09'!_xlcn.WorksheetConnection_II.SituaçãoAtualA2AA90</vt:lpstr>
      <vt:lpstr>'Prog-17.03 PRC'!_xlcn.WorksheetConnection_II.SituaçãoAtualA2AA90</vt:lpstr>
      <vt:lpstr>'Prog-18.08'!_xlcn.WorksheetConnection_II.SituaçãoAtualA2AA90</vt:lpstr>
      <vt:lpstr>'Prog-25.02'!_xlcn.WorksheetConnection_II.SituaçãoAtualA2AA90</vt:lpstr>
      <vt:lpstr>'Programação 17.11'!_xlcn.WorksheetConnection_II.SituaçãoAtualA2AA90</vt:lpstr>
      <vt:lpstr>'Variáveis fixas'!_xlcn.WorksheetConnection_II.SituaçãoAtualA2AA90</vt:lpstr>
      <vt:lpstr>_xlcn.WorksheetConnection_II.SituaçãoAtualA2AA90</vt:lpstr>
      <vt:lpstr>'Estudo de Crédito'!_xlcn.WorksheetConnection_II.SituaçãoAtualA2AA93</vt:lpstr>
      <vt:lpstr>'Prog 03.06'!_xlcn.WorksheetConnection_II.SituaçãoAtualA2AA93</vt:lpstr>
      <vt:lpstr>'Prog 07.04'!_xlcn.WorksheetConnection_II.SituaçãoAtualA2AA93</vt:lpstr>
      <vt:lpstr>'Prog-08.07'!_xlcn.WorksheetConnection_II.SituaçãoAtualA2AA93</vt:lpstr>
      <vt:lpstr>'Prog-09.10'!_xlcn.WorksheetConnection_II.SituaçãoAtualA2AA93</vt:lpstr>
      <vt:lpstr>'Prog-12.03'!_xlcn.WorksheetConnection_II.SituaçãoAtualA2AA93</vt:lpstr>
      <vt:lpstr>'Prog-16.09'!_xlcn.WorksheetConnection_II.SituaçãoAtualA2AA93</vt:lpstr>
      <vt:lpstr>'Prog-17.03 PRC'!_xlcn.WorksheetConnection_II.SituaçãoAtualA2AA93</vt:lpstr>
      <vt:lpstr>'Prog-18.08'!_xlcn.WorksheetConnection_II.SituaçãoAtualA2AA93</vt:lpstr>
      <vt:lpstr>'Prog-25.02'!_xlcn.WorksheetConnection_II.SituaçãoAtualA2AA93</vt:lpstr>
      <vt:lpstr>'Programação 17.11'!_xlcn.WorksheetConnection_II.SituaçãoAtualA2AA93</vt:lpstr>
      <vt:lpstr>'Variáveis fixas'!_xlcn.WorksheetConnection_II.SituaçãoAtualA2AA93</vt:lpstr>
      <vt:lpstr>_xlcn.WorksheetConnection_II.SituaçãoAtualA2AA93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02629381625</dc:creator>
  <cp:keywords/>
  <dc:description/>
  <cp:lastModifiedBy>Microsoft Office User</cp:lastModifiedBy>
  <cp:revision>964</cp:revision>
  <dcterms:created xsi:type="dcterms:W3CDTF">2016-01-04T13:55:05Z</dcterms:created>
  <dcterms:modified xsi:type="dcterms:W3CDTF">2025-11-18T23:35:44Z</dcterms:modified>
  <cp:category/>
  <cp:contentStatus/>
</cp:coreProperties>
</file>