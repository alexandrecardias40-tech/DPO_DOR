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Projeto Orçamento Chatgpt/"/>
    </mc:Choice>
  </mc:AlternateContent>
  <xr:revisionPtr revIDLastSave="0" documentId="13_ncr:1_{D48317F3-8C17-5A40-A809-7E7EF38EE196}" xr6:coauthVersionLast="40" xr6:coauthVersionMax="47" xr10:uidLastSave="{00000000-0000-0000-0000-000000000000}"/>
  <bookViews>
    <workbookView xWindow="2400" yWindow="500" windowWidth="28800" windowHeight="15760" tabRatio="500" xr2:uid="{00000000-000D-0000-FFFF-FFFF00000000}"/>
  </bookViews>
  <sheets>
    <sheet name="Base" sheetId="1" r:id="rId1"/>
    <sheet name="Prog. 26.01.26" sheetId="7" state="hidden" r:id="rId2"/>
    <sheet name="Prog-06.01" sheetId="2" state="hidden" r:id="rId3"/>
    <sheet name="PIs" sheetId="3" state="hidden" r:id="rId4"/>
    <sheet name="Bolsas" sheetId="4" state="hidden" r:id="rId5"/>
    <sheet name="DRU 25" sheetId="5" state="hidden" r:id="rId6"/>
    <sheet name="Ressarc DAC 26" sheetId="6" state="hidden" r:id="rId7"/>
    <sheet name="CEMP" sheetId="8" state="hidden" r:id="rId8"/>
  </sheets>
  <externalReferences>
    <externalReference r:id="rId9"/>
  </externalReferences>
  <definedNames>
    <definedName name="_xlnm._FilterDatabase" localSheetId="0" hidden="1">Base!$A$3:$Q$91</definedName>
    <definedName name="_xlnm._FilterDatabase" localSheetId="7" hidden="1">CEMP!$A$3:$R$91</definedName>
    <definedName name="_xlnm._FilterDatabase" localSheetId="2" hidden="1">'Prog-06.01'!$A$3:$E$16</definedName>
    <definedName name="_xlnm._FilterDatabase" localSheetId="1" hidden="1">'Prog. 26.01.26'!$A$3:$N$16</definedName>
    <definedName name="_xlcn.WorksheetConnection_II.SituaçãoAtualA2AA90" localSheetId="7">CEMP!$A$3:$R$91</definedName>
    <definedName name="_xlcn.WorksheetConnection_II.SituaçãoAtualA2AA90" localSheetId="2">'Prog-06.01'!$A$3:$E$16</definedName>
    <definedName name="_xlcn.WorksheetConnection_II.SituaçãoAtualA2AA90" localSheetId="1">'Prog. 26.01.26'!$A$3:$N$16</definedName>
    <definedName name="_xlcn.WorksheetConnection_II.SituaçãoAtualA2AA90">Base!$A$3:$Q$91</definedName>
    <definedName name="_xlcn.WorksheetConnection_II.SituaçãoAtualA2AA93" localSheetId="7">CEMP!$A$3:$R$91</definedName>
    <definedName name="_xlcn.WorksheetConnection_II.SituaçãoAtualA2AA93" localSheetId="2">'Prog-06.01'!$A$3:$E$16</definedName>
    <definedName name="_xlcn.WorksheetConnection_II.SituaçãoAtualA2AA93" localSheetId="1">'Prog. 26.01.26'!$A$3:$N$16</definedName>
    <definedName name="_xlcn.WorksheetConnection_II.SituaçãoAtualA2AA93">Base!$A$3:$Q$91</definedName>
    <definedName name="Área_impressão_IM">[1]FLUXO98!$A$1:$N$68</definedName>
    <definedName name="PRINT_AREA_MI">[1]FLUXO98!$A$1:$N$69</definedName>
    <definedName name="SegmentaçãodeDados_Classificação">#N/A</definedName>
    <definedName name="SegmentaçãodeDados_Classificação1">#N/A</definedName>
    <definedName name="SegmentaçãodeDados_Descrição_das_despesas">#N/A</definedName>
    <definedName name="SegmentaçãodeDados_Descrição_das_despesas1">#N/A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91" i="8" l="1"/>
  <c r="J91" i="8"/>
  <c r="G91" i="8"/>
  <c r="R90" i="8"/>
  <c r="AF90" i="8" s="1"/>
  <c r="L90" i="8"/>
  <c r="G90" i="8"/>
  <c r="AD89" i="8"/>
  <c r="AC89" i="8"/>
  <c r="AB89" i="8"/>
  <c r="AA89" i="8"/>
  <c r="Z89" i="8"/>
  <c r="Y89" i="8"/>
  <c r="X89" i="8"/>
  <c r="W89" i="8"/>
  <c r="V89" i="8"/>
  <c r="U89" i="8"/>
  <c r="T89" i="8"/>
  <c r="R89" i="8"/>
  <c r="L89" i="8"/>
  <c r="G89" i="8"/>
  <c r="AD88" i="8"/>
  <c r="AC88" i="8"/>
  <c r="AB88" i="8"/>
  <c r="AA88" i="8"/>
  <c r="Z88" i="8"/>
  <c r="Y88" i="8"/>
  <c r="X88" i="8"/>
  <c r="W88" i="8"/>
  <c r="V88" i="8"/>
  <c r="U88" i="8"/>
  <c r="T88" i="8"/>
  <c r="R88" i="8"/>
  <c r="L88" i="8"/>
  <c r="G88" i="8"/>
  <c r="AD87" i="8"/>
  <c r="AC87" i="8"/>
  <c r="AB87" i="8"/>
  <c r="AA87" i="8"/>
  <c r="Z87" i="8"/>
  <c r="Y87" i="8"/>
  <c r="X87" i="8"/>
  <c r="W87" i="8"/>
  <c r="V87" i="8"/>
  <c r="U87" i="8"/>
  <c r="T87" i="8"/>
  <c r="AE87" i="8" s="1"/>
  <c r="R87" i="8"/>
  <c r="AF87" i="8" s="1"/>
  <c r="L87" i="8"/>
  <c r="G87" i="8"/>
  <c r="AE86" i="8"/>
  <c r="R86" i="8"/>
  <c r="AF86" i="8" s="1"/>
  <c r="L86" i="8"/>
  <c r="G86" i="8"/>
  <c r="AD85" i="8"/>
  <c r="AC85" i="8"/>
  <c r="AB85" i="8"/>
  <c r="AA85" i="8"/>
  <c r="Z85" i="8"/>
  <c r="Y85" i="8"/>
  <c r="X85" i="8"/>
  <c r="W85" i="8"/>
  <c r="V85" i="8"/>
  <c r="U85" i="8"/>
  <c r="T85" i="8"/>
  <c r="S85" i="8"/>
  <c r="AE85" i="8" s="1"/>
  <c r="R85" i="8"/>
  <c r="AF85" i="8" s="1"/>
  <c r="G85" i="8"/>
  <c r="R84" i="8"/>
  <c r="K84" i="8"/>
  <c r="G84" i="8"/>
  <c r="AD83" i="8"/>
  <c r="AC83" i="8"/>
  <c r="AB83" i="8"/>
  <c r="AA83" i="8"/>
  <c r="Z83" i="8"/>
  <c r="Y83" i="8"/>
  <c r="X83" i="8"/>
  <c r="W83" i="8"/>
  <c r="V83" i="8"/>
  <c r="U83" i="8"/>
  <c r="T83" i="8"/>
  <c r="S83" i="8"/>
  <c r="AE83" i="8" s="1"/>
  <c r="R83" i="8"/>
  <c r="AF83" i="8" s="1"/>
  <c r="G83" i="8"/>
  <c r="AD82" i="8"/>
  <c r="AC82" i="8"/>
  <c r="AE82" i="8" s="1"/>
  <c r="R82" i="8"/>
  <c r="AF82" i="8" s="1"/>
  <c r="L82" i="8"/>
  <c r="G82" i="8"/>
  <c r="G81" i="8"/>
  <c r="AD80" i="8"/>
  <c r="AC80" i="8"/>
  <c r="AB80" i="8"/>
  <c r="AA80" i="8"/>
  <c r="Z80" i="8"/>
  <c r="Y80" i="8"/>
  <c r="X80" i="8"/>
  <c r="W80" i="8"/>
  <c r="V80" i="8"/>
  <c r="U80" i="8"/>
  <c r="R80" i="8"/>
  <c r="L80" i="8"/>
  <c r="G80" i="8"/>
  <c r="AD79" i="8"/>
  <c r="AC79" i="8"/>
  <c r="R79" i="8"/>
  <c r="L79" i="8"/>
  <c r="G79" i="8"/>
  <c r="AD78" i="8"/>
  <c r="AC78" i="8"/>
  <c r="AB78" i="8"/>
  <c r="AA78" i="8"/>
  <c r="Z78" i="8"/>
  <c r="Y78" i="8"/>
  <c r="X78" i="8"/>
  <c r="W78" i="8"/>
  <c r="V78" i="8"/>
  <c r="U78" i="8"/>
  <c r="T78" i="8"/>
  <c r="R78" i="8"/>
  <c r="L78" i="8"/>
  <c r="AD77" i="8"/>
  <c r="AC77" i="8"/>
  <c r="AB77" i="8"/>
  <c r="AA77" i="8"/>
  <c r="Z77" i="8"/>
  <c r="Y77" i="8"/>
  <c r="X77" i="8"/>
  <c r="W77" i="8"/>
  <c r="V77" i="8"/>
  <c r="U77" i="8"/>
  <c r="T77" i="8"/>
  <c r="S77" i="8"/>
  <c r="AE77" i="8" s="1"/>
  <c r="R77" i="8"/>
  <c r="AF77" i="8" s="1"/>
  <c r="L77" i="8"/>
  <c r="AD76" i="8"/>
  <c r="AC76" i="8"/>
  <c r="AB76" i="8"/>
  <c r="AA76" i="8"/>
  <c r="Z76" i="8"/>
  <c r="Y76" i="8"/>
  <c r="X76" i="8"/>
  <c r="W76" i="8"/>
  <c r="V76" i="8"/>
  <c r="U76" i="8"/>
  <c r="T76" i="8"/>
  <c r="S76" i="8"/>
  <c r="AE76" i="8" s="1"/>
  <c r="R76" i="8"/>
  <c r="AF76" i="8" s="1"/>
  <c r="L76" i="8"/>
  <c r="AD75" i="8"/>
  <c r="AC75" i="8"/>
  <c r="AB75" i="8"/>
  <c r="AA75" i="8"/>
  <c r="Z75" i="8"/>
  <c r="Y75" i="8"/>
  <c r="X75" i="8"/>
  <c r="W75" i="8"/>
  <c r="V75" i="8"/>
  <c r="U75" i="8"/>
  <c r="T75" i="8"/>
  <c r="S75" i="8"/>
  <c r="AE75" i="8" s="1"/>
  <c r="R75" i="8"/>
  <c r="AF75" i="8" s="1"/>
  <c r="L75" i="8"/>
  <c r="AD74" i="8"/>
  <c r="AC74" i="8"/>
  <c r="AB74" i="8"/>
  <c r="AA74" i="8"/>
  <c r="Z74" i="8"/>
  <c r="Y74" i="8"/>
  <c r="X74" i="8"/>
  <c r="W74" i="8"/>
  <c r="V74" i="8"/>
  <c r="U74" i="8"/>
  <c r="T74" i="8"/>
  <c r="S74" i="8"/>
  <c r="AE74" i="8" s="1"/>
  <c r="R74" i="8"/>
  <c r="AF74" i="8" s="1"/>
  <c r="L74" i="8"/>
  <c r="AD73" i="8"/>
  <c r="AC73" i="8"/>
  <c r="AB73" i="8"/>
  <c r="AA73" i="8"/>
  <c r="Z73" i="8"/>
  <c r="Y73" i="8"/>
  <c r="X73" i="8"/>
  <c r="W73" i="8"/>
  <c r="V73" i="8"/>
  <c r="U73" i="8"/>
  <c r="T73" i="8"/>
  <c r="S73" i="8"/>
  <c r="AE73" i="8" s="1"/>
  <c r="R73" i="8"/>
  <c r="AF73" i="8" s="1"/>
  <c r="L73" i="8"/>
  <c r="AD72" i="8"/>
  <c r="AC72" i="8"/>
  <c r="AB72" i="8"/>
  <c r="AA72" i="8"/>
  <c r="Z72" i="8"/>
  <c r="Y72" i="8"/>
  <c r="X72" i="8"/>
  <c r="W72" i="8"/>
  <c r="V72" i="8"/>
  <c r="U72" i="8"/>
  <c r="T72" i="8"/>
  <c r="S72" i="8"/>
  <c r="AE72" i="8" s="1"/>
  <c r="R72" i="8"/>
  <c r="AF72" i="8" s="1"/>
  <c r="R71" i="8"/>
  <c r="J71" i="8"/>
  <c r="G71" i="8"/>
  <c r="AD70" i="8"/>
  <c r="AC70" i="8"/>
  <c r="AB70" i="8"/>
  <c r="AA70" i="8"/>
  <c r="Z70" i="8"/>
  <c r="Y70" i="8"/>
  <c r="X70" i="8"/>
  <c r="W70" i="8"/>
  <c r="V70" i="8"/>
  <c r="U70" i="8"/>
  <c r="R70" i="8"/>
  <c r="L70" i="8"/>
  <c r="AD69" i="8"/>
  <c r="AC69" i="8"/>
  <c r="AB69" i="8"/>
  <c r="AA69" i="8"/>
  <c r="Z69" i="8"/>
  <c r="Y69" i="8"/>
  <c r="X69" i="8"/>
  <c r="W69" i="8"/>
  <c r="V69" i="8"/>
  <c r="U69" i="8"/>
  <c r="T69" i="8"/>
  <c r="R69" i="8"/>
  <c r="L69" i="8"/>
  <c r="AD67" i="8"/>
  <c r="AC67" i="8"/>
  <c r="AB67" i="8"/>
  <c r="AA67" i="8"/>
  <c r="Z67" i="8"/>
  <c r="Y67" i="8"/>
  <c r="X67" i="8"/>
  <c r="W67" i="8"/>
  <c r="V67" i="8"/>
  <c r="U67" i="8"/>
  <c r="T67" i="8"/>
  <c r="R67" i="8"/>
  <c r="L67" i="8"/>
  <c r="R66" i="8"/>
  <c r="L66" i="8"/>
  <c r="J66" i="8"/>
  <c r="G66" i="8"/>
  <c r="R65" i="8"/>
  <c r="K65" i="8"/>
  <c r="G65" i="8"/>
  <c r="R64" i="8"/>
  <c r="J64" i="8"/>
  <c r="G64" i="8"/>
  <c r="R63" i="8"/>
  <c r="J63" i="8"/>
  <c r="G63" i="8"/>
  <c r="R62" i="8"/>
  <c r="J62" i="8"/>
  <c r="G62" i="8"/>
  <c r="AF61" i="8"/>
  <c r="AD61" i="8"/>
  <c r="AC61" i="8"/>
  <c r="AB61" i="8"/>
  <c r="AA61" i="8"/>
  <c r="Z61" i="8"/>
  <c r="Y61" i="8"/>
  <c r="X61" i="8"/>
  <c r="W61" i="8"/>
  <c r="V61" i="8"/>
  <c r="U61" i="8"/>
  <c r="T61" i="8"/>
  <c r="S61" i="8"/>
  <c r="AE61" i="8" s="1"/>
  <c r="G61" i="8"/>
  <c r="AD60" i="8"/>
  <c r="AC60" i="8"/>
  <c r="AB60" i="8"/>
  <c r="AA60" i="8"/>
  <c r="Z60" i="8"/>
  <c r="Y60" i="8"/>
  <c r="X60" i="8"/>
  <c r="W60" i="8"/>
  <c r="V60" i="8"/>
  <c r="U60" i="8"/>
  <c r="T60" i="8"/>
  <c r="R60" i="8"/>
  <c r="G60" i="8"/>
  <c r="AD59" i="8"/>
  <c r="AC59" i="8"/>
  <c r="AB59" i="8"/>
  <c r="AA59" i="8"/>
  <c r="Z59" i="8"/>
  <c r="Y59" i="8"/>
  <c r="X59" i="8"/>
  <c r="W59" i="8"/>
  <c r="V59" i="8"/>
  <c r="U59" i="8"/>
  <c r="T59" i="8"/>
  <c r="R59" i="8"/>
  <c r="L59" i="8"/>
  <c r="G59" i="8"/>
  <c r="AD58" i="8"/>
  <c r="AC58" i="8"/>
  <c r="AB58" i="8"/>
  <c r="AA58" i="8"/>
  <c r="Z58" i="8"/>
  <c r="Y58" i="8"/>
  <c r="X58" i="8"/>
  <c r="W58" i="8"/>
  <c r="V58" i="8"/>
  <c r="U58" i="8"/>
  <c r="T58" i="8"/>
  <c r="AE58" i="8" s="1"/>
  <c r="R58" i="8"/>
  <c r="AF58" i="8" s="1"/>
  <c r="L58" i="8"/>
  <c r="G58" i="8"/>
  <c r="R57" i="8"/>
  <c r="K57" i="8"/>
  <c r="G57" i="8"/>
  <c r="R56" i="8"/>
  <c r="J56" i="8"/>
  <c r="G56" i="8"/>
  <c r="AD55" i="8"/>
  <c r="AC55" i="8"/>
  <c r="AB55" i="8"/>
  <c r="AE55" i="8" s="1"/>
  <c r="R55" i="8"/>
  <c r="AF55" i="8" s="1"/>
  <c r="L55" i="8"/>
  <c r="G55" i="8"/>
  <c r="AD54" i="8"/>
  <c r="AC54" i="8"/>
  <c r="AB54" i="8"/>
  <c r="AA54" i="8"/>
  <c r="Z54" i="8"/>
  <c r="AE54" i="8" s="1"/>
  <c r="R54" i="8"/>
  <c r="AF54" i="8" s="1"/>
  <c r="G54" i="8"/>
  <c r="AD53" i="8"/>
  <c r="AC53" i="8"/>
  <c r="AB53" i="8"/>
  <c r="AA53" i="8"/>
  <c r="Z53" i="8"/>
  <c r="Y53" i="8"/>
  <c r="X53" i="8"/>
  <c r="W53" i="8"/>
  <c r="V53" i="8"/>
  <c r="U53" i="8"/>
  <c r="AE53" i="8" s="1"/>
  <c r="R53" i="8"/>
  <c r="AF53" i="8" s="1"/>
  <c r="L53" i="8"/>
  <c r="G53" i="8"/>
  <c r="AD52" i="8"/>
  <c r="AC52" i="8"/>
  <c r="AB52" i="8"/>
  <c r="AA52" i="8"/>
  <c r="Z52" i="8"/>
  <c r="Y52" i="8"/>
  <c r="X52" i="8"/>
  <c r="W52" i="8"/>
  <c r="V52" i="8"/>
  <c r="U52" i="8"/>
  <c r="T52" i="8"/>
  <c r="S52" i="8"/>
  <c r="AE52" i="8" s="1"/>
  <c r="R52" i="8"/>
  <c r="AF52" i="8" s="1"/>
  <c r="L52" i="8"/>
  <c r="G52" i="8"/>
  <c r="AD51" i="8"/>
  <c r="AC51" i="8"/>
  <c r="AB51" i="8"/>
  <c r="AA51" i="8"/>
  <c r="Z51" i="8"/>
  <c r="Y51" i="8"/>
  <c r="X51" i="8"/>
  <c r="W51" i="8"/>
  <c r="V51" i="8"/>
  <c r="U51" i="8"/>
  <c r="T51" i="8"/>
  <c r="R51" i="8"/>
  <c r="AF51" i="8" s="1"/>
  <c r="L51" i="8"/>
  <c r="AE51" i="8" s="1"/>
  <c r="G51" i="8"/>
  <c r="AD50" i="8"/>
  <c r="AC50" i="8"/>
  <c r="AB50" i="8"/>
  <c r="AA50" i="8"/>
  <c r="Z50" i="8"/>
  <c r="Y50" i="8"/>
  <c r="X50" i="8"/>
  <c r="W50" i="8"/>
  <c r="V50" i="8"/>
  <c r="U50" i="8"/>
  <c r="T50" i="8"/>
  <c r="S50" i="8"/>
  <c r="AE50" i="8" s="1"/>
  <c r="R50" i="8"/>
  <c r="AF50" i="8" s="1"/>
  <c r="L50" i="8"/>
  <c r="G50" i="8"/>
  <c r="R49" i="8"/>
  <c r="L49" i="8"/>
  <c r="J49" i="8"/>
  <c r="G49" i="8"/>
  <c r="AD48" i="8"/>
  <c r="AC48" i="8"/>
  <c r="AB48" i="8"/>
  <c r="AA48" i="8"/>
  <c r="Z48" i="8"/>
  <c r="Y48" i="8"/>
  <c r="X48" i="8"/>
  <c r="W48" i="8"/>
  <c r="V48" i="8"/>
  <c r="U48" i="8"/>
  <c r="T48" i="8"/>
  <c r="R48" i="8"/>
  <c r="L48" i="8"/>
  <c r="G48" i="8"/>
  <c r="AD47" i="8"/>
  <c r="AC47" i="8"/>
  <c r="AB47" i="8"/>
  <c r="AA47" i="8"/>
  <c r="Z47" i="8"/>
  <c r="Y47" i="8"/>
  <c r="X47" i="8"/>
  <c r="W47" i="8"/>
  <c r="V47" i="8"/>
  <c r="U47" i="8"/>
  <c r="AE47" i="8" s="1"/>
  <c r="R47" i="8"/>
  <c r="AF47" i="8" s="1"/>
  <c r="L47" i="8"/>
  <c r="G47" i="8"/>
  <c r="AD46" i="8"/>
  <c r="AC46" i="8"/>
  <c r="AB46" i="8"/>
  <c r="AA46" i="8"/>
  <c r="Z46" i="8"/>
  <c r="Y46" i="8"/>
  <c r="X46" i="8"/>
  <c r="W46" i="8"/>
  <c r="V46" i="8"/>
  <c r="U46" i="8"/>
  <c r="T46" i="8"/>
  <c r="AE46" i="8" s="1"/>
  <c r="R46" i="8"/>
  <c r="AF46" i="8" s="1"/>
  <c r="L46" i="8"/>
  <c r="G46" i="8"/>
  <c r="R45" i="8"/>
  <c r="K45" i="8"/>
  <c r="G45" i="8"/>
  <c r="AD44" i="8"/>
  <c r="AC44" i="8"/>
  <c r="AB44" i="8"/>
  <c r="AA44" i="8"/>
  <c r="Z44" i="8"/>
  <c r="Y44" i="8"/>
  <c r="X44" i="8"/>
  <c r="W44" i="8"/>
  <c r="V44" i="8"/>
  <c r="U44" i="8"/>
  <c r="T44" i="8"/>
  <c r="R44" i="8"/>
  <c r="L44" i="8"/>
  <c r="G44" i="8"/>
  <c r="AD43" i="8"/>
  <c r="AC43" i="8"/>
  <c r="AB43" i="8"/>
  <c r="AA43" i="8"/>
  <c r="Z43" i="8"/>
  <c r="Y43" i="8"/>
  <c r="X43" i="8"/>
  <c r="W43" i="8"/>
  <c r="AE43" i="8" s="1"/>
  <c r="R43" i="8"/>
  <c r="AF43" i="8" s="1"/>
  <c r="L43" i="8"/>
  <c r="G43" i="8"/>
  <c r="AD42" i="8"/>
  <c r="AC42" i="8"/>
  <c r="AB42" i="8"/>
  <c r="AA42" i="8"/>
  <c r="Z42" i="8"/>
  <c r="Y42" i="8"/>
  <c r="X42" i="8"/>
  <c r="W42" i="8"/>
  <c r="V42" i="8"/>
  <c r="U42" i="8"/>
  <c r="T42" i="8"/>
  <c r="AE42" i="8" s="1"/>
  <c r="R42" i="8"/>
  <c r="AF42" i="8" s="1"/>
  <c r="L42" i="8"/>
  <c r="G42" i="8"/>
  <c r="AD41" i="8"/>
  <c r="AC41" i="8"/>
  <c r="AB41" i="8"/>
  <c r="AA41" i="8"/>
  <c r="Z41" i="8"/>
  <c r="Y41" i="8"/>
  <c r="X41" i="8"/>
  <c r="W41" i="8"/>
  <c r="V41" i="8"/>
  <c r="U41" i="8"/>
  <c r="AE41" i="8" s="1"/>
  <c r="R41" i="8"/>
  <c r="AF41" i="8" s="1"/>
  <c r="L41" i="8"/>
  <c r="G41" i="8"/>
  <c r="AD40" i="8"/>
  <c r="AC40" i="8"/>
  <c r="AB40" i="8"/>
  <c r="AA40" i="8"/>
  <c r="Z40" i="8"/>
  <c r="Y40" i="8"/>
  <c r="X40" i="8"/>
  <c r="W40" i="8"/>
  <c r="V40" i="8"/>
  <c r="U40" i="8"/>
  <c r="AE40" i="8" s="1"/>
  <c r="R40" i="8"/>
  <c r="AF40" i="8" s="1"/>
  <c r="L40" i="8"/>
  <c r="G40" i="8"/>
  <c r="R39" i="8"/>
  <c r="K39" i="8"/>
  <c r="G39" i="8"/>
  <c r="P38" i="8"/>
  <c r="K38" i="8"/>
  <c r="G38" i="8"/>
  <c r="R37" i="8"/>
  <c r="K37" i="8"/>
  <c r="G37" i="8"/>
  <c r="AF36" i="8"/>
  <c r="AD36" i="8"/>
  <c r="AC36" i="8"/>
  <c r="AB36" i="8"/>
  <c r="AA36" i="8"/>
  <c r="Z36" i="8"/>
  <c r="Y36" i="8"/>
  <c r="X36" i="8"/>
  <c r="W36" i="8"/>
  <c r="V36" i="8"/>
  <c r="U36" i="8"/>
  <c r="T36" i="8"/>
  <c r="S36" i="8"/>
  <c r="AE36" i="8" s="1"/>
  <c r="AE35" i="8"/>
  <c r="L35" i="8"/>
  <c r="AD34" i="8"/>
  <c r="AC34" i="8"/>
  <c r="AB34" i="8"/>
  <c r="AA34" i="8"/>
  <c r="Z34" i="8"/>
  <c r="Y34" i="8"/>
  <c r="X34" i="8"/>
  <c r="W34" i="8"/>
  <c r="V34" i="8"/>
  <c r="U34" i="8"/>
  <c r="T34" i="8"/>
  <c r="S34" i="8"/>
  <c r="AE34" i="8" s="1"/>
  <c r="R34" i="8"/>
  <c r="AF34" i="8" s="1"/>
  <c r="G34" i="8"/>
  <c r="AE33" i="8"/>
  <c r="R33" i="8"/>
  <c r="AF33" i="8" s="1"/>
  <c r="L33" i="8"/>
  <c r="G33" i="8"/>
  <c r="S32" i="8"/>
  <c r="AE32" i="8" s="1"/>
  <c r="R32" i="8"/>
  <c r="AF32" i="8" s="1"/>
  <c r="L32" i="8"/>
  <c r="G32" i="8"/>
  <c r="AE31" i="8"/>
  <c r="R31" i="8"/>
  <c r="AF31" i="8" s="1"/>
  <c r="G31" i="8"/>
  <c r="S30" i="8"/>
  <c r="AE30" i="8" s="1"/>
  <c r="R30" i="8"/>
  <c r="AF30" i="8" s="1"/>
  <c r="L30" i="8"/>
  <c r="G30" i="8"/>
  <c r="AE29" i="8"/>
  <c r="R29" i="8"/>
  <c r="AF29" i="8" s="1"/>
  <c r="G29" i="8"/>
  <c r="AE28" i="8"/>
  <c r="R28" i="8"/>
  <c r="L28" i="8"/>
  <c r="J28" i="8"/>
  <c r="G28" i="8"/>
  <c r="T27" i="8"/>
  <c r="AE27" i="8" s="1"/>
  <c r="R27" i="8"/>
  <c r="AF27" i="8" s="1"/>
  <c r="L27" i="8"/>
  <c r="G27" i="8"/>
  <c r="AE26" i="8"/>
  <c r="R26" i="8"/>
  <c r="AF26" i="8" s="1"/>
  <c r="G26" i="8"/>
  <c r="T25" i="8"/>
  <c r="AE25" i="8" s="1"/>
  <c r="R25" i="8"/>
  <c r="L25" i="8"/>
  <c r="G25" i="8"/>
  <c r="AE24" i="8"/>
  <c r="R24" i="8"/>
  <c r="L24" i="8"/>
  <c r="G24" i="8"/>
  <c r="AD23" i="8"/>
  <c r="AC23" i="8"/>
  <c r="AB23" i="8"/>
  <c r="AA23" i="8"/>
  <c r="Z23" i="8"/>
  <c r="Y23" i="8"/>
  <c r="X23" i="8"/>
  <c r="W23" i="8"/>
  <c r="V23" i="8"/>
  <c r="U23" i="8"/>
  <c r="T23" i="8"/>
  <c r="AE23" i="8" s="1"/>
  <c r="R23" i="8"/>
  <c r="AF23" i="8" s="1"/>
  <c r="L23" i="8"/>
  <c r="G23" i="8"/>
  <c r="AD22" i="8"/>
  <c r="AC22" i="8"/>
  <c r="AB22" i="8"/>
  <c r="AA22" i="8"/>
  <c r="Z22" i="8"/>
  <c r="Y22" i="8"/>
  <c r="X22" i="8"/>
  <c r="W22" i="8"/>
  <c r="V22" i="8"/>
  <c r="U22" i="8"/>
  <c r="AE22" i="8" s="1"/>
  <c r="R22" i="8"/>
  <c r="AF22" i="8" s="1"/>
  <c r="G22" i="8"/>
  <c r="AD21" i="8"/>
  <c r="AC21" i="8"/>
  <c r="AB21" i="8"/>
  <c r="AA21" i="8"/>
  <c r="Z21" i="8"/>
  <c r="Y21" i="8"/>
  <c r="X21" i="8"/>
  <c r="W21" i="8"/>
  <c r="V21" i="8"/>
  <c r="AE21" i="8" s="1"/>
  <c r="R21" i="8"/>
  <c r="AF21" i="8" s="1"/>
  <c r="L21" i="8"/>
  <c r="G21" i="8"/>
  <c r="AD20" i="8"/>
  <c r="AC20" i="8"/>
  <c r="AB20" i="8"/>
  <c r="AA20" i="8"/>
  <c r="Z20" i="8"/>
  <c r="Y20" i="8"/>
  <c r="X20" i="8"/>
  <c r="W20" i="8"/>
  <c r="V20" i="8"/>
  <c r="AE20" i="8" s="1"/>
  <c r="R20" i="8"/>
  <c r="AF20" i="8" s="1"/>
  <c r="L20" i="8"/>
  <c r="G20" i="8"/>
  <c r="AD19" i="8"/>
  <c r="AC19" i="8"/>
  <c r="AB19" i="8"/>
  <c r="AA19" i="8"/>
  <c r="Z19" i="8"/>
  <c r="Y19" i="8"/>
  <c r="X19" i="8"/>
  <c r="W19" i="8"/>
  <c r="V19" i="8"/>
  <c r="U19" i="8"/>
  <c r="T19" i="8"/>
  <c r="S19" i="8"/>
  <c r="AE19" i="8" s="1"/>
  <c r="R19" i="8"/>
  <c r="AF19" i="8" s="1"/>
  <c r="G19" i="8"/>
  <c r="AD18" i="8"/>
  <c r="AC18" i="8"/>
  <c r="AB18" i="8"/>
  <c r="AA18" i="8"/>
  <c r="Z18" i="8"/>
  <c r="Y18" i="8"/>
  <c r="X18" i="8"/>
  <c r="W18" i="8"/>
  <c r="V18" i="8"/>
  <c r="U18" i="8"/>
  <c r="R18" i="8"/>
  <c r="L18" i="8"/>
  <c r="G18" i="8"/>
  <c r="R17" i="8"/>
  <c r="J17" i="8"/>
  <c r="G17" i="8"/>
  <c r="AD16" i="8"/>
  <c r="AC16" i="8"/>
  <c r="AB16" i="8"/>
  <c r="AA16" i="8"/>
  <c r="Z16" i="8"/>
  <c r="Y16" i="8"/>
  <c r="X16" i="8"/>
  <c r="W16" i="8"/>
  <c r="V16" i="8"/>
  <c r="U16" i="8"/>
  <c r="T16" i="8"/>
  <c r="S16" i="8"/>
  <c r="AE16" i="8" s="1"/>
  <c r="R16" i="8"/>
  <c r="AF16" i="8" s="1"/>
  <c r="G16" i="8"/>
  <c r="R15" i="8"/>
  <c r="K15" i="8"/>
  <c r="G15" i="8"/>
  <c r="AD14" i="8"/>
  <c r="AC14" i="8"/>
  <c r="AB14" i="8"/>
  <c r="AA14" i="8"/>
  <c r="Z14" i="8"/>
  <c r="Y14" i="8"/>
  <c r="X14" i="8"/>
  <c r="W14" i="8"/>
  <c r="V14" i="8"/>
  <c r="U14" i="8"/>
  <c r="T14" i="8"/>
  <c r="S14" i="8"/>
  <c r="AE14" i="8" s="1"/>
  <c r="R14" i="8"/>
  <c r="AF14" i="8" s="1"/>
  <c r="AD13" i="8"/>
  <c r="AC13" i="8"/>
  <c r="AB13" i="8"/>
  <c r="AA13" i="8"/>
  <c r="Z13" i="8"/>
  <c r="Y13" i="8"/>
  <c r="X13" i="8"/>
  <c r="W13" i="8"/>
  <c r="V13" i="8"/>
  <c r="U13" i="8"/>
  <c r="R13" i="8"/>
  <c r="L13" i="8"/>
  <c r="G13" i="8"/>
  <c r="AD12" i="8"/>
  <c r="AC12" i="8"/>
  <c r="AB12" i="8"/>
  <c r="AA12" i="8"/>
  <c r="Z12" i="8"/>
  <c r="Y12" i="8"/>
  <c r="X12" i="8"/>
  <c r="W12" i="8"/>
  <c r="V12" i="8"/>
  <c r="U12" i="8"/>
  <c r="Q12" i="8"/>
  <c r="L12" i="8"/>
  <c r="AD11" i="8"/>
  <c r="AC11" i="8"/>
  <c r="AB11" i="8"/>
  <c r="AA11" i="8"/>
  <c r="Z11" i="8"/>
  <c r="AE11" i="8" s="1"/>
  <c r="R11" i="8"/>
  <c r="AF11" i="8" s="1"/>
  <c r="L11" i="8"/>
  <c r="AD10" i="8"/>
  <c r="AC10" i="8"/>
  <c r="AB10" i="8"/>
  <c r="AA10" i="8"/>
  <c r="Z10" i="8"/>
  <c r="Y10" i="8"/>
  <c r="X10" i="8"/>
  <c r="W10" i="8"/>
  <c r="R10" i="8"/>
  <c r="L10" i="8"/>
  <c r="AD9" i="8"/>
  <c r="AC9" i="8"/>
  <c r="AB9" i="8"/>
  <c r="AA9" i="8"/>
  <c r="Z9" i="8"/>
  <c r="Y9" i="8"/>
  <c r="X9" i="8"/>
  <c r="W9" i="8"/>
  <c r="V9" i="8"/>
  <c r="U9" i="8"/>
  <c r="T9" i="8"/>
  <c r="S9" i="8"/>
  <c r="AD8" i="8"/>
  <c r="AC8" i="8"/>
  <c r="AB8" i="8"/>
  <c r="AA8" i="8"/>
  <c r="Z8" i="8"/>
  <c r="Y8" i="8"/>
  <c r="AE8" i="8" s="1"/>
  <c r="R8" i="8"/>
  <c r="AF8" i="8" s="1"/>
  <c r="L8" i="8"/>
  <c r="AD7" i="8"/>
  <c r="AC7" i="8"/>
  <c r="AB7" i="8"/>
  <c r="AA7" i="8"/>
  <c r="Z7" i="8"/>
  <c r="Y7" i="8"/>
  <c r="X7" i="8"/>
  <c r="W7" i="8"/>
  <c r="V7" i="8"/>
  <c r="U7" i="8"/>
  <c r="T7" i="8"/>
  <c r="R7" i="8"/>
  <c r="AF7" i="8" s="1"/>
  <c r="L7" i="8"/>
  <c r="AD6" i="8"/>
  <c r="AC6" i="8"/>
  <c r="AB6" i="8"/>
  <c r="AA6" i="8"/>
  <c r="Z6" i="8"/>
  <c r="Y6" i="8"/>
  <c r="X6" i="8"/>
  <c r="W6" i="8"/>
  <c r="V6" i="8"/>
  <c r="U6" i="8"/>
  <c r="AE6" i="8" s="1"/>
  <c r="R6" i="8"/>
  <c r="AF6" i="8" s="1"/>
  <c r="L6" i="8"/>
  <c r="AD5" i="8"/>
  <c r="AC5" i="8"/>
  <c r="AB5" i="8"/>
  <c r="AA5" i="8"/>
  <c r="Z5" i="8"/>
  <c r="Y5" i="8"/>
  <c r="R5" i="8"/>
  <c r="L5" i="8"/>
  <c r="AD4" i="8"/>
  <c r="AC4" i="8"/>
  <c r="AB4" i="8"/>
  <c r="AA4" i="8"/>
  <c r="Z4" i="8"/>
  <c r="Y4" i="8"/>
  <c r="X4" i="8"/>
  <c r="W4" i="8"/>
  <c r="V4" i="8"/>
  <c r="R4" i="8"/>
  <c r="L4" i="8"/>
  <c r="N16" i="7"/>
  <c r="G16" i="7"/>
  <c r="N15" i="7"/>
  <c r="G15" i="7"/>
  <c r="N14" i="7"/>
  <c r="N13" i="7"/>
  <c r="N12" i="7"/>
  <c r="N11" i="7"/>
  <c r="G11" i="7"/>
  <c r="N10" i="7"/>
  <c r="G10" i="7"/>
  <c r="N9" i="7"/>
  <c r="G9" i="7"/>
  <c r="AA8" i="7"/>
  <c r="N8" i="7"/>
  <c r="G8" i="7"/>
  <c r="AA7" i="7"/>
  <c r="N7" i="7"/>
  <c r="G7" i="7"/>
  <c r="AA6" i="7"/>
  <c r="N6" i="7"/>
  <c r="G6" i="7"/>
  <c r="AA5" i="7"/>
  <c r="N5" i="7"/>
  <c r="G5" i="7"/>
  <c r="AC9" i="1"/>
  <c r="AB9" i="1"/>
  <c r="AA9" i="1"/>
  <c r="Z9" i="1"/>
  <c r="Y9" i="1"/>
  <c r="X9" i="1"/>
  <c r="W9" i="1"/>
  <c r="V9" i="1"/>
  <c r="U9" i="1"/>
  <c r="T9" i="1"/>
  <c r="S9" i="1"/>
  <c r="R9" i="1"/>
  <c r="AD9" i="1" s="1"/>
  <c r="R32" i="1"/>
  <c r="R30" i="1"/>
  <c r="AD35" i="1"/>
  <c r="K35" i="1"/>
  <c r="S25" i="1"/>
  <c r="S27" i="1"/>
  <c r="AD26" i="1"/>
  <c r="K24" i="1"/>
  <c r="O38" i="1"/>
  <c r="S7" i="1"/>
  <c r="Q43" i="1"/>
  <c r="F81" i="1"/>
  <c r="K5" i="1"/>
  <c r="AD24" i="1"/>
  <c r="Q24" i="1"/>
  <c r="F24" i="1"/>
  <c r="AD25" i="1"/>
  <c r="K25" i="1"/>
  <c r="Q25" i="1"/>
  <c r="F25" i="1"/>
  <c r="B20" i="6"/>
  <c r="J19" i="5"/>
  <c r="G19" i="5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I2" i="3" s="1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O93" i="1"/>
  <c r="Q91" i="1"/>
  <c r="I91" i="1"/>
  <c r="F91" i="1"/>
  <c r="Q90" i="1"/>
  <c r="K90" i="1"/>
  <c r="F90" i="1"/>
  <c r="AC89" i="1"/>
  <c r="AB89" i="1"/>
  <c r="AA89" i="1"/>
  <c r="Z89" i="1"/>
  <c r="Y89" i="1"/>
  <c r="X89" i="1"/>
  <c r="W89" i="1"/>
  <c r="V89" i="1"/>
  <c r="U89" i="1"/>
  <c r="T89" i="1"/>
  <c r="S89" i="1"/>
  <c r="Q89" i="1"/>
  <c r="K89" i="1"/>
  <c r="F89" i="1"/>
  <c r="AC88" i="1"/>
  <c r="AB88" i="1"/>
  <c r="AA88" i="1"/>
  <c r="Z88" i="1"/>
  <c r="Y88" i="1"/>
  <c r="X88" i="1"/>
  <c r="W88" i="1"/>
  <c r="V88" i="1"/>
  <c r="U88" i="1"/>
  <c r="T88" i="1"/>
  <c r="S88" i="1"/>
  <c r="Q88" i="1"/>
  <c r="K88" i="1"/>
  <c r="F88" i="1"/>
  <c r="AC87" i="1"/>
  <c r="AB87" i="1"/>
  <c r="AA87" i="1"/>
  <c r="Z87" i="1"/>
  <c r="Y87" i="1"/>
  <c r="X87" i="1"/>
  <c r="W87" i="1"/>
  <c r="V87" i="1"/>
  <c r="U87" i="1"/>
  <c r="T87" i="1"/>
  <c r="S87" i="1"/>
  <c r="AD87" i="1" s="1"/>
  <c r="Q87" i="1"/>
  <c r="K87" i="1"/>
  <c r="F87" i="1"/>
  <c r="AD86" i="1"/>
  <c r="Q86" i="1"/>
  <c r="K86" i="1"/>
  <c r="F86" i="1"/>
  <c r="AC85" i="1"/>
  <c r="AB85" i="1"/>
  <c r="AA85" i="1"/>
  <c r="Z85" i="1"/>
  <c r="Y85" i="1"/>
  <c r="X85" i="1"/>
  <c r="W85" i="1"/>
  <c r="V85" i="1"/>
  <c r="U85" i="1"/>
  <c r="T85" i="1"/>
  <c r="S85" i="1"/>
  <c r="R85" i="1"/>
  <c r="AD85" i="1" s="1"/>
  <c r="Q85" i="1"/>
  <c r="F85" i="1"/>
  <c r="Q84" i="1"/>
  <c r="J84" i="1"/>
  <c r="F84" i="1"/>
  <c r="AC83" i="1"/>
  <c r="AB83" i="1"/>
  <c r="AA83" i="1"/>
  <c r="Z83" i="1"/>
  <c r="Y83" i="1"/>
  <c r="X83" i="1"/>
  <c r="W83" i="1"/>
  <c r="V83" i="1"/>
  <c r="U83" i="1"/>
  <c r="T83" i="1"/>
  <c r="S83" i="1"/>
  <c r="R83" i="1"/>
  <c r="AD83" i="1" s="1"/>
  <c r="Q83" i="1"/>
  <c r="F83" i="1"/>
  <c r="AC82" i="1"/>
  <c r="AB82" i="1"/>
  <c r="AD82" i="1"/>
  <c r="Q82" i="1"/>
  <c r="K82" i="1"/>
  <c r="F82" i="1"/>
  <c r="AC80" i="1"/>
  <c r="AB80" i="1"/>
  <c r="AA80" i="1"/>
  <c r="Z80" i="1"/>
  <c r="Y80" i="1"/>
  <c r="X80" i="1"/>
  <c r="W80" i="1"/>
  <c r="V80" i="1"/>
  <c r="U80" i="1"/>
  <c r="T80" i="1"/>
  <c r="Q80" i="1"/>
  <c r="K80" i="1"/>
  <c r="F80" i="1"/>
  <c r="AC79" i="1"/>
  <c r="AB79" i="1"/>
  <c r="Q79" i="1"/>
  <c r="K79" i="1"/>
  <c r="F79" i="1"/>
  <c r="AC78" i="1"/>
  <c r="AB78" i="1"/>
  <c r="AA78" i="1"/>
  <c r="Z78" i="1"/>
  <c r="Y78" i="1"/>
  <c r="X78" i="1"/>
  <c r="W78" i="1"/>
  <c r="V78" i="1"/>
  <c r="U78" i="1"/>
  <c r="T78" i="1"/>
  <c r="S78" i="1"/>
  <c r="Q78" i="1"/>
  <c r="K78" i="1"/>
  <c r="AC77" i="1"/>
  <c r="AB77" i="1"/>
  <c r="AA77" i="1"/>
  <c r="Z77" i="1"/>
  <c r="Y77" i="1"/>
  <c r="X77" i="1"/>
  <c r="W77" i="1"/>
  <c r="V77" i="1"/>
  <c r="U77" i="1"/>
  <c r="T77" i="1"/>
  <c r="S77" i="1"/>
  <c r="R77" i="1"/>
  <c r="AD77" i="1" s="1"/>
  <c r="Q77" i="1"/>
  <c r="K77" i="1"/>
  <c r="AC76" i="1"/>
  <c r="AB76" i="1"/>
  <c r="AA76" i="1"/>
  <c r="Z76" i="1"/>
  <c r="Y76" i="1"/>
  <c r="X76" i="1"/>
  <c r="W76" i="1"/>
  <c r="V76" i="1"/>
  <c r="U76" i="1"/>
  <c r="T76" i="1"/>
  <c r="S76" i="1"/>
  <c r="R76" i="1"/>
  <c r="AD76" i="1" s="1"/>
  <c r="Q76" i="1"/>
  <c r="K76" i="1"/>
  <c r="AC75" i="1"/>
  <c r="AB75" i="1"/>
  <c r="AA75" i="1"/>
  <c r="Z75" i="1"/>
  <c r="Y75" i="1"/>
  <c r="X75" i="1"/>
  <c r="W75" i="1"/>
  <c r="V75" i="1"/>
  <c r="U75" i="1"/>
  <c r="T75" i="1"/>
  <c r="S75" i="1"/>
  <c r="R75" i="1"/>
  <c r="AD75" i="1" s="1"/>
  <c r="Q75" i="1"/>
  <c r="K75" i="1"/>
  <c r="AC74" i="1"/>
  <c r="AB74" i="1"/>
  <c r="AA74" i="1"/>
  <c r="Z74" i="1"/>
  <c r="Y74" i="1"/>
  <c r="X74" i="1"/>
  <c r="W74" i="1"/>
  <c r="V74" i="1"/>
  <c r="U74" i="1"/>
  <c r="T74" i="1"/>
  <c r="S74" i="1"/>
  <c r="R74" i="1"/>
  <c r="AD74" i="1" s="1"/>
  <c r="Q74" i="1"/>
  <c r="K74" i="1"/>
  <c r="AC73" i="1"/>
  <c r="AB73" i="1"/>
  <c r="AA73" i="1"/>
  <c r="Z73" i="1"/>
  <c r="Y73" i="1"/>
  <c r="X73" i="1"/>
  <c r="W73" i="1"/>
  <c r="V73" i="1"/>
  <c r="U73" i="1"/>
  <c r="T73" i="1"/>
  <c r="S73" i="1"/>
  <c r="R73" i="1"/>
  <c r="AD73" i="1" s="1"/>
  <c r="Q73" i="1"/>
  <c r="K73" i="1"/>
  <c r="AC72" i="1"/>
  <c r="AB72" i="1"/>
  <c r="AA72" i="1"/>
  <c r="Z72" i="1"/>
  <c r="Y72" i="1"/>
  <c r="X72" i="1"/>
  <c r="W72" i="1"/>
  <c r="V72" i="1"/>
  <c r="U72" i="1"/>
  <c r="T72" i="1"/>
  <c r="S72" i="1"/>
  <c r="R72" i="1"/>
  <c r="AD72" i="1" s="1"/>
  <c r="Q72" i="1"/>
  <c r="Q71" i="1"/>
  <c r="I71" i="1"/>
  <c r="F71" i="1"/>
  <c r="AC70" i="1"/>
  <c r="AB70" i="1"/>
  <c r="AA70" i="1"/>
  <c r="Z70" i="1"/>
  <c r="Y70" i="1"/>
  <c r="X70" i="1"/>
  <c r="W70" i="1"/>
  <c r="V70" i="1"/>
  <c r="U70" i="1"/>
  <c r="T70" i="1"/>
  <c r="Q70" i="1"/>
  <c r="K70" i="1"/>
  <c r="AC69" i="1"/>
  <c r="AB69" i="1"/>
  <c r="AA69" i="1"/>
  <c r="Z69" i="1"/>
  <c r="Y69" i="1"/>
  <c r="X69" i="1"/>
  <c r="W69" i="1"/>
  <c r="V69" i="1"/>
  <c r="U69" i="1"/>
  <c r="T69" i="1"/>
  <c r="S69" i="1"/>
  <c r="Q69" i="1"/>
  <c r="K69" i="1"/>
  <c r="AC67" i="1"/>
  <c r="AB67" i="1"/>
  <c r="AA67" i="1"/>
  <c r="Z67" i="1"/>
  <c r="Y67" i="1"/>
  <c r="X67" i="1"/>
  <c r="W67" i="1"/>
  <c r="V67" i="1"/>
  <c r="U67" i="1"/>
  <c r="T67" i="1"/>
  <c r="S67" i="1"/>
  <c r="Q67" i="1"/>
  <c r="K67" i="1"/>
  <c r="Q66" i="1"/>
  <c r="K66" i="1"/>
  <c r="I66" i="1"/>
  <c r="F66" i="1"/>
  <c r="Q65" i="1"/>
  <c r="J65" i="1"/>
  <c r="F65" i="1"/>
  <c r="Q64" i="1"/>
  <c r="I64" i="1"/>
  <c r="F64" i="1"/>
  <c r="Q63" i="1"/>
  <c r="I63" i="1"/>
  <c r="F63" i="1"/>
  <c r="Q62" i="1"/>
  <c r="I62" i="1"/>
  <c r="F62" i="1"/>
  <c r="AC61" i="1"/>
  <c r="AB61" i="1"/>
  <c r="AA61" i="1"/>
  <c r="Z61" i="1"/>
  <c r="Y61" i="1"/>
  <c r="X61" i="1"/>
  <c r="W61" i="1"/>
  <c r="V61" i="1"/>
  <c r="U61" i="1"/>
  <c r="T61" i="1"/>
  <c r="S61" i="1"/>
  <c r="R61" i="1"/>
  <c r="AD61" i="1" s="1"/>
  <c r="F61" i="1"/>
  <c r="AC60" i="1"/>
  <c r="AB60" i="1"/>
  <c r="AA60" i="1"/>
  <c r="Z60" i="1"/>
  <c r="Y60" i="1"/>
  <c r="X60" i="1"/>
  <c r="W60" i="1"/>
  <c r="V60" i="1"/>
  <c r="U60" i="1"/>
  <c r="T60" i="1"/>
  <c r="S60" i="1"/>
  <c r="Q60" i="1"/>
  <c r="F60" i="1"/>
  <c r="AC59" i="1"/>
  <c r="AB59" i="1"/>
  <c r="AA59" i="1"/>
  <c r="Z59" i="1"/>
  <c r="Y59" i="1"/>
  <c r="X59" i="1"/>
  <c r="W59" i="1"/>
  <c r="V59" i="1"/>
  <c r="U59" i="1"/>
  <c r="T59" i="1"/>
  <c r="S59" i="1"/>
  <c r="Q59" i="1"/>
  <c r="K59" i="1"/>
  <c r="F59" i="1"/>
  <c r="AC58" i="1"/>
  <c r="AB58" i="1"/>
  <c r="AA58" i="1"/>
  <c r="Z58" i="1"/>
  <c r="Y58" i="1"/>
  <c r="X58" i="1"/>
  <c r="W58" i="1"/>
  <c r="V58" i="1"/>
  <c r="U58" i="1"/>
  <c r="T58" i="1"/>
  <c r="S58" i="1"/>
  <c r="AD58" i="1" s="1"/>
  <c r="Q58" i="1"/>
  <c r="K58" i="1"/>
  <c r="F58" i="1"/>
  <c r="Q57" i="1"/>
  <c r="J57" i="1"/>
  <c r="F57" i="1"/>
  <c r="Q56" i="1"/>
  <c r="I56" i="1"/>
  <c r="F56" i="1"/>
  <c r="AC55" i="1"/>
  <c r="AB55" i="1"/>
  <c r="AA55" i="1"/>
  <c r="AD55" i="1"/>
  <c r="Q55" i="1"/>
  <c r="K55" i="1"/>
  <c r="F55" i="1"/>
  <c r="AC54" i="1"/>
  <c r="AB54" i="1"/>
  <c r="AA54" i="1"/>
  <c r="Z54" i="1"/>
  <c r="Y54" i="1"/>
  <c r="Q54" i="1"/>
  <c r="F54" i="1"/>
  <c r="AC53" i="1"/>
  <c r="AB53" i="1"/>
  <c r="AA53" i="1"/>
  <c r="Z53" i="1"/>
  <c r="Y53" i="1"/>
  <c r="X53" i="1"/>
  <c r="W53" i="1"/>
  <c r="V53" i="1"/>
  <c r="U53" i="1"/>
  <c r="T53" i="1"/>
  <c r="AD53" i="1" s="1"/>
  <c r="Q53" i="1"/>
  <c r="K53" i="1"/>
  <c r="F53" i="1"/>
  <c r="AC52" i="1"/>
  <c r="AB52" i="1"/>
  <c r="AA52" i="1"/>
  <c r="Z52" i="1"/>
  <c r="Y52" i="1"/>
  <c r="X52" i="1"/>
  <c r="W52" i="1"/>
  <c r="V52" i="1"/>
  <c r="U52" i="1"/>
  <c r="T52" i="1"/>
  <c r="S52" i="1"/>
  <c r="R52" i="1"/>
  <c r="AD52" i="1" s="1"/>
  <c r="Q52" i="1"/>
  <c r="K52" i="1"/>
  <c r="F52" i="1"/>
  <c r="AC51" i="1"/>
  <c r="AB51" i="1"/>
  <c r="AA51" i="1"/>
  <c r="Z51" i="1"/>
  <c r="Y51" i="1"/>
  <c r="X51" i="1"/>
  <c r="W51" i="1"/>
  <c r="V51" i="1"/>
  <c r="U51" i="1"/>
  <c r="T51" i="1"/>
  <c r="S51" i="1"/>
  <c r="Q51" i="1"/>
  <c r="K51" i="1"/>
  <c r="AD51" i="1" s="1"/>
  <c r="F51" i="1"/>
  <c r="AC50" i="1"/>
  <c r="AB50" i="1"/>
  <c r="AA50" i="1"/>
  <c r="Z50" i="1"/>
  <c r="Y50" i="1"/>
  <c r="X50" i="1"/>
  <c r="W50" i="1"/>
  <c r="V50" i="1"/>
  <c r="U50" i="1"/>
  <c r="T50" i="1"/>
  <c r="S50" i="1"/>
  <c r="R50" i="1"/>
  <c r="AD50" i="1" s="1"/>
  <c r="Q50" i="1"/>
  <c r="K50" i="1"/>
  <c r="F50" i="1"/>
  <c r="Q49" i="1"/>
  <c r="K49" i="1"/>
  <c r="I49" i="1"/>
  <c r="F49" i="1"/>
  <c r="AC48" i="1"/>
  <c r="AB48" i="1"/>
  <c r="AA48" i="1"/>
  <c r="Z48" i="1"/>
  <c r="Y48" i="1"/>
  <c r="X48" i="1"/>
  <c r="W48" i="1"/>
  <c r="V48" i="1"/>
  <c r="U48" i="1"/>
  <c r="T48" i="1"/>
  <c r="S48" i="1"/>
  <c r="Q48" i="1"/>
  <c r="K48" i="1"/>
  <c r="F48" i="1"/>
  <c r="AC47" i="1"/>
  <c r="AB47" i="1"/>
  <c r="AA47" i="1"/>
  <c r="Z47" i="1"/>
  <c r="Y47" i="1"/>
  <c r="X47" i="1"/>
  <c r="W47" i="1"/>
  <c r="V47" i="1"/>
  <c r="U47" i="1"/>
  <c r="T47" i="1"/>
  <c r="AD47" i="1" s="1"/>
  <c r="Q47" i="1"/>
  <c r="K47" i="1"/>
  <c r="F47" i="1"/>
  <c r="AC46" i="1"/>
  <c r="AB46" i="1"/>
  <c r="AA46" i="1"/>
  <c r="Z46" i="1"/>
  <c r="Y46" i="1"/>
  <c r="X46" i="1"/>
  <c r="W46" i="1"/>
  <c r="V46" i="1"/>
  <c r="U46" i="1"/>
  <c r="T46" i="1"/>
  <c r="S46" i="1"/>
  <c r="AD46" i="1" s="1"/>
  <c r="Q46" i="1"/>
  <c r="K46" i="1"/>
  <c r="F46" i="1"/>
  <c r="Q45" i="1"/>
  <c r="J45" i="1"/>
  <c r="F45" i="1"/>
  <c r="AC44" i="1"/>
  <c r="AB44" i="1"/>
  <c r="AA44" i="1"/>
  <c r="Z44" i="1"/>
  <c r="Y44" i="1"/>
  <c r="X44" i="1"/>
  <c r="W44" i="1"/>
  <c r="V44" i="1"/>
  <c r="U44" i="1"/>
  <c r="T44" i="1"/>
  <c r="S44" i="1"/>
  <c r="Q44" i="1"/>
  <c r="K44" i="1"/>
  <c r="F44" i="1"/>
  <c r="AC43" i="1"/>
  <c r="AB43" i="1"/>
  <c r="AA43" i="1"/>
  <c r="Z43" i="1"/>
  <c r="Y43" i="1"/>
  <c r="X43" i="1"/>
  <c r="W43" i="1"/>
  <c r="V43" i="1"/>
  <c r="K43" i="1"/>
  <c r="F43" i="1"/>
  <c r="AC42" i="1"/>
  <c r="AB42" i="1"/>
  <c r="AA42" i="1"/>
  <c r="Z42" i="1"/>
  <c r="Y42" i="1"/>
  <c r="X42" i="1"/>
  <c r="W42" i="1"/>
  <c r="V42" i="1"/>
  <c r="U42" i="1"/>
  <c r="T42" i="1"/>
  <c r="S42" i="1"/>
  <c r="AD42" i="1" s="1"/>
  <c r="Q42" i="1"/>
  <c r="K42" i="1"/>
  <c r="F42" i="1"/>
  <c r="AC41" i="1"/>
  <c r="AB41" i="1"/>
  <c r="AA41" i="1"/>
  <c r="Z41" i="1"/>
  <c r="Y41" i="1"/>
  <c r="X41" i="1"/>
  <c r="W41" i="1"/>
  <c r="V41" i="1"/>
  <c r="U41" i="1"/>
  <c r="T41" i="1"/>
  <c r="AD41" i="1" s="1"/>
  <c r="Q41" i="1"/>
  <c r="K41" i="1"/>
  <c r="F41" i="1"/>
  <c r="AC40" i="1"/>
  <c r="AB40" i="1"/>
  <c r="AA40" i="1"/>
  <c r="Z40" i="1"/>
  <c r="Y40" i="1"/>
  <c r="X40" i="1"/>
  <c r="W40" i="1"/>
  <c r="V40" i="1"/>
  <c r="U40" i="1"/>
  <c r="T40" i="1"/>
  <c r="AD40" i="1" s="1"/>
  <c r="Q40" i="1"/>
  <c r="K40" i="1"/>
  <c r="F40" i="1"/>
  <c r="Q39" i="1"/>
  <c r="J39" i="1"/>
  <c r="F39" i="1"/>
  <c r="Q38" i="1"/>
  <c r="J38" i="1"/>
  <c r="F38" i="1"/>
  <c r="Q37" i="1"/>
  <c r="J37" i="1"/>
  <c r="F37" i="1"/>
  <c r="AC36" i="1"/>
  <c r="AB36" i="1"/>
  <c r="AA36" i="1"/>
  <c r="Z36" i="1"/>
  <c r="Y36" i="1"/>
  <c r="X36" i="1"/>
  <c r="W36" i="1"/>
  <c r="V36" i="1"/>
  <c r="U36" i="1"/>
  <c r="T36" i="1"/>
  <c r="S36" i="1"/>
  <c r="R36" i="1"/>
  <c r="AD36" i="1" s="1"/>
  <c r="AC34" i="1"/>
  <c r="AB34" i="1"/>
  <c r="AA34" i="1"/>
  <c r="Z34" i="1"/>
  <c r="Y34" i="1"/>
  <c r="X34" i="1"/>
  <c r="W34" i="1"/>
  <c r="V34" i="1"/>
  <c r="U34" i="1"/>
  <c r="T34" i="1"/>
  <c r="S34" i="1"/>
  <c r="R34" i="1"/>
  <c r="AD34" i="1" s="1"/>
  <c r="Q34" i="1"/>
  <c r="F34" i="1"/>
  <c r="Q33" i="1"/>
  <c r="K33" i="1"/>
  <c r="F33" i="1"/>
  <c r="AD32" i="1"/>
  <c r="Q32" i="1"/>
  <c r="K32" i="1"/>
  <c r="F32" i="1"/>
  <c r="Q31" i="1"/>
  <c r="F31" i="1"/>
  <c r="Q30" i="1"/>
  <c r="K30" i="1"/>
  <c r="F30" i="1"/>
  <c r="Q29" i="1"/>
  <c r="F29" i="1"/>
  <c r="Q28" i="1"/>
  <c r="K28" i="1"/>
  <c r="I28" i="1"/>
  <c r="F28" i="1"/>
  <c r="Q27" i="1"/>
  <c r="K27" i="1"/>
  <c r="F27" i="1"/>
  <c r="Q26" i="1"/>
  <c r="F26" i="1"/>
  <c r="AC23" i="1"/>
  <c r="AB23" i="1"/>
  <c r="AA23" i="1"/>
  <c r="Z23" i="1"/>
  <c r="Y23" i="1"/>
  <c r="X23" i="1"/>
  <c r="W23" i="1"/>
  <c r="V23" i="1"/>
  <c r="U23" i="1"/>
  <c r="T23" i="1"/>
  <c r="S23" i="1"/>
  <c r="AD23" i="1"/>
  <c r="Q23" i="1"/>
  <c r="K23" i="1"/>
  <c r="F23" i="1"/>
  <c r="AC22" i="1"/>
  <c r="AB22" i="1"/>
  <c r="AA22" i="1"/>
  <c r="Z22" i="1"/>
  <c r="Y22" i="1"/>
  <c r="X22" i="1"/>
  <c r="W22" i="1"/>
  <c r="V22" i="1"/>
  <c r="U22" i="1"/>
  <c r="T22" i="1"/>
  <c r="AD22" i="1" s="1"/>
  <c r="Q22" i="1"/>
  <c r="F22" i="1"/>
  <c r="AC21" i="1"/>
  <c r="AB21" i="1"/>
  <c r="AA21" i="1"/>
  <c r="Z21" i="1"/>
  <c r="Y21" i="1"/>
  <c r="X21" i="1"/>
  <c r="W21" i="1"/>
  <c r="V21" i="1"/>
  <c r="U21" i="1"/>
  <c r="AD21" i="1" s="1"/>
  <c r="Q21" i="1"/>
  <c r="K21" i="1"/>
  <c r="F21" i="1"/>
  <c r="AC20" i="1"/>
  <c r="AB20" i="1"/>
  <c r="AA20" i="1"/>
  <c r="Z20" i="1"/>
  <c r="Y20" i="1"/>
  <c r="X20" i="1"/>
  <c r="W20" i="1"/>
  <c r="V20" i="1"/>
  <c r="U20" i="1"/>
  <c r="AD20" i="1" s="1"/>
  <c r="Q20" i="1"/>
  <c r="K20" i="1"/>
  <c r="F20" i="1"/>
  <c r="AC19" i="1"/>
  <c r="AB19" i="1"/>
  <c r="AA19" i="1"/>
  <c r="Z19" i="1"/>
  <c r="Y19" i="1"/>
  <c r="X19" i="1"/>
  <c r="W19" i="1"/>
  <c r="V19" i="1"/>
  <c r="U19" i="1"/>
  <c r="T19" i="1"/>
  <c r="S19" i="1"/>
  <c r="R19" i="1"/>
  <c r="AD19" i="1" s="1"/>
  <c r="Q19" i="1"/>
  <c r="F19" i="1"/>
  <c r="AC18" i="1"/>
  <c r="AB18" i="1"/>
  <c r="AA18" i="1"/>
  <c r="Z18" i="1"/>
  <c r="Y18" i="1"/>
  <c r="X18" i="1"/>
  <c r="W18" i="1"/>
  <c r="V18" i="1"/>
  <c r="U18" i="1"/>
  <c r="T18" i="1"/>
  <c r="Q18" i="1"/>
  <c r="K18" i="1"/>
  <c r="F18" i="1"/>
  <c r="Q17" i="1"/>
  <c r="I17" i="1"/>
  <c r="F17" i="1"/>
  <c r="AC16" i="1"/>
  <c r="AB16" i="1"/>
  <c r="AA16" i="1"/>
  <c r="Z16" i="1"/>
  <c r="Y16" i="1"/>
  <c r="X16" i="1"/>
  <c r="W16" i="1"/>
  <c r="V16" i="1"/>
  <c r="U16" i="1"/>
  <c r="T16" i="1"/>
  <c r="S16" i="1"/>
  <c r="R16" i="1"/>
  <c r="AD16" i="1" s="1"/>
  <c r="Q16" i="1"/>
  <c r="F16" i="1"/>
  <c r="Q15" i="1"/>
  <c r="J15" i="1"/>
  <c r="F15" i="1"/>
  <c r="AC14" i="1"/>
  <c r="AB14" i="1"/>
  <c r="AA14" i="1"/>
  <c r="Z14" i="1"/>
  <c r="Y14" i="1"/>
  <c r="X14" i="1"/>
  <c r="W14" i="1"/>
  <c r="V14" i="1"/>
  <c r="U14" i="1"/>
  <c r="T14" i="1"/>
  <c r="S14" i="1"/>
  <c r="R14" i="1"/>
  <c r="AD14" i="1" s="1"/>
  <c r="Q14" i="1"/>
  <c r="AC13" i="1"/>
  <c r="AB13" i="1"/>
  <c r="AA13" i="1"/>
  <c r="Z13" i="1"/>
  <c r="Y13" i="1"/>
  <c r="X13" i="1"/>
  <c r="W13" i="1"/>
  <c r="V13" i="1"/>
  <c r="U13" i="1"/>
  <c r="T13" i="1"/>
  <c r="Q13" i="1"/>
  <c r="K13" i="1"/>
  <c r="F13" i="1"/>
  <c r="AC12" i="1"/>
  <c r="AB12" i="1"/>
  <c r="AA12" i="1"/>
  <c r="Z12" i="1"/>
  <c r="Y12" i="1"/>
  <c r="X12" i="1"/>
  <c r="W12" i="1"/>
  <c r="V12" i="1"/>
  <c r="U12" i="1"/>
  <c r="T12" i="1"/>
  <c r="P12" i="1"/>
  <c r="Q12" i="1" s="1"/>
  <c r="K12" i="1"/>
  <c r="AC11" i="1"/>
  <c r="AB11" i="1"/>
  <c r="AA11" i="1"/>
  <c r="Z11" i="1"/>
  <c r="Y11" i="1"/>
  <c r="AD11" i="1" s="1"/>
  <c r="Q11" i="1"/>
  <c r="K11" i="1"/>
  <c r="AC10" i="1"/>
  <c r="AB10" i="1"/>
  <c r="AA10" i="1"/>
  <c r="Z10" i="1"/>
  <c r="Y10" i="1"/>
  <c r="X10" i="1"/>
  <c r="W10" i="1"/>
  <c r="V10" i="1"/>
  <c r="Q10" i="1"/>
  <c r="K10" i="1"/>
  <c r="AC8" i="1"/>
  <c r="AB8" i="1"/>
  <c r="AA8" i="1"/>
  <c r="Z8" i="1"/>
  <c r="Y8" i="1"/>
  <c r="X8" i="1"/>
  <c r="AD8" i="1" s="1"/>
  <c r="K8" i="1"/>
  <c r="AC7" i="1"/>
  <c r="AB7" i="1"/>
  <c r="AA7" i="1"/>
  <c r="Z7" i="1"/>
  <c r="Y7" i="1"/>
  <c r="X7" i="1"/>
  <c r="W7" i="1"/>
  <c r="V7" i="1"/>
  <c r="U7" i="1"/>
  <c r="T7" i="1"/>
  <c r="AD7" i="1"/>
  <c r="Q7" i="1"/>
  <c r="K7" i="1"/>
  <c r="AC6" i="1"/>
  <c r="AB6" i="1"/>
  <c r="AA6" i="1"/>
  <c r="Z6" i="1"/>
  <c r="Y6" i="1"/>
  <c r="X6" i="1"/>
  <c r="W6" i="1"/>
  <c r="V6" i="1"/>
  <c r="U6" i="1"/>
  <c r="T6" i="1"/>
  <c r="Q6" i="1"/>
  <c r="K6" i="1"/>
  <c r="AC5" i="1"/>
  <c r="AB5" i="1"/>
  <c r="AA5" i="1"/>
  <c r="Z5" i="1"/>
  <c r="Y5" i="1"/>
  <c r="X5" i="1"/>
  <c r="Q5" i="1"/>
  <c r="AC4" i="1"/>
  <c r="AB4" i="1"/>
  <c r="AA4" i="1"/>
  <c r="Z4" i="1"/>
  <c r="Y4" i="1"/>
  <c r="X4" i="1"/>
  <c r="W4" i="1"/>
  <c r="V4" i="1"/>
  <c r="U4" i="1"/>
  <c r="Q4" i="1"/>
  <c r="K4" i="1"/>
  <c r="AF4" i="8" l="1"/>
  <c r="U4" i="8"/>
  <c r="AF5" i="8"/>
  <c r="X5" i="8"/>
  <c r="AE7" i="8"/>
  <c r="AE9" i="8"/>
  <c r="AF10" i="8"/>
  <c r="V10" i="8"/>
  <c r="Q93" i="8"/>
  <c r="R12" i="8"/>
  <c r="AF13" i="8"/>
  <c r="T13" i="8"/>
  <c r="AE13" i="8" s="1"/>
  <c r="K93" i="8"/>
  <c r="AD15" i="8"/>
  <c r="AC15" i="8"/>
  <c r="AB15" i="8"/>
  <c r="AA15" i="8"/>
  <c r="Z15" i="8"/>
  <c r="Y15" i="8"/>
  <c r="X15" i="8"/>
  <c r="W15" i="8"/>
  <c r="AF15" i="8"/>
  <c r="J93" i="8"/>
  <c r="AD17" i="8"/>
  <c r="AC17" i="8"/>
  <c r="AB17" i="8"/>
  <c r="AA17" i="8"/>
  <c r="Z17" i="8"/>
  <c r="Y17" i="8"/>
  <c r="X17" i="8"/>
  <c r="W17" i="8"/>
  <c r="V17" i="8"/>
  <c r="U17" i="8"/>
  <c r="T17" i="8"/>
  <c r="S17" i="8"/>
  <c r="AF17" i="8"/>
  <c r="AF18" i="8"/>
  <c r="T18" i="8"/>
  <c r="AE18" i="8" s="1"/>
  <c r="AF28" i="8"/>
  <c r="AD37" i="8"/>
  <c r="AC37" i="8"/>
  <c r="AB37" i="8"/>
  <c r="AA37" i="8"/>
  <c r="Z37" i="8"/>
  <c r="Y37" i="8"/>
  <c r="X37" i="8"/>
  <c r="W37" i="8"/>
  <c r="V37" i="8"/>
  <c r="AE37" i="8" s="1"/>
  <c r="L37" i="8"/>
  <c r="AF37" i="8"/>
  <c r="AD38" i="8"/>
  <c r="AC38" i="8"/>
  <c r="AB38" i="8"/>
  <c r="AA38" i="8"/>
  <c r="Z38" i="8"/>
  <c r="Y38" i="8"/>
  <c r="X38" i="8"/>
  <c r="AE38" i="8" s="1"/>
  <c r="P93" i="8"/>
  <c r="R38" i="8"/>
  <c r="AF38" i="8" s="1"/>
  <c r="AD39" i="8"/>
  <c r="AC39" i="8"/>
  <c r="AB39" i="8"/>
  <c r="AA39" i="8"/>
  <c r="Z39" i="8"/>
  <c r="Y39" i="8"/>
  <c r="X39" i="8"/>
  <c r="W39" i="8"/>
  <c r="V39" i="8"/>
  <c r="AE39" i="8" s="1"/>
  <c r="AF39" i="8"/>
  <c r="AF44" i="8"/>
  <c r="S44" i="8"/>
  <c r="AE44" i="8" s="1"/>
  <c r="AD45" i="8"/>
  <c r="AC45" i="8"/>
  <c r="AB45" i="8"/>
  <c r="AA45" i="8"/>
  <c r="Z45" i="8"/>
  <c r="Y45" i="8"/>
  <c r="X45" i="8"/>
  <c r="W45" i="8"/>
  <c r="V45" i="8"/>
  <c r="U45" i="8"/>
  <c r="T45" i="8"/>
  <c r="S45" i="8"/>
  <c r="AE45" i="8" s="1"/>
  <c r="L45" i="8"/>
  <c r="AF45" i="8"/>
  <c r="AF48" i="8"/>
  <c r="S48" i="8"/>
  <c r="AE48" i="8" s="1"/>
  <c r="AD49" i="8"/>
  <c r="AC49" i="8"/>
  <c r="AB49" i="8"/>
  <c r="AA49" i="8"/>
  <c r="Z49" i="8"/>
  <c r="Y49" i="8"/>
  <c r="X49" i="8"/>
  <c r="W49" i="8"/>
  <c r="V49" i="8"/>
  <c r="U49" i="8"/>
  <c r="T49" i="8"/>
  <c r="S49" i="8"/>
  <c r="AE49" i="8" s="1"/>
  <c r="AF49" i="8"/>
  <c r="AD56" i="8"/>
  <c r="AC56" i="8"/>
  <c r="AB56" i="8"/>
  <c r="AE56" i="8" s="1"/>
  <c r="AF56" i="8"/>
  <c r="AD57" i="8"/>
  <c r="AC57" i="8"/>
  <c r="AB57" i="8"/>
  <c r="AA57" i="8"/>
  <c r="Z57" i="8"/>
  <c r="AE57" i="8" s="1"/>
  <c r="AF57" i="8"/>
  <c r="AF59" i="8"/>
  <c r="S59" i="8"/>
  <c r="AE59" i="8" s="1"/>
  <c r="AF60" i="8"/>
  <c r="S60" i="8"/>
  <c r="AE60" i="8" s="1"/>
  <c r="AD62" i="8"/>
  <c r="AC62" i="8"/>
  <c r="AB62" i="8"/>
  <c r="AE62" i="8" s="1"/>
  <c r="AF62" i="8"/>
  <c r="AD63" i="8"/>
  <c r="AC63" i="8"/>
  <c r="AB63" i="8"/>
  <c r="AA63" i="8"/>
  <c r="Z63" i="8"/>
  <c r="Y63" i="8"/>
  <c r="X63" i="8"/>
  <c r="W63" i="8"/>
  <c r="V63" i="8"/>
  <c r="AE63" i="8" s="1"/>
  <c r="AF63" i="8"/>
  <c r="AD64" i="8"/>
  <c r="AC64" i="8"/>
  <c r="AB64" i="8"/>
  <c r="AA64" i="8"/>
  <c r="Z64" i="8"/>
  <c r="Y64" i="8"/>
  <c r="X64" i="8"/>
  <c r="W64" i="8"/>
  <c r="V64" i="8"/>
  <c r="U64" i="8"/>
  <c r="T64" i="8"/>
  <c r="AE64" i="8" s="1"/>
  <c r="AF64" i="8"/>
  <c r="AD65" i="8"/>
  <c r="AC65" i="8"/>
  <c r="AB65" i="8"/>
  <c r="AA65" i="8"/>
  <c r="Z65" i="8"/>
  <c r="Y65" i="8"/>
  <c r="X65" i="8"/>
  <c r="W65" i="8"/>
  <c r="V65" i="8"/>
  <c r="U65" i="8"/>
  <c r="T65" i="8"/>
  <c r="S65" i="8"/>
  <c r="AE65" i="8" s="1"/>
  <c r="AF65" i="8"/>
  <c r="AD66" i="8"/>
  <c r="AC66" i="8"/>
  <c r="AB66" i="8"/>
  <c r="AA66" i="8"/>
  <c r="AE66" i="8" s="1"/>
  <c r="AF66" i="8"/>
  <c r="AF67" i="8"/>
  <c r="S67" i="8"/>
  <c r="AE67" i="8" s="1"/>
  <c r="AF69" i="8"/>
  <c r="S69" i="8"/>
  <c r="AE69" i="8" s="1"/>
  <c r="AF70" i="8"/>
  <c r="T70" i="8"/>
  <c r="AE70" i="8" s="1"/>
  <c r="AD71" i="8"/>
  <c r="AC71" i="8"/>
  <c r="AB71" i="8"/>
  <c r="AA71" i="8"/>
  <c r="Z71" i="8"/>
  <c r="Y71" i="8"/>
  <c r="X71" i="8"/>
  <c r="W71" i="8"/>
  <c r="V71" i="8"/>
  <c r="U71" i="8"/>
  <c r="T71" i="8"/>
  <c r="S71" i="8"/>
  <c r="AE71" i="8" s="1"/>
  <c r="AF71" i="8"/>
  <c r="AF78" i="8"/>
  <c r="S78" i="8"/>
  <c r="AE78" i="8" s="1"/>
  <c r="AF79" i="8"/>
  <c r="AB79" i="8"/>
  <c r="AE79" i="8" s="1"/>
  <c r="AF80" i="8"/>
  <c r="T80" i="8"/>
  <c r="AE80" i="8" s="1"/>
  <c r="AD84" i="8"/>
  <c r="AC84" i="8"/>
  <c r="AE84" i="8" s="1"/>
  <c r="AF84" i="8"/>
  <c r="AF88" i="8"/>
  <c r="S88" i="8"/>
  <c r="AE88" i="8" s="1"/>
  <c r="AF89" i="8"/>
  <c r="S89" i="8"/>
  <c r="AE89" i="8" s="1"/>
  <c r="AD91" i="8"/>
  <c r="AC91" i="8"/>
  <c r="AB91" i="8"/>
  <c r="AA91" i="8"/>
  <c r="Z91" i="8"/>
  <c r="Y91" i="8"/>
  <c r="X91" i="8"/>
  <c r="W91" i="8"/>
  <c r="V91" i="8"/>
  <c r="U91" i="8"/>
  <c r="T91" i="8"/>
  <c r="S91" i="8"/>
  <c r="AE91" i="8" s="1"/>
  <c r="L91" i="8"/>
  <c r="AF91" i="8"/>
  <c r="AA4" i="7"/>
  <c r="M18" i="7"/>
  <c r="L18" i="7"/>
  <c r="O9" i="7"/>
  <c r="AA10" i="7"/>
  <c r="AA11" i="7"/>
  <c r="AA12" i="7"/>
  <c r="AA13" i="7"/>
  <c r="AA14" i="7"/>
  <c r="AA16" i="7"/>
  <c r="T4" i="1"/>
  <c r="W5" i="1"/>
  <c r="AD6" i="1"/>
  <c r="P93" i="1"/>
  <c r="Q8" i="1"/>
  <c r="Q93" i="1" s="1"/>
  <c r="U10" i="1"/>
  <c r="S12" i="1"/>
  <c r="S13" i="1"/>
  <c r="AD13" i="1" s="1"/>
  <c r="J93" i="1"/>
  <c r="AC15" i="1"/>
  <c r="AB15" i="1"/>
  <c r="AA15" i="1"/>
  <c r="Z15" i="1"/>
  <c r="Y15" i="1"/>
  <c r="X15" i="1"/>
  <c r="W15" i="1"/>
  <c r="V15" i="1"/>
  <c r="I93" i="1"/>
  <c r="AC17" i="1"/>
  <c r="AB17" i="1"/>
  <c r="AA17" i="1"/>
  <c r="Z17" i="1"/>
  <c r="Y17" i="1"/>
  <c r="X17" i="1"/>
  <c r="W17" i="1"/>
  <c r="V17" i="1"/>
  <c r="U17" i="1"/>
  <c r="T17" i="1"/>
  <c r="S17" i="1"/>
  <c r="R17" i="1"/>
  <c r="AD17" i="1" s="1"/>
  <c r="S18" i="1"/>
  <c r="AD18" i="1" s="1"/>
  <c r="AD27" i="1"/>
  <c r="AD28" i="1"/>
  <c r="AD29" i="1"/>
  <c r="AD30" i="1"/>
  <c r="AD31" i="1"/>
  <c r="AD33" i="1"/>
  <c r="AC37" i="1"/>
  <c r="AB37" i="1"/>
  <c r="AA37" i="1"/>
  <c r="Z37" i="1"/>
  <c r="Y37" i="1"/>
  <c r="X37" i="1"/>
  <c r="W37" i="1"/>
  <c r="V37" i="1"/>
  <c r="U37" i="1"/>
  <c r="AD37" i="1"/>
  <c r="K37" i="1"/>
  <c r="AC38" i="1"/>
  <c r="AB38" i="1"/>
  <c r="AA38" i="1"/>
  <c r="Z38" i="1"/>
  <c r="Y38" i="1"/>
  <c r="X38" i="1"/>
  <c r="W38" i="1"/>
  <c r="AD38" i="1"/>
  <c r="AC39" i="1"/>
  <c r="AB39" i="1"/>
  <c r="AA39" i="1"/>
  <c r="Z39" i="1"/>
  <c r="Y39" i="1"/>
  <c r="X39" i="1"/>
  <c r="W39" i="1"/>
  <c r="V39" i="1"/>
  <c r="U39" i="1"/>
  <c r="AD39" i="1"/>
  <c r="AD43" i="1"/>
  <c r="R44" i="1"/>
  <c r="AD44" i="1" s="1"/>
  <c r="AC45" i="1"/>
  <c r="AB45" i="1"/>
  <c r="AA45" i="1"/>
  <c r="Z45" i="1"/>
  <c r="Y45" i="1"/>
  <c r="X45" i="1"/>
  <c r="W45" i="1"/>
  <c r="V45" i="1"/>
  <c r="U45" i="1"/>
  <c r="T45" i="1"/>
  <c r="S45" i="1"/>
  <c r="R45" i="1"/>
  <c r="AD45" i="1" s="1"/>
  <c r="K45" i="1"/>
  <c r="R48" i="1"/>
  <c r="AD48" i="1" s="1"/>
  <c r="AC49" i="1"/>
  <c r="AB49" i="1"/>
  <c r="AA49" i="1"/>
  <c r="Z49" i="1"/>
  <c r="Y49" i="1"/>
  <c r="X49" i="1"/>
  <c r="W49" i="1"/>
  <c r="V49" i="1"/>
  <c r="U49" i="1"/>
  <c r="T49" i="1"/>
  <c r="S49" i="1"/>
  <c r="R49" i="1"/>
  <c r="AD49" i="1" s="1"/>
  <c r="AD54" i="1"/>
  <c r="AC56" i="1"/>
  <c r="AB56" i="1"/>
  <c r="AA56" i="1"/>
  <c r="AD56" i="1"/>
  <c r="AC57" i="1"/>
  <c r="AB57" i="1"/>
  <c r="AA57" i="1"/>
  <c r="Z57" i="1"/>
  <c r="Y57" i="1"/>
  <c r="AD57" i="1" s="1"/>
  <c r="R59" i="1"/>
  <c r="AD59" i="1" s="1"/>
  <c r="R60" i="1"/>
  <c r="AD60" i="1" s="1"/>
  <c r="AC62" i="1"/>
  <c r="AB62" i="1"/>
  <c r="AA62" i="1"/>
  <c r="AD62" i="1" s="1"/>
  <c r="AC63" i="1"/>
  <c r="AB63" i="1"/>
  <c r="AA63" i="1"/>
  <c r="Z63" i="1"/>
  <c r="Y63" i="1"/>
  <c r="X63" i="1"/>
  <c r="W63" i="1"/>
  <c r="V63" i="1"/>
  <c r="U63" i="1"/>
  <c r="AD63" i="1" s="1"/>
  <c r="AC64" i="1"/>
  <c r="AB64" i="1"/>
  <c r="AA64" i="1"/>
  <c r="Z64" i="1"/>
  <c r="Y64" i="1"/>
  <c r="X64" i="1"/>
  <c r="W64" i="1"/>
  <c r="V64" i="1"/>
  <c r="U64" i="1"/>
  <c r="T64" i="1"/>
  <c r="S64" i="1"/>
  <c r="AD64" i="1" s="1"/>
  <c r="AC65" i="1"/>
  <c r="AB65" i="1"/>
  <c r="AA65" i="1"/>
  <c r="Z65" i="1"/>
  <c r="Y65" i="1"/>
  <c r="X65" i="1"/>
  <c r="W65" i="1"/>
  <c r="V65" i="1"/>
  <c r="U65" i="1"/>
  <c r="T65" i="1"/>
  <c r="S65" i="1"/>
  <c r="R65" i="1"/>
  <c r="AD65" i="1" s="1"/>
  <c r="AC66" i="1"/>
  <c r="AB66" i="1"/>
  <c r="AA66" i="1"/>
  <c r="Z66" i="1"/>
  <c r="AD66" i="1" s="1"/>
  <c r="R67" i="1"/>
  <c r="AD67" i="1" s="1"/>
  <c r="R69" i="1"/>
  <c r="AD69" i="1" s="1"/>
  <c r="S70" i="1"/>
  <c r="AD70" i="1" s="1"/>
  <c r="AC71" i="1"/>
  <c r="AB71" i="1"/>
  <c r="AA71" i="1"/>
  <c r="Z71" i="1"/>
  <c r="Y71" i="1"/>
  <c r="X71" i="1"/>
  <c r="W71" i="1"/>
  <c r="V71" i="1"/>
  <c r="U71" i="1"/>
  <c r="T71" i="1"/>
  <c r="S71" i="1"/>
  <c r="R71" i="1"/>
  <c r="AD71" i="1" s="1"/>
  <c r="R78" i="1"/>
  <c r="AD78" i="1" s="1"/>
  <c r="AA79" i="1"/>
  <c r="AD79" i="1" s="1"/>
  <c r="S80" i="1"/>
  <c r="AD80" i="1" s="1"/>
  <c r="AC84" i="1"/>
  <c r="AB84" i="1"/>
  <c r="AD84" i="1"/>
  <c r="R88" i="1"/>
  <c r="AD88" i="1" s="1"/>
  <c r="R89" i="1"/>
  <c r="AD89" i="1" s="1"/>
  <c r="AC91" i="1"/>
  <c r="AB91" i="1"/>
  <c r="AA91" i="1"/>
  <c r="Z91" i="1"/>
  <c r="Y91" i="1"/>
  <c r="X91" i="1"/>
  <c r="W91" i="1"/>
  <c r="V91" i="1"/>
  <c r="U91" i="1"/>
  <c r="T91" i="1"/>
  <c r="S91" i="1"/>
  <c r="R91" i="1"/>
  <c r="AD91" i="1" s="1"/>
  <c r="K91" i="1"/>
  <c r="L93" i="8" l="1"/>
  <c r="AE17" i="8"/>
  <c r="S93" i="8"/>
  <c r="AE15" i="8"/>
  <c r="W93" i="8"/>
  <c r="Y93" i="8"/>
  <c r="Z93" i="8"/>
  <c r="AA93" i="8"/>
  <c r="AB93" i="8"/>
  <c r="AC93" i="8"/>
  <c r="AD93" i="8"/>
  <c r="AF12" i="8"/>
  <c r="T12" i="8"/>
  <c r="R93" i="8"/>
  <c r="R95" i="8" s="1"/>
  <c r="AE10" i="8"/>
  <c r="V93" i="8"/>
  <c r="AE5" i="8"/>
  <c r="X93" i="8"/>
  <c r="U93" i="8"/>
  <c r="AE4" i="8"/>
  <c r="O18" i="7"/>
  <c r="S18" i="7"/>
  <c r="U18" i="7"/>
  <c r="V18" i="7"/>
  <c r="W18" i="7"/>
  <c r="X18" i="7"/>
  <c r="Y18" i="7"/>
  <c r="Z18" i="7"/>
  <c r="N18" i="7"/>
  <c r="R18" i="7"/>
  <c r="T18" i="7"/>
  <c r="Q18" i="7"/>
  <c r="F20" i="2"/>
  <c r="K93" i="1"/>
  <c r="AD15" i="1"/>
  <c r="R93" i="1"/>
  <c r="V93" i="1"/>
  <c r="X93" i="1"/>
  <c r="Y93" i="1"/>
  <c r="Z93" i="1"/>
  <c r="AA93" i="1"/>
  <c r="AB93" i="1"/>
  <c r="AC93" i="1"/>
  <c r="AD12" i="1"/>
  <c r="S93" i="1"/>
  <c r="AD10" i="1"/>
  <c r="U93" i="1"/>
  <c r="AD5" i="1"/>
  <c r="W93" i="1"/>
  <c r="T93" i="1"/>
  <c r="AD4" i="1"/>
  <c r="AD93" i="1" s="1"/>
  <c r="AE12" i="8" l="1"/>
  <c r="AE93" i="8" s="1"/>
  <c r="AE96" i="8" s="1"/>
  <c r="T93" i="8"/>
  <c r="AA18" i="7"/>
  <c r="P18" i="7"/>
</calcChain>
</file>

<file path=xl/sharedStrings.xml><?xml version="1.0" encoding="utf-8"?>
<sst xmlns="http://schemas.openxmlformats.org/spreadsheetml/2006/main" count="1404" uniqueCount="517">
  <si>
    <t>Acompanhamento de Contratos*</t>
  </si>
  <si>
    <t>Data de Atualização: 26/01/2026</t>
  </si>
  <si>
    <t>Descrição das despesas</t>
  </si>
  <si>
    <t>UGR</t>
  </si>
  <si>
    <t>PI 2026</t>
  </si>
  <si>
    <t>CNPJ</t>
  </si>
  <si>
    <t>Processo</t>
  </si>
  <si>
    <t>Vigência</t>
  </si>
  <si>
    <t>Status do Contrato</t>
  </si>
  <si>
    <t>Situação da prorrogação</t>
  </si>
  <si>
    <t>nº  Contrato</t>
  </si>
  <si>
    <t>Valor Contrato Média mensal</t>
  </si>
  <si>
    <t xml:space="preserve">Valor Cont Mensal </t>
  </si>
  <si>
    <t>Total estimado Anual</t>
  </si>
  <si>
    <t>NC detalhado</t>
  </si>
  <si>
    <t>Saldo Disponível Detalhado</t>
  </si>
  <si>
    <t>Fonte</t>
  </si>
  <si>
    <t>Saldo Empenhos 2025</t>
  </si>
  <si>
    <t>Saldo de Empenhos RAP</t>
  </si>
  <si>
    <t>Total RAP + Empenho</t>
  </si>
  <si>
    <t>Total necessário</t>
  </si>
  <si>
    <t>- Estagiários UnB (novo PI - estagiários)</t>
  </si>
  <si>
    <t>DGP/ folha</t>
  </si>
  <si>
    <t>VGM01N01N2N</t>
  </si>
  <si>
    <t>2025NC000345</t>
  </si>
  <si>
    <t>Estagiários - auxílio transporte</t>
  </si>
  <si>
    <t>VGM01N01N7N</t>
  </si>
  <si>
    <t>2025NC000347</t>
  </si>
  <si>
    <t>Pasep - HUB</t>
  </si>
  <si>
    <t>HUB</t>
  </si>
  <si>
    <t>VGM01N01N1N</t>
  </si>
  <si>
    <t>2025NC000335</t>
  </si>
  <si>
    <t>Pasep - UnB</t>
  </si>
  <si>
    <t>VGM01N01R3N</t>
  </si>
  <si>
    <t>2025NC000336</t>
  </si>
  <si>
    <t>- Serviços de Energia Elétrica (PRC) – já com CI</t>
  </si>
  <si>
    <t>VGM01N01I2N</t>
  </si>
  <si>
    <t>075522669/000192</t>
  </si>
  <si>
    <t>Taxa de Iluminação Pública Neoenergia</t>
  </si>
  <si>
    <t>VGM01N01S6N</t>
  </si>
  <si>
    <t>2025NC000348</t>
  </si>
  <si>
    <t xml:space="preserve">- Serviços de Água e Esgoto (PRC) </t>
  </si>
  <si>
    <t>INFRA</t>
  </si>
  <si>
    <t>VGM01N01I3N VGM01N01Q9N</t>
  </si>
  <si>
    <t>00.082.024/0001-37</t>
  </si>
  <si>
    <t xml:space="preserve"> SANEAGO - Água e esgoto UnB Cerrado (corrigir a média)</t>
  </si>
  <si>
    <t>UnB Cerrado</t>
  </si>
  <si>
    <t>VGM01N01I3N VGM01N01Q8N</t>
  </si>
  <si>
    <t>01616929000102</t>
  </si>
  <si>
    <t>2025NC000349</t>
  </si>
  <si>
    <t>Energia Elétrica UnB Cerrado - CONTRATO CCER - ENEL N. 36/2020 e CELG DISTRIBUIÇÃO S.A - CELG D,  Equatorial Goiás Distribuidora de Energia S/A</t>
  </si>
  <si>
    <t>VGM01N01I2N VGM01N01R1N</t>
  </si>
  <si>
    <t>23106.044802/2020-09 23106.083937/2023-24</t>
  </si>
  <si>
    <t>36/2020</t>
  </si>
  <si>
    <t>2025NC000351</t>
  </si>
  <si>
    <t>OI SA recuperação judicial</t>
  </si>
  <si>
    <t>STI</t>
  </si>
  <si>
    <t>VGM01N01I4N</t>
  </si>
  <si>
    <t>76535764000143</t>
  </si>
  <si>
    <t>23106.012727/2018-94</t>
  </si>
  <si>
    <t>515/2021</t>
  </si>
  <si>
    <t>2025NC000353</t>
  </si>
  <si>
    <r>
      <rPr>
        <sz val="11"/>
        <color rgb="FF000000"/>
        <rFont val="Arial"/>
        <family val="2"/>
        <charset val="1"/>
      </rPr>
      <t xml:space="preserve">Novo contrato (serviço de manutenção preventiva programada e corretiva da </t>
    </r>
    <r>
      <rPr>
        <sz val="11"/>
        <color rgb="FFFF0000"/>
        <rFont val="Arial"/>
        <family val="2"/>
        <charset val="1"/>
      </rPr>
      <t>sala cofre</t>
    </r>
    <r>
      <rPr>
        <sz val="11"/>
        <color rgb="FF000000"/>
        <rFont val="Arial"/>
        <family val="2"/>
        <charset val="1"/>
      </rPr>
      <t xml:space="preserve"> instalada na STI/UnB)</t>
    </r>
  </si>
  <si>
    <t>VGM01N01A2N</t>
  </si>
  <si>
    <t>23106.020472/2024-81</t>
  </si>
  <si>
    <t>Ultimo despacho DPO informa certificação orçamentária apenas, a licitação está correndo em outro SEI.</t>
  </si>
  <si>
    <t>QUALIFICAR - Suporte TI (Serviços de Manutenção dos Computadores da UnB)</t>
  </si>
  <si>
    <t>VGM01N01A3N</t>
  </si>
  <si>
    <t>04.752.792/0001-01</t>
  </si>
  <si>
    <t>23106.016945/2023-65</t>
  </si>
  <si>
    <t>512/2025</t>
  </si>
  <si>
    <t>2025NC000354</t>
  </si>
  <si>
    <t xml:space="preserve">- Rede Gigacandanga - Convênio FUB/ RNT </t>
  </si>
  <si>
    <t>VGM01N01K8N</t>
  </si>
  <si>
    <t>23106.032698/2019-68
23106.108762/2019-99
23106.027099/2024-90</t>
  </si>
  <si>
    <t>-SIG SOFTWARE &amp; CONSULTORIA EM TECNOLOGIA DA I (Serviço de apoio especializado nas atividades necessárias ao suporte negocial, customização e sustentação do Sistemas Institucionais Integrados de Gestão (SIG))</t>
  </si>
  <si>
    <t>VGM01N01Q4N</t>
  </si>
  <si>
    <t xml:space="preserve">13.406.686/0001-67 </t>
  </si>
  <si>
    <t>23106.125254/2022-71</t>
  </si>
  <si>
    <t>505/2024</t>
  </si>
  <si>
    <t>ainda sem histórico de liquidação</t>
  </si>
  <si>
    <t>Inframérica - prestação de serviços de armazenagem e capatazia de cargas importadas (conforme demanda)</t>
  </si>
  <si>
    <t>Contratos DCO</t>
  </si>
  <si>
    <t>VGM01N01L3N</t>
  </si>
  <si>
    <t xml:space="preserve"> 15.559.082/0001-86</t>
  </si>
  <si>
    <t>23106.010064/2025-01</t>
  </si>
  <si>
    <t>1203/2025</t>
  </si>
  <si>
    <r>
      <rPr>
        <sz val="11"/>
        <color rgb="FF000000"/>
        <rFont val="Arial"/>
        <family val="2"/>
        <charset val="1"/>
      </rPr>
      <t xml:space="preserve">Agenciamento de Transportes de Cargas Internacionais WeghLogística (Aéreos e Marítimos)   (conforme demanda) </t>
    </r>
    <r>
      <rPr>
        <b/>
        <sz val="11"/>
        <color rgb="FFFF0000"/>
        <rFont val="Arial"/>
        <family val="2"/>
        <charset val="1"/>
      </rPr>
      <t>não será prorrogado, licitação em andamento</t>
    </r>
  </si>
  <si>
    <t>Contratos DCO/ DIMEX</t>
  </si>
  <si>
    <t>VGM01N01L3N VGM01N01R9N</t>
  </si>
  <si>
    <t>65494742000166</t>
  </si>
  <si>
    <t>23106.099324/2016-80</t>
  </si>
  <si>
    <t>081/2017</t>
  </si>
  <si>
    <t>WEGH Assessoria e Logística Internacional Ltda, Agenciamento de Transportes de Cargas Internacionais WeghLogística</t>
  </si>
  <si>
    <t>23106.019323/2023-99
23106.087339/2024-13 (importação/ressarcimento)</t>
  </si>
  <si>
    <t>142/2023</t>
  </si>
  <si>
    <t>NK LOGISTICA E TRANSPORTES LTDA (serviços de transporte de cargas por via aérea)</t>
  </si>
  <si>
    <t>VGM01N01P2N</t>
  </si>
  <si>
    <t>32270711000172</t>
  </si>
  <si>
    <t>23106.068904/2022-73</t>
  </si>
  <si>
    <t>130/2022</t>
  </si>
  <si>
    <t>- Seguro de aluno/ estagiário (MBM Seguradora S.A)</t>
  </si>
  <si>
    <t>VGM01N01N7N VGM01N01R5N</t>
  </si>
  <si>
    <t>87883807000106</t>
  </si>
  <si>
    <t>23106.085902/2019-43</t>
  </si>
  <si>
    <t>Não será renovado</t>
  </si>
  <si>
    <t>024/2020</t>
  </si>
  <si>
    <t>BELFORT GERENCIAMENTO DE RESIDUOS LTDA - empresa especializada nos serviços continuados de coleta, transporte, tratamento e disposição final de resíduos de serviços de saúde (RSS)</t>
  </si>
  <si>
    <t>Contratos DCA</t>
  </si>
  <si>
    <t>VGM01N01E4N</t>
  </si>
  <si>
    <t>10865146000153</t>
  </si>
  <si>
    <t>23106.065223/2022-53</t>
  </si>
  <si>
    <t>1204/2023</t>
  </si>
  <si>
    <t>MEGAVOLT ENERGIA MANUTENCOES, SERVICOS, INSTALACOES DE GRUPOS GERADORES LTDA</t>
  </si>
  <si>
    <t>PRC</t>
  </si>
  <si>
    <t>VGM01N01G7N</t>
  </si>
  <si>
    <t>19.316.591/0001-39</t>
  </si>
  <si>
    <t>23106.127437/2023-10</t>
  </si>
  <si>
    <t>Verificar Liquidação p/ ajustar média</t>
  </si>
  <si>
    <t>1209/2025</t>
  </si>
  <si>
    <t>QFROTAS SISTEMAS LTDA</t>
  </si>
  <si>
    <t>VGM01N01D1N</t>
  </si>
  <si>
    <t>44.220.921/0001-35</t>
  </si>
  <si>
    <t>23106.005379/2025-28</t>
  </si>
  <si>
    <t>682/2025</t>
  </si>
  <si>
    <t>PRIME EXTINTORES EIRELI – ME – recarga de extintores</t>
  </si>
  <si>
    <t>VGM01N01I6N</t>
  </si>
  <si>
    <t>09.098.197/0001-18</t>
  </si>
  <si>
    <t>23106.101317/2023-84</t>
  </si>
  <si>
    <t>618/2024</t>
  </si>
  <si>
    <t>- Fornecimento de combustível
(Novo fornecer para 2019 - Ticket soluções HDFGT S/A) (NÃO DEVE SER ANULADO)</t>
  </si>
  <si>
    <t>VGM01N01I5N</t>
  </si>
  <si>
    <t>03.506.307/0001-57</t>
  </si>
  <si>
    <t>23106.116807/2021-13</t>
  </si>
  <si>
    <t>1222/2022</t>
  </si>
  <si>
    <t>2025NC000355</t>
  </si>
  <si>
    <t xml:space="preserve">CRUZEIRO CONTROLE DE PRAGAS E DESENTUPIMENTO </t>
  </si>
  <si>
    <t>VGM01N01D3N</t>
  </si>
  <si>
    <t xml:space="preserve"> 22.575.793/0001-00</t>
  </si>
  <si>
    <t>23106.058637/2021-45</t>
  </si>
  <si>
    <t>1222/2024</t>
  </si>
  <si>
    <t>2025NC000337</t>
  </si>
  <si>
    <t>VILELA SERVIÇO DE PAISAGISMO, PARQUES E JARDINS LTDA (jardinagem)</t>
  </si>
  <si>
    <t>VGM01N01A5N</t>
  </si>
  <si>
    <t>32.751.565/0001-05</t>
  </si>
  <si>
    <t>23106.028705/2019-27</t>
  </si>
  <si>
    <t>1217/2023</t>
  </si>
  <si>
    <t>2025NC000338</t>
  </si>
  <si>
    <t>- TRANSMONICI TRANSPORTE E TURISMO  (ônibus rodoviário executivo)</t>
  </si>
  <si>
    <t>VGM01N01K1N</t>
  </si>
  <si>
    <t>09169349000126</t>
  </si>
  <si>
    <t>23106.000890/2021-18</t>
  </si>
  <si>
    <t>em fase de renovação</t>
  </si>
  <si>
    <t>604/2022</t>
  </si>
  <si>
    <t>Tafa Engenharia (serviços continuados de manutenção preventiva e corretiva de equipamentos e sistemas de ar condicionado, com fornecimento de peças e materiais)</t>
  </si>
  <si>
    <t>VGM01N01F1N</t>
  </si>
  <si>
    <t>23106.056117/2023-60</t>
  </si>
  <si>
    <t>616/2024</t>
  </si>
  <si>
    <t>- Taxigov (demanda) - VIP service</t>
  </si>
  <si>
    <t>VGM01N01A4N</t>
  </si>
  <si>
    <t>02605452000122</t>
  </si>
  <si>
    <t>23106.010532/2020-24</t>
  </si>
  <si>
    <t>036/2020</t>
  </si>
  <si>
    <t xml:space="preserve">3P HGM solução visual (serviços de comunicação visual) </t>
  </si>
  <si>
    <t>VGM01N01O7N</t>
  </si>
  <si>
    <t>34.998.513/0001-55</t>
  </si>
  <si>
    <t>23106.089249/2019-91</t>
  </si>
  <si>
    <t>1217/2022</t>
  </si>
  <si>
    <t>NP TECNOLOGIA E GESTAO DE DADOS LTDA - ferramenta de pesquisa e comparação de preços praticados pela Administração Pública</t>
  </si>
  <si>
    <t>VGM01N01P6N</t>
  </si>
  <si>
    <t xml:space="preserve">07.797.967/0001-95 </t>
  </si>
  <si>
    <t>23106.108257/2021-69</t>
  </si>
  <si>
    <t>contrato anual</t>
  </si>
  <si>
    <t>605/2022</t>
  </si>
  <si>
    <t>SLU - resíduos sólidos</t>
  </si>
  <si>
    <t>VGM01N01I1N 
(ver se precisa criar PI)</t>
  </si>
  <si>
    <t>01.567.525/0001-76</t>
  </si>
  <si>
    <t>23106.004730/2025-63</t>
  </si>
  <si>
    <t>contratação de empresa especializada na prestação de serviços continuados, sem dedicação exclusiva de mão de obra, para realização de serviços de acondicionamento, coleta, transporte, tratamento e disposição final de resíduos químicos perigosos</t>
  </si>
  <si>
    <t>VGM01N01B8</t>
  </si>
  <si>
    <t>23106.043884/2024-90</t>
  </si>
  <si>
    <r>
      <rPr>
        <sz val="11"/>
        <color rgb="FF000000"/>
        <rFont val="Arial"/>
        <family val="2"/>
        <charset val="1"/>
      </rPr>
      <t>ARTES GRÁFICA COMÉRCIO E REPRESENTAÇÕES EIRELI (serviços continuados de Designer Gráfico)</t>
    </r>
    <r>
      <rPr>
        <sz val="11"/>
        <color rgb="FFFF0000"/>
        <rFont val="Arial"/>
        <family val="2"/>
        <charset val="1"/>
      </rPr>
      <t xml:space="preserve"> - foi solicitada prorrogação por 20 meses</t>
    </r>
  </si>
  <si>
    <t>VGM01N01P4N</t>
  </si>
  <si>
    <t>05606994000108</t>
  </si>
  <si>
    <t>23106.148085/2022-47</t>
  </si>
  <si>
    <t>147/2022</t>
  </si>
  <si>
    <r>
      <rPr>
        <sz val="11"/>
        <color rgb="FF000000"/>
        <rFont val="Arial"/>
        <family val="2"/>
        <charset val="1"/>
      </rPr>
      <t xml:space="preserve">ELYON BRASIL - </t>
    </r>
    <r>
      <rPr>
        <b/>
        <sz val="11"/>
        <color rgb="FF000000"/>
        <rFont val="Arial"/>
        <family val="2"/>
        <charset val="1"/>
      </rPr>
      <t>ESPLANADA</t>
    </r>
    <r>
      <rPr>
        <sz val="11"/>
        <color rgb="FF000000"/>
        <rFont val="Arial"/>
        <family val="2"/>
        <charset val="1"/>
      </rPr>
      <t xml:space="preserve"> SERVICOS TERCEIRIZADOS EIRELI - serviços continuados de pessoal - coletores de resíduos de serviços de saúde</t>
    </r>
  </si>
  <si>
    <t>VGM01N01E4N VGM01N01R4N</t>
  </si>
  <si>
    <t>01099686000182</t>
  </si>
  <si>
    <t xml:space="preserve">23106.031888/2020-00 </t>
  </si>
  <si>
    <t>111/2020</t>
  </si>
  <si>
    <t>2025NC000350</t>
  </si>
  <si>
    <t xml:space="preserve">- ALFA E OMEGA Apoio Técnico EDU </t>
  </si>
  <si>
    <t>VGM01N01D5N</t>
  </si>
  <si>
    <t>16650774000106</t>
  </si>
  <si>
    <t>23106.011967/2019-52</t>
  </si>
  <si>
    <t>022/2021</t>
  </si>
  <si>
    <t>OBJETIVA SERVIÇOS TERCEIRIZADOS LTDA - copeiragem</t>
  </si>
  <si>
    <t>VGM01N01O2N</t>
  </si>
  <si>
    <t>10.874.523/0001-10</t>
  </si>
  <si>
    <t>23106.030343/2024-00 23106.093628/2025-24</t>
  </si>
  <si>
    <t>24/2025</t>
  </si>
  <si>
    <t>2025NC000340</t>
  </si>
  <si>
    <t>OBJETIVA SERVIÇOS TERCEIRIZADOS LTDA - contínuo</t>
  </si>
  <si>
    <t>VGM01N01B7N</t>
  </si>
  <si>
    <t>23106.030343/2024-00 23106.093627/2025-80</t>
  </si>
  <si>
    <t>23/2025</t>
  </si>
  <si>
    <t>2025NC000341</t>
  </si>
  <si>
    <t>Phoenix Comércio e Serviços de Limpeza LTDA - Almoxarifado e de transporte interno de móveis e materiais</t>
  </si>
  <si>
    <t>VGM01N01F7N</t>
  </si>
  <si>
    <t xml:space="preserve">12978051000171
</t>
  </si>
  <si>
    <t>23106.001099/2022-06</t>
  </si>
  <si>
    <t>111/2022</t>
  </si>
  <si>
    <t>2025NC000342</t>
  </si>
  <si>
    <t xml:space="preserve">- RCA (Limpeza e Conservação) </t>
  </si>
  <si>
    <t xml:space="preserve">VGM01N01A7N
VGM01N01S7N </t>
  </si>
  <si>
    <t xml:space="preserve"> 69.207.850/0001-61</t>
  </si>
  <si>
    <t>23106.057738/2021-07</t>
  </si>
  <si>
    <t>02/2022</t>
  </si>
  <si>
    <t>2025NC000352</t>
  </si>
  <si>
    <t xml:space="preserve">Life Defense (Segurança) </t>
  </si>
  <si>
    <t>VGM01N01A8N</t>
  </si>
  <si>
    <t>02674687000176</t>
  </si>
  <si>
    <r>
      <rPr>
        <sz val="11"/>
        <color rgb="FF000000"/>
        <rFont val="Arial"/>
        <family val="2"/>
      </rPr>
      <t xml:space="preserve">23106.016977/2013-99
</t>
    </r>
    <r>
      <rPr>
        <sz val="11"/>
        <color rgb="FF00A933"/>
        <rFont val="Arial"/>
        <family val="2"/>
      </rPr>
      <t xml:space="preserve">23106.083943/2018-14
</t>
    </r>
    <r>
      <rPr>
        <sz val="11"/>
        <color rgb="FF000000"/>
        <rFont val="Arial"/>
        <family val="2"/>
      </rPr>
      <t>23106.047642/2024-75</t>
    </r>
  </si>
  <si>
    <t>011/2020</t>
  </si>
  <si>
    <t>2025NC000343</t>
  </si>
  <si>
    <t xml:space="preserve">G&amp;E SERVICOS TERCEIRIZADOS LTDA (PORTARIA) </t>
  </si>
  <si>
    <t>VGM01N01A9N</t>
  </si>
  <si>
    <t>08744139000151</t>
  </si>
  <si>
    <t>23106.085840/2022-75
23106.005560/2022-91
23106.046596/2024-97</t>
  </si>
  <si>
    <t>081/2022</t>
  </si>
  <si>
    <t>2025NC000344</t>
  </si>
  <si>
    <r>
      <rPr>
        <sz val="11"/>
        <color rgb="FF000000"/>
        <rFont val="Arial"/>
        <family val="2"/>
        <charset val="1"/>
      </rPr>
      <t>G&amp;E SERVICOS TERCEIRIZADOS LTDA - serviços continuados de</t>
    </r>
    <r>
      <rPr>
        <b/>
        <sz val="11"/>
        <color rgb="FF000000"/>
        <rFont val="Arial"/>
        <family val="2"/>
        <charset val="1"/>
      </rPr>
      <t xml:space="preserve"> motorista</t>
    </r>
  </si>
  <si>
    <t>VGM01N01P5N</t>
  </si>
  <si>
    <t>23106.038810/2022-70</t>
  </si>
  <si>
    <t>001/2023</t>
  </si>
  <si>
    <t>2025NC000356</t>
  </si>
  <si>
    <t xml:space="preserve">GRIFFO (recepcionista) </t>
  </si>
  <si>
    <t>VGM01N01B3N</t>
  </si>
  <si>
    <t>26426650000197</t>
  </si>
  <si>
    <t>23106.127519/2018-99; 23106.069857/2019-80 23106.070409/2023-13</t>
  </si>
  <si>
    <t>071/2024</t>
  </si>
  <si>
    <t>2025NC000357</t>
  </si>
  <si>
    <r>
      <rPr>
        <sz val="11"/>
        <color rgb="FF000000"/>
        <rFont val="Arial"/>
        <family val="2"/>
      </rPr>
      <t xml:space="preserve">MPE ENGENHARIA E SERVICOS S/A (serviços comuns de engenharia, incluindo manutenção, conservação, adaptação, reparação e instalação de infraestruturas prediais e imobiliárias) - </t>
    </r>
    <r>
      <rPr>
        <sz val="11"/>
        <color rgb="FFC9211E"/>
        <rFont val="Arial"/>
        <family val="2"/>
      </rPr>
      <t>(exceto DAC)</t>
    </r>
  </si>
  <si>
    <t>VGM01N01H3N</t>
  </si>
  <si>
    <t>04743858000105</t>
  </si>
  <si>
    <t>23106.149436/2022-37</t>
  </si>
  <si>
    <t>1201/2023</t>
  </si>
  <si>
    <t xml:space="preserve">MPE - Adequação e impermeabilização </t>
  </si>
  <si>
    <t>VGA02N43E3N</t>
  </si>
  <si>
    <t>23106.149228/2022-38</t>
  </si>
  <si>
    <t>1110/2024</t>
  </si>
  <si>
    <t>POLI ENGENHARIA LTDA (serviços comuns de engenharia, incluindo manutenção, conservação, adaptação, reparação e instalação de infraestruturas prediais e imobiliárias)</t>
  </si>
  <si>
    <t>VGM01N01H3N VGM01N01S5N</t>
  </si>
  <si>
    <t>00700518000138</t>
  </si>
  <si>
    <t>23106.117479/2022-53</t>
  </si>
  <si>
    <t>1226/2022</t>
  </si>
  <si>
    <t xml:space="preserve">Ágil (Serviços Agropecuários) </t>
  </si>
  <si>
    <t>VGM01N01C5N</t>
  </si>
  <si>
    <t>72620735000129</t>
  </si>
  <si>
    <t>23106.076196/2018-68
23106.030688/2022-93</t>
  </si>
  <si>
    <t>25/2020</t>
  </si>
  <si>
    <t>2025NC000358</t>
  </si>
  <si>
    <t>RB GRÁFICA DIGITAL LTDA</t>
  </si>
  <si>
    <t>VGM01N01Q1N</t>
  </si>
  <si>
    <t>16.951.665/0001-10</t>
  </si>
  <si>
    <t>23106.041918/2022-40</t>
  </si>
  <si>
    <t>104/2023</t>
  </si>
  <si>
    <t>ARTECOR GRÁFICO E EDITORA LTDA</t>
  </si>
  <si>
    <t>VGM01N01Q1N VGM01N01S1N</t>
  </si>
  <si>
    <t>38.013.991/0001-10</t>
  </si>
  <si>
    <t>105/2023</t>
  </si>
  <si>
    <t>Contrato de Limpeza -  UnB Cerrado (AP PISCINAS EIRELI)</t>
  </si>
  <si>
    <t>VGM01N01A7N
(VGM01N1F2N-PI indevido)</t>
  </si>
  <si>
    <t>08475822000130</t>
  </si>
  <si>
    <t>23106.116355/2019-55</t>
  </si>
  <si>
    <t>112/2020</t>
  </si>
  <si>
    <t>- Segurança - ULTRASEG Segurança Patrimonial Ltda</t>
  </si>
  <si>
    <t>VGM01N01A8N VGM01N01R8N</t>
  </si>
  <si>
    <t>09151154000159</t>
  </si>
  <si>
    <t>23106.020717/2022-17</t>
  </si>
  <si>
    <t>1207/2022</t>
  </si>
  <si>
    <r>
      <rPr>
        <sz val="11"/>
        <color rgb="FF000000"/>
        <rFont val="Arial"/>
        <family val="2"/>
        <charset val="1"/>
      </rPr>
      <t>Jardinagem - UnB Cerrado</t>
    </r>
    <r>
      <rPr>
        <sz val="11"/>
        <rFont val="Arial"/>
        <family val="2"/>
        <charset val="1"/>
      </rPr>
      <t xml:space="preserve"> - AMBIENTAL DO BRASIL ESTUDOS E PROJETOS AMBIENTAIS LTDA</t>
    </r>
  </si>
  <si>
    <t>VGM01N01A5N VGM01N01R6N</t>
  </si>
  <si>
    <t>09150575000165</t>
  </si>
  <si>
    <t>23106.092536/2018-06</t>
  </si>
  <si>
    <t>659/2020</t>
  </si>
  <si>
    <t>Recepcionista – AMR LIMPEZA E LOCACAO DE AUTOMOVEIS LTDA</t>
  </si>
  <si>
    <t>VGM01N01B3N VGM01N01R7N</t>
  </si>
  <si>
    <t>10.258.826/0001-09</t>
  </si>
  <si>
    <t>23106.100112/2023-81</t>
  </si>
  <si>
    <t>Contrato Encerrado / ver saldo de empenho</t>
  </si>
  <si>
    <t>12/2024</t>
  </si>
  <si>
    <t>'- GESTOR SERVICOS EMPRESARIAIS (Portaria - SPI)</t>
  </si>
  <si>
    <t>Contratos SPI</t>
  </si>
  <si>
    <t>VGM01N01E8N</t>
  </si>
  <si>
    <t>02.685.728/0001-20</t>
  </si>
  <si>
    <t>23106.047067/2021-68</t>
  </si>
  <si>
    <t>001/2022</t>
  </si>
  <si>
    <t>2025NC000368</t>
  </si>
  <si>
    <t>- SEFIX (Limpeza e Conservação - SPI)</t>
  </si>
  <si>
    <t>VGM01N01E9N</t>
  </si>
  <si>
    <t>13258899000199</t>
  </si>
  <si>
    <t>23106.047036/2021-15</t>
  </si>
  <si>
    <t>033/2022</t>
  </si>
  <si>
    <t>2025NC000369</t>
  </si>
  <si>
    <t>Engemega - (Manutenção de Imóveis gerenciados pela Secretaria de Patrimônio Imobiliário (SPI)) – contrato 1 (contrato antigo)</t>
  </si>
  <si>
    <t>VGM01N01D4N VGM01N01S4N</t>
  </si>
  <si>
    <t>33480104/0001-08</t>
  </si>
  <si>
    <t xml:space="preserve">23106.059077/2021-46 </t>
  </si>
  <si>
    <t>1223/2022</t>
  </si>
  <si>
    <t>Engemega - (Manutenção de Imóveis gerenciados pela Secretaria de Patrimônio Imobiliário (SPI)) – contrato 2 (novo contrato)</t>
  </si>
  <si>
    <t>23106.066341/2023-60</t>
  </si>
  <si>
    <t>1206/2024</t>
  </si>
  <si>
    <t>FORMIGA ENGENHARIA E ARQUITETURA LTDA, especializada na prestação de serviços continuados, sem dedicação exclusiva de mão de obra, para realização de vistorias de entrada e saída nos imóveis de propriedade da Universidade de Brasília</t>
  </si>
  <si>
    <t>VGM01N01D2N</t>
  </si>
  <si>
    <t>22.352.353/0001-93</t>
  </si>
  <si>
    <t>23106.013588/2024-64</t>
  </si>
  <si>
    <t>93/2024</t>
  </si>
  <si>
    <t>QUANTUM SOLUÇÕES E INOVAÇÕES LTDA - emissão de laudos técnicos de avaliação de valores imobiliários</t>
  </si>
  <si>
    <t>VGM01N01Q7N</t>
  </si>
  <si>
    <t>43.946.228/0001-81</t>
  </si>
  <si>
    <t>23106.019008/2024-42</t>
  </si>
  <si>
    <t>1221/2024</t>
  </si>
  <si>
    <t>SILVA EDIFICAÇÕES LTDA - emissão de laudos técnicos de avaliação de valores imobiliários</t>
  </si>
  <si>
    <t>VGM01N01Q7N VGM01N01S2N</t>
  </si>
  <si>
    <t>44.532.592/0001-68</t>
  </si>
  <si>
    <t>23106.103034/2024-58</t>
  </si>
  <si>
    <t>1220/2024</t>
  </si>
  <si>
    <t>HONIX (elevadores) (01 de um mês a 30 do mesmo mês)</t>
  </si>
  <si>
    <t>VGM01N01I7N</t>
  </si>
  <si>
    <t>21051130000123</t>
  </si>
  <si>
    <t>23106.053280/2018-11</t>
  </si>
  <si>
    <t>090/2019</t>
  </si>
  <si>
    <t xml:space="preserve">ONE ELEVADORES DF LTDA </t>
  </si>
  <si>
    <t>02.633.335/0001-72</t>
  </si>
  <si>
    <t>23106.077388/2024-30</t>
  </si>
  <si>
    <t>94/2024</t>
  </si>
  <si>
    <t>- ENERGIA ELÉTRICA - SPI</t>
  </si>
  <si>
    <t>VGM01N01I2N VGM01N01R2N</t>
  </si>
  <si>
    <t>07522669000192</t>
  </si>
  <si>
    <t>2025NC000370</t>
  </si>
  <si>
    <t xml:space="preserve">- CAESB - SPI </t>
  </si>
  <si>
    <t>VGM01N01I3N</t>
  </si>
  <si>
    <t>00082024000137</t>
  </si>
  <si>
    <t>2025NC000371</t>
  </si>
  <si>
    <t xml:space="preserve">- Despesas de Condomínio </t>
  </si>
  <si>
    <t>VGM01N01K6N</t>
  </si>
  <si>
    <t>23106.134844/2020-22</t>
  </si>
  <si>
    <t>2025NC000372</t>
  </si>
  <si>
    <t xml:space="preserve">Restaurante ISM EIRELI (diretoria RU) - Ação 20RK planilha DRU </t>
  </si>
  <si>
    <t>Contrato DAC/RU</t>
  </si>
  <si>
    <t>VGM01N01B5N</t>
  </si>
  <si>
    <t>04.228.626/0012-63</t>
  </si>
  <si>
    <t>23106.013653/2020-28</t>
  </si>
  <si>
    <t>31/2021</t>
  </si>
  <si>
    <t>2025NC000364</t>
  </si>
  <si>
    <t>- Serviço manutenção piscinas Casa Niemeyer</t>
  </si>
  <si>
    <t>Contratos Diversos</t>
  </si>
  <si>
    <t>VGM01N01N5N</t>
  </si>
  <si>
    <t>Auxílio Moradia - Processos judiciais residentes médicos</t>
  </si>
  <si>
    <t>VEP01S19A1N</t>
  </si>
  <si>
    <t xml:space="preserve"> 00424.086713/2023-76 00424.187663/2022-62 00424.084224/2023-80 00424.158540/2022-14 00424.092166/2023-68
00424.081691/2024-39
00424.126909/2024-91 00424.190315/2023-53 00424.124332/2024-83</t>
  </si>
  <si>
    <r>
      <rPr>
        <sz val="11"/>
        <color rgb="FF000000"/>
        <rFont val="Arial"/>
        <family val="2"/>
      </rPr>
      <t xml:space="preserve">PGFN: 1° ATI, negociação conta n°: 7300348 ( Consulta Acordo n°1 - Conta da Negociação 7300348 (SEI nº 10575553)
</t>
    </r>
    <r>
      <rPr>
        <b/>
        <sz val="11"/>
        <color rgb="FF000000"/>
        <rFont val="Arial"/>
        <family val="2"/>
      </rPr>
      <t xml:space="preserve">SEI origem: 23106.094258/2021-19
SEI pagamento em 2023: 23106.005996/2023-61
Despacho que contém explicação: 10567234 do SEI 23106.132563/2023-88
</t>
    </r>
    <r>
      <rPr>
        <sz val="11"/>
        <color rgb="FF000000"/>
        <rFont val="Arial"/>
        <family val="2"/>
      </rPr>
      <t>Acordo de Transação Individual (ATI), referente à dívida ativa tributária junto à PGFN -débitos previdenciários
Empenho atual: 2024NE000285</t>
    </r>
  </si>
  <si>
    <t>VGH01N0112N</t>
  </si>
  <si>
    <t>23106.094258/2021-19
23106.001775/2022-33 23106.005996/2023-61
23106.044758/2024-52
23106.132563/2023-88</t>
  </si>
  <si>
    <t>60 parcelas
(já pagou 20/60)</t>
  </si>
  <si>
    <r>
      <rPr>
        <sz val="11"/>
        <color rgb="FF000000"/>
        <rFont val="Arial"/>
        <family val="2"/>
        <charset val="1"/>
      </rPr>
      <t xml:space="preserve">PGFN: 2° ATI, negociação conta n°: 8815031 (Consulta Acordo n°2 - Conta da Negociação 8815031 (SEI nº 10576277))
</t>
    </r>
    <r>
      <rPr>
        <b/>
        <sz val="11"/>
        <color rgb="FF000000"/>
        <rFont val="Arial"/>
        <family val="2"/>
        <charset val="1"/>
      </rPr>
      <t xml:space="preserve">SEI origem: 23106.059565/2023-15
SEI pagamento 2023:23106.123083/2023-26 que foi realizado o pagamento da entrada e no  23106.128684/2023-25 constará os demais pagamentos.
Despacho que contém explicação: 10567234 do SEI 23106.132563/2023-88
</t>
    </r>
    <r>
      <rPr>
        <sz val="11"/>
        <color rgb="FF000000"/>
        <rFont val="Arial"/>
        <family val="2"/>
        <charset val="1"/>
      </rPr>
      <t>Guias de Recolhimento de FGTS e Informações à Previdência Social (GFIP) das competências de janeiro/2011, fevereiro/2011, abril/2011, junho/2011 e novembro/2011
Empenho atual: 2023NE003705; 2024NE000487</t>
    </r>
  </si>
  <si>
    <t>VGH01N0112N VGH01N0114N</t>
  </si>
  <si>
    <r>
      <rPr>
        <b/>
        <sz val="11"/>
        <color rgb="FF000000"/>
        <rFont val="Arial"/>
        <family val="2"/>
        <charset val="1"/>
      </rPr>
      <t xml:space="preserve">23106.059565/2023-15
</t>
    </r>
    <r>
      <rPr>
        <sz val="11"/>
        <color rgb="FF000000"/>
        <rFont val="Arial"/>
        <family val="2"/>
        <charset val="1"/>
      </rPr>
      <t>23106.128684/2023-25 
23106.044758/2024-52
23106.132563/2023-88</t>
    </r>
  </si>
  <si>
    <t>60 parcelas
(já pagou 10/60)</t>
  </si>
  <si>
    <r>
      <rPr>
        <sz val="11"/>
        <color rgb="FF000000"/>
        <rFont val="Arial"/>
        <family val="2"/>
        <charset val="1"/>
      </rPr>
      <t xml:space="preserve">RFB: Conta da Negociação 0211000120 (Consulta Parcelamento n°1 - Conta da Negociação 0211000120 (SEI nº 10580261))
</t>
    </r>
    <r>
      <rPr>
        <b/>
        <sz val="11"/>
        <color rgb="FF000000"/>
        <rFont val="Arial"/>
        <family val="2"/>
        <charset val="1"/>
      </rPr>
      <t xml:space="preserve">SEI origem: 23106.059634/2023-91
SEI pagamento em 2023: 23106.087581/2023-06
Despacho que contém explicação: 10567234 do SEI 23106.132563/2023-88
</t>
    </r>
    <r>
      <rPr>
        <sz val="11"/>
        <color rgb="FF000000"/>
        <rFont val="Arial"/>
        <family val="2"/>
        <charset val="1"/>
      </rPr>
      <t>Atraso das Guias de Recolhimento de FGTS e Informações à Previdência Social (GFIP) das competências de julho/2010, outubro/2010, novembro/2010, dezembro/2011 e 13°/2011
Empenho atual: 2023NE003850 e 2024NE000284</t>
    </r>
  </si>
  <si>
    <t>VGH01N0112N VGH01N0115N</t>
  </si>
  <si>
    <r>
      <rPr>
        <b/>
        <sz val="11"/>
        <color rgb="FF000000"/>
        <rFont val="Arial"/>
        <family val="2"/>
        <charset val="1"/>
      </rPr>
      <t xml:space="preserve">23106.059634/2023-91
</t>
    </r>
    <r>
      <rPr>
        <sz val="11"/>
        <color rgb="FF000000"/>
        <rFont val="Arial"/>
        <family val="2"/>
        <charset val="1"/>
      </rPr>
      <t>23106.087581/2023-06
23106.044758/2024-52
23106.132563/2023-88</t>
    </r>
  </si>
  <si>
    <t>60 parcelas
(já pagou 13/60)</t>
  </si>
  <si>
    <r>
      <rPr>
        <sz val="11"/>
        <color rgb="FF000000"/>
        <rFont val="Arial"/>
        <family val="2"/>
        <charset val="1"/>
      </rPr>
      <t>- Ajuda de custo (Redistribuição de servidores)</t>
    </r>
    <r>
      <rPr>
        <sz val="11"/>
        <color rgb="FFFF0000"/>
        <rFont val="Arial"/>
        <family val="2"/>
        <charset val="1"/>
      </rPr>
      <t xml:space="preserve"> </t>
    </r>
  </si>
  <si>
    <t>VGH01N0111N</t>
  </si>
  <si>
    <t>Cespe (despesas diversas)</t>
  </si>
  <si>
    <t>CESPE</t>
  </si>
  <si>
    <t>VGR02N01A1N</t>
  </si>
  <si>
    <t>23106.019902/2017-93</t>
  </si>
  <si>
    <r>
      <rPr>
        <sz val="11"/>
        <color rgb="FF000000"/>
        <rFont val="Arial"/>
        <family val="2"/>
        <charset val="1"/>
      </rPr>
      <t>Contrato de serviços especializados com vistas à realização de estudos técnicos, de planejamentos, projetos básicos ou executivos, assessoria técnica e apoio técnico nas áreas de Tecnologia da Informação (TI) e Logística,</t>
    </r>
    <r>
      <rPr>
        <b/>
        <sz val="11"/>
        <color rgb="FF000000"/>
        <rFont val="Arial"/>
        <family val="2"/>
        <charset val="1"/>
      </rPr>
      <t xml:space="preserve"> entre a UnB e o CEBRASPE</t>
    </r>
  </si>
  <si>
    <t>DEG</t>
  </si>
  <si>
    <t>VGR02N01A2N</t>
  </si>
  <si>
    <t>23106.040707/2022-90
(60 parcelas)</t>
  </si>
  <si>
    <t>1205/2022</t>
  </si>
  <si>
    <t xml:space="preserve">CEBRASPE (Processos seletivos UnB) </t>
  </si>
  <si>
    <t>VGM01N01J5N</t>
  </si>
  <si>
    <t>23106.098851/2020-53
23106.018871/2022-11
23106.093468/2021-90 23106.065413/2023-51 23106.065557/2023-16 
23106.035963/2024-27</t>
  </si>
  <si>
    <t>diversos</t>
  </si>
  <si>
    <t>CEBRASPE (Sisu/MEC)</t>
  </si>
  <si>
    <t>VGR02N01A3N</t>
  </si>
  <si>
    <t>18.284.407/0001-53</t>
  </si>
  <si>
    <t>23106.108529/2025-54</t>
  </si>
  <si>
    <t>1201/2026</t>
  </si>
  <si>
    <t>CONCEIÇÃO Aparecida Braga 67186920691 ME (análise e levantamento de conjuntos documentais do arquivo do Cespe/UnB)</t>
  </si>
  <si>
    <t>VGM01N01P1N</t>
  </si>
  <si>
    <t>41423145000182</t>
  </si>
  <si>
    <t xml:space="preserve">23106.059346/2020-93 </t>
  </si>
  <si>
    <t xml:space="preserve">1230/2022 </t>
  </si>
  <si>
    <r>
      <rPr>
        <sz val="11"/>
        <color rgb="FF000000"/>
        <rFont val="Arial"/>
        <family val="2"/>
        <charset val="1"/>
      </rPr>
      <t>- Prisma SYS/ DCF (Licença de Uso e suporte técnico Consiafi)</t>
    </r>
    <r>
      <rPr>
        <sz val="11"/>
        <color rgb="FFFF0000"/>
        <rFont val="Arial"/>
        <family val="2"/>
        <charset val="1"/>
      </rPr>
      <t xml:space="preserve"> - parcela única</t>
    </r>
  </si>
  <si>
    <t>VGM01N01L7N</t>
  </si>
  <si>
    <t>38068664000165</t>
  </si>
  <si>
    <t>23106.009.366/2016-37
23106.050235/2020-11</t>
  </si>
  <si>
    <t>Não Pode ser renovado 11559576</t>
  </si>
  <si>
    <t>504/2020</t>
  </si>
  <si>
    <t>PLUS TERCEIRIZACAO LTDA (serviços continuados de tratador de piscina)</t>
  </si>
  <si>
    <t>VGM01N01E2N</t>
  </si>
  <si>
    <t>23106.062907/2024-65</t>
  </si>
  <si>
    <t>25/2025</t>
  </si>
  <si>
    <t>- STI UFRN/ GRE (5 parcelas)</t>
  </si>
  <si>
    <t>23106.073966/2017-30
23106.091209/2020-43</t>
  </si>
  <si>
    <t>TED nº 8444.12.0820/2021</t>
  </si>
  <si>
    <t>- Correios - ECT -reduziu porque não temos mais contrato de encomendas</t>
  </si>
  <si>
    <t>Comunicação</t>
  </si>
  <si>
    <t>VGM01N01J1N</t>
  </si>
  <si>
    <t>34028316000707</t>
  </si>
  <si>
    <t>23106.137850/2017-36; 23106.070712/2018-41
23106.015565/2023-11</t>
  </si>
  <si>
    <t>1207/2023</t>
  </si>
  <si>
    <t>- Empresa Brasil de Comunicação (EBC)</t>
  </si>
  <si>
    <t>VGM01N01I9N</t>
  </si>
  <si>
    <t>23106.048294/2020-20</t>
  </si>
  <si>
    <t>não será renovado</t>
  </si>
  <si>
    <t>213/2020</t>
  </si>
  <si>
    <t>2025NC000365</t>
  </si>
  <si>
    <t>- Andromeda (serviços de becário e brigadista nas cerimônias de colação de grau)</t>
  </si>
  <si>
    <t>Cerimonial</t>
  </si>
  <si>
    <t>VGM01N01B9N</t>
  </si>
  <si>
    <t>20882119000142</t>
  </si>
  <si>
    <t>23106.072605/2019-38</t>
  </si>
  <si>
    <t>Não Pode ser renovado 10809034 Verificar saldo de Empenho</t>
  </si>
  <si>
    <t>135/2019</t>
  </si>
  <si>
    <t>Casablanca (Serviço de Mobiliário (Cadeiras) - manifestação de interesse de prorrogação ( Ofício 24-2024 (10948905)</t>
  </si>
  <si>
    <t>03370903000152</t>
  </si>
  <si>
    <t>23106.138096/2020-57
23106.042068/2025-40 
23106.105637/2024-94
(novo contrato)</t>
  </si>
  <si>
    <t>083/2024</t>
  </si>
  <si>
    <t>Lavanderia Cristal Serviços Expressos Ltda (higienização e passadoria de becas)</t>
  </si>
  <si>
    <t xml:space="preserve"> VGM01N01S3N</t>
  </si>
  <si>
    <t>01319181000186</t>
  </si>
  <si>
    <t>23106.001918/2023-98</t>
  </si>
  <si>
    <t>Dispensa. Nº 10002/2023</t>
  </si>
  <si>
    <t>- SIMPRESS - Outsourcing de serviços de impressão</t>
  </si>
  <si>
    <t>Contratos custeados pelas Unidades (STI)</t>
  </si>
  <si>
    <t>VGM01N01M8N</t>
  </si>
  <si>
    <t>07432517000107</t>
  </si>
  <si>
    <t>23106.000978/2016-64
23106.010988/2019-51</t>
  </si>
  <si>
    <t>512/2021</t>
  </si>
  <si>
    <t>Total da despesa</t>
  </si>
  <si>
    <t>NC detalhada</t>
  </si>
  <si>
    <t>1543032000104</t>
  </si>
  <si>
    <t>Valor  Empenhar</t>
  </si>
  <si>
    <t>(STI)</t>
  </si>
  <si>
    <t>Data de Atualização: 06/01/2026</t>
  </si>
  <si>
    <t>VGM01N01N1N VGM01N01R3N</t>
  </si>
  <si>
    <t>;</t>
  </si>
  <si>
    <t>VGM01N01A7N</t>
  </si>
  <si>
    <t xml:space="preserve">VGM01N01A7N
</t>
  </si>
  <si>
    <t>VGM01N01D4N</t>
  </si>
  <si>
    <t>Prioridade</t>
  </si>
  <si>
    <t>PI 2024</t>
  </si>
  <si>
    <t>Saldo Empenhos 2024</t>
  </si>
  <si>
    <t>Saldo
de Empenhos RAP</t>
  </si>
  <si>
    <t>Auxílio financeiro a estudantes - DEX</t>
  </si>
  <si>
    <t>VXX01N21C3N</t>
  </si>
  <si>
    <t>VGY01N0106N</t>
  </si>
  <si>
    <t>Auxílio financeiro a estudantes - DEG</t>
  </si>
  <si>
    <t>MEG01G55B8N</t>
  </si>
  <si>
    <t>Auxílio financeiro a estudantes - DPI</t>
  </si>
  <si>
    <t>MEG01G55B9N</t>
  </si>
  <si>
    <t>Auxílio financeiro a estudantes - DPG</t>
  </si>
  <si>
    <t>OEP01O55A4N</t>
  </si>
  <si>
    <t>AUXILIO SOCIOECONOMICO - DAC</t>
  </si>
  <si>
    <t>MGU01N23A1N</t>
  </si>
  <si>
    <t>BOLSA INCLUSAO DIGITAL - DAC</t>
  </si>
  <si>
    <t>MGU01N23B4N</t>
  </si>
  <si>
    <t>- Bolsas PIBIC (DPG) - faz parte do PROIC</t>
  </si>
  <si>
    <t>NEG01G19A5N
NEG03G19A5N</t>
  </si>
  <si>
    <t>- Bolsas PROIC (DPG)</t>
  </si>
  <si>
    <t>NQQ01G20A1N</t>
  </si>
  <si>
    <t>- Bolsa estudante de graduação CEAD</t>
  </si>
  <si>
    <t>MEG01G19B5N</t>
  </si>
  <si>
    <t>- Bolsa estudante de pós-graduação CEAD</t>
  </si>
  <si>
    <t>- Auxílio financeiro a professor CEAD</t>
  </si>
  <si>
    <t>Bolsas de Extensão (DEX)</t>
  </si>
  <si>
    <t>VGM01N01M3N</t>
  </si>
  <si>
    <t>- Bolsas concedidas pela CAPES</t>
  </si>
  <si>
    <t>OGP01O19A1N</t>
  </si>
  <si>
    <t>- Auxílio Financeiro a Pesquisador (DPI)</t>
  </si>
  <si>
    <t>NQQ01N55C5N</t>
  </si>
  <si>
    <t>Auxílio Financeiro a Pesquisador (DEG)</t>
  </si>
  <si>
    <t>NQQ01N55C5N
VGY01N0106N</t>
  </si>
  <si>
    <t>- Auxílio Financeiro a Pesquisador (DEX)</t>
  </si>
  <si>
    <r>
      <rPr>
        <sz val="11"/>
        <color rgb="FF000000"/>
        <rFont val="Arial"/>
        <family val="2"/>
        <charset val="1"/>
      </rPr>
      <t xml:space="preserve">VXX01N21C2N
</t>
    </r>
    <r>
      <rPr>
        <sz val="11"/>
        <color rgb="FFFF0000"/>
        <rFont val="Arial"/>
        <family val="2"/>
        <charset val="1"/>
      </rPr>
      <t>VGY01N0106N</t>
    </r>
  </si>
  <si>
    <t>- Auxílio Financeiro a Pesquisador (DPG)</t>
  </si>
  <si>
    <t>Campi Darcy Ribeiro, FAL,
FCE, FGA E FUP</t>
  </si>
  <si>
    <t>Executado  2023</t>
  </si>
  <si>
    <t>Previsão  2024
Ajustada em 20/09/2024</t>
  </si>
  <si>
    <t>Previsão  2025
Ajustada em 20/09/2024</t>
  </si>
  <si>
    <t>MESES</t>
  </si>
  <si>
    <t>VALOR UTILIZADO</t>
  </si>
  <si>
    <t>PNAES</t>
  </si>
  <si>
    <t>RECURSOS PRÓPRIOS</t>
  </si>
  <si>
    <t>Jan</t>
  </si>
  <si>
    <t>FEV</t>
  </si>
  <si>
    <t>MAR</t>
  </si>
  <si>
    <t>ABR</t>
  </si>
  <si>
    <t>MAI</t>
  </si>
  <si>
    <t>JUN</t>
  </si>
  <si>
    <t>JUL</t>
  </si>
  <si>
    <t>AGOS</t>
  </si>
  <si>
    <t>SET</t>
  </si>
  <si>
    <t>OUT</t>
  </si>
  <si>
    <t>NOV</t>
  </si>
  <si>
    <t>DEZ</t>
  </si>
  <si>
    <t>TOTAL</t>
  </si>
  <si>
    <t>Ressarcimento ao DAC –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</si>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</sst>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R$ &quot;* #,##0.00_-;&quot;-R$ &quot;* #,##0.00_-;_-&quot;R$ &quot;* \-??_-;_-@_-"/>
    <numFmt numFmtId="165" formatCode="_(&quot;R$&quot;* #,##0.00_);_(&quot;R$&quot;* \(#,##0.00\);_(&quot;R$&quot;* \-??_);_(@_)"/>
    <numFmt numFmtId="166" formatCode="_(* #,##0.00_);_(* \(#,##0.00\);_(* \-??_);_(@_)"/>
    <numFmt numFmtId="167" formatCode="_(* #,##0_);_(* \(#,##0\);_(* \-_);_(@_)"/>
    <numFmt numFmtId="168" formatCode="_(* #,##0_);_(* \(#,##0\);_(* \-??_);_(@_)"/>
    <numFmt numFmtId="169" formatCode="_-* #,##0_-;\-* #,##0_-;_-* \-??_-;_-@_-"/>
    <numFmt numFmtId="170" formatCode="[$-416]mmm\-yy;@"/>
    <numFmt numFmtId="171" formatCode="d/m/yyyy"/>
    <numFmt numFmtId="172" formatCode="#,##0.00_);\(#,##0.00\)"/>
    <numFmt numFmtId="173" formatCode="&quot;R$ &quot;#,##0.00;[Red]&quot;-R$ &quot;#,##0.00"/>
    <numFmt numFmtId="174" formatCode="_-* #,##0.00_-;\-* #,##0.00_-;_-* \-??_-;_-@_-"/>
  </numFmts>
  <fonts count="29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:ss01=0&amp;ss02=0&amp;ss03=0"/>
      <family val="2"/>
      <charset val="1"/>
    </font>
    <font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rgb="FFFF0000"/>
      <name val="Arial"/>
      <family val="2"/>
      <charset val="1"/>
    </font>
    <font>
      <sz val="11"/>
      <color rgb="FF000000"/>
      <name val="Arial"/>
      <family val="2"/>
    </font>
    <font>
      <sz val="11"/>
      <color rgb="FF00A933"/>
      <name val="Arial"/>
      <family val="2"/>
    </font>
    <font>
      <sz val="11"/>
      <color rgb="FFC9211E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00A933"/>
        <bgColor rgb="FF00B050"/>
      </patternFill>
    </fill>
    <fill>
      <patternFill patternType="solid">
        <fgColor rgb="FFFFFF00"/>
        <bgColor rgb="FFFFC000"/>
      </patternFill>
    </fill>
    <fill>
      <patternFill patternType="solid">
        <fgColor rgb="FF315F92"/>
        <bgColor rgb="FF505050"/>
      </patternFill>
    </fill>
    <fill>
      <patternFill patternType="solid">
        <fgColor rgb="FFC9211E"/>
        <bgColor rgb="FFCC0000"/>
      </patternFill>
    </fill>
    <fill>
      <patternFill patternType="solid">
        <fgColor rgb="FF505050"/>
        <bgColor rgb="FF315F92"/>
      </patternFill>
    </fill>
    <fill>
      <patternFill patternType="solid">
        <fgColor rgb="FFFFFFFF"/>
        <bgColor rgb="FFF2F2F2"/>
      </patternFill>
    </fill>
    <fill>
      <patternFill patternType="solid">
        <fgColor rgb="FFC7C3AD"/>
        <bgColor rgb="FFBFBFBF"/>
      </patternFill>
    </fill>
    <fill>
      <patternFill patternType="solid">
        <fgColor rgb="FF93CDDD"/>
        <bgColor rgb="FFBFBFBF"/>
      </patternFill>
    </fill>
    <fill>
      <patternFill patternType="solid">
        <fgColor rgb="FFFF4000"/>
        <bgColor rgb="FFED4C05"/>
      </patternFill>
    </fill>
    <fill>
      <patternFill patternType="solid">
        <fgColor rgb="FF91D04B"/>
        <bgColor rgb="FF9BBB59"/>
      </patternFill>
    </fill>
    <fill>
      <patternFill patternType="solid">
        <fgColor rgb="FFF2F2F2"/>
        <bgColor rgb="FFFFFFFF"/>
      </patternFill>
    </fill>
    <fill>
      <patternFill patternType="solid">
        <fgColor rgb="FF00B050"/>
        <bgColor rgb="FF00A933"/>
      </patternFill>
    </fill>
    <fill>
      <patternFill patternType="solid">
        <fgColor rgb="FFFFFFA6"/>
        <bgColor rgb="FFF2F2F2"/>
      </patternFill>
    </fill>
    <fill>
      <patternFill patternType="solid">
        <fgColor rgb="FFFFC000"/>
        <bgColor rgb="FFEDB506"/>
      </patternFill>
    </fill>
    <fill>
      <patternFill patternType="solid">
        <fgColor rgb="FF558ED5"/>
        <bgColor rgb="FF3366FF"/>
      </patternFill>
    </fill>
    <fill>
      <patternFill patternType="solid">
        <fgColor rgb="FFEDB506"/>
        <bgColor rgb="FFE9B913"/>
      </patternFill>
    </fill>
    <fill>
      <patternFill patternType="solid">
        <fgColor rgb="FF9BBB59"/>
        <bgColor rgb="FF91D04B"/>
      </patternFill>
    </fill>
    <fill>
      <patternFill patternType="solid">
        <fgColor rgb="FFF79646"/>
        <bgColor rgb="FFF09E6F"/>
      </patternFill>
    </fill>
    <fill>
      <patternFill patternType="solid">
        <fgColor rgb="FFF9CFB5"/>
        <bgColor rgb="FFDDD9C3"/>
      </patternFill>
    </fill>
    <fill>
      <patternFill patternType="solid">
        <fgColor rgb="FFDDD9C3"/>
        <bgColor rgb="FFF9CFB5"/>
      </patternFill>
    </fill>
    <fill>
      <patternFill patternType="solid">
        <fgColor rgb="FFE8A202"/>
        <bgColor rgb="FFEDB506"/>
      </patternFill>
    </fill>
    <fill>
      <patternFill patternType="solid">
        <fgColor rgb="FFF09E6F"/>
        <bgColor rgb="FFF79646"/>
      </patternFill>
    </fill>
    <fill>
      <patternFill patternType="solid">
        <fgColor rgb="FFED4C05"/>
        <bgColor rgb="FFFF4000"/>
      </patternFill>
    </fill>
    <fill>
      <patternFill patternType="solid">
        <fgColor rgb="FFE9B913"/>
        <bgColor rgb="FFEDB506"/>
      </patternFill>
    </fill>
    <fill>
      <patternFill patternType="solid">
        <fgColor rgb="FFC254D2"/>
        <bgColor rgb="FFDC85E9"/>
      </patternFill>
    </fill>
    <fill>
      <patternFill patternType="solid">
        <fgColor rgb="FFDC85E9"/>
        <bgColor rgb="FFD99694"/>
      </patternFill>
    </fill>
    <fill>
      <patternFill patternType="solid">
        <fgColor rgb="FFBFBFBF"/>
        <bgColor rgb="FFC7C3AD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6F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166" fontId="27" fillId="0" borderId="0" applyBorder="0" applyProtection="0"/>
    <xf numFmtId="0" fontId="14" fillId="0" borderId="0" applyBorder="0" applyProtection="0"/>
    <xf numFmtId="164" fontId="27" fillId="0" borderId="0" applyBorder="0" applyProtection="0"/>
    <xf numFmtId="164" fontId="27" fillId="0" borderId="0" applyBorder="0" applyProtection="0"/>
    <xf numFmtId="164" fontId="1" fillId="0" borderId="0" applyBorder="0" applyProtection="0"/>
    <xf numFmtId="164" fontId="27" fillId="0" borderId="0" applyBorder="0" applyProtection="0"/>
    <xf numFmtId="164" fontId="27" fillId="0" borderId="0" applyBorder="0" applyProtection="0"/>
    <xf numFmtId="164" fontId="27" fillId="0" borderId="0" applyBorder="0" applyProtection="0"/>
    <xf numFmtId="165" fontId="27" fillId="0" borderId="0" applyBorder="0" applyProtection="0"/>
    <xf numFmtId="164" fontId="27" fillId="0" borderId="0" applyBorder="0" applyProtection="0"/>
    <xf numFmtId="0" fontId="1" fillId="0" borderId="0"/>
    <xf numFmtId="0" fontId="1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1" fillId="0" borderId="0"/>
    <xf numFmtId="0" fontId="27" fillId="0" borderId="0"/>
    <xf numFmtId="0" fontId="1" fillId="0" borderId="0"/>
    <xf numFmtId="0" fontId="1" fillId="0" borderId="0"/>
    <xf numFmtId="9" fontId="27" fillId="0" borderId="0" applyBorder="0" applyProtection="0"/>
    <xf numFmtId="0" fontId="4" fillId="2" borderId="0" applyProtection="0"/>
    <xf numFmtId="0" fontId="5" fillId="3" borderId="0" applyBorder="0" applyProtection="0"/>
    <xf numFmtId="0" fontId="5" fillId="2" borderId="0" applyBorder="0" applyProtection="0"/>
    <xf numFmtId="0" fontId="27" fillId="4" borderId="0" applyBorder="0" applyProtection="0"/>
    <xf numFmtId="0" fontId="5" fillId="4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6" fontId="27" fillId="0" borderId="0" applyBorder="0" applyProtection="0"/>
    <xf numFmtId="167" fontId="27" fillId="0" borderId="0" applyBorder="0" applyProtection="0"/>
    <xf numFmtId="166" fontId="27" fillId="0" borderId="0" applyBorder="0" applyProtection="0"/>
  </cellStyleXfs>
  <cellXfs count="209">
    <xf numFmtId="0" fontId="0" fillId="0" borderId="0" xfId="0"/>
    <xf numFmtId="0" fontId="9" fillId="29" borderId="2" xfId="0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right" vertical="center" wrapText="1"/>
    </xf>
    <xf numFmtId="3" fontId="5" fillId="9" borderId="2" xfId="1" applyNumberFormat="1" applyFont="1" applyFill="1" applyBorder="1" applyAlignment="1" applyProtection="1">
      <alignment horizontal="right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8" fontId="5" fillId="0" borderId="0" xfId="1" applyNumberFormat="1" applyFont="1" applyBorder="1" applyAlignment="1" applyProtection="1">
      <alignment horizontal="right"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/>
    <xf numFmtId="4" fontId="0" fillId="0" borderId="0" xfId="0" applyNumberFormat="1" applyAlignment="1">
      <alignment vertical="center"/>
    </xf>
    <xf numFmtId="4" fontId="0" fillId="0" borderId="0" xfId="0" applyNumberFormat="1"/>
    <xf numFmtId="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6" fontId="27" fillId="0" borderId="0" xfId="1" applyBorder="1" applyProtection="1"/>
    <xf numFmtId="16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168" fontId="5" fillId="0" borderId="0" xfId="0" applyNumberFormat="1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68" fontId="8" fillId="5" borderId="2" xfId="1" applyNumberFormat="1" applyFont="1" applyFill="1" applyBorder="1" applyAlignment="1" applyProtection="1">
      <alignment horizontal="center" vertical="center" wrapText="1"/>
    </xf>
    <xf numFmtId="170" fontId="8" fillId="5" borderId="2" xfId="0" applyNumberFormat="1" applyFont="1" applyFill="1" applyBorder="1" applyAlignment="1">
      <alignment horizontal="center" vertical="center" wrapText="1"/>
    </xf>
    <xf numFmtId="170" fontId="8" fillId="7" borderId="2" xfId="0" applyNumberFormat="1" applyFont="1" applyFill="1" applyBorder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right" vertical="center" wrapText="1"/>
    </xf>
    <xf numFmtId="169" fontId="5" fillId="0" borderId="2" xfId="1" applyNumberFormat="1" applyFont="1" applyBorder="1" applyAlignment="1" applyProtection="1">
      <alignment vertical="center" wrapText="1" shrinkToFit="1"/>
    </xf>
    <xf numFmtId="166" fontId="5" fillId="0" borderId="2" xfId="1" applyFont="1" applyBorder="1" applyAlignment="1" applyProtection="1">
      <alignment horizontal="center" vertical="center" wrapText="1"/>
    </xf>
    <xf numFmtId="166" fontId="10" fillId="8" borderId="2" xfId="1" applyFont="1" applyFill="1" applyBorder="1" applyAlignment="1" applyProtection="1">
      <alignment horizontal="center" vertical="center" wrapText="1"/>
    </xf>
    <xf numFmtId="166" fontId="27" fillId="0" borderId="2" xfId="1" applyBorder="1" applyProtection="1"/>
    <xf numFmtId="3" fontId="5" fillId="8" borderId="2" xfId="1" applyNumberFormat="1" applyFont="1" applyFill="1" applyBorder="1" applyAlignment="1" applyProtection="1">
      <alignment horizontal="right" vertical="center" wrapText="1"/>
    </xf>
    <xf numFmtId="3" fontId="5" fillId="8" borderId="2" xfId="0" applyNumberFormat="1" applyFont="1" applyFill="1" applyBorder="1" applyAlignment="1">
      <alignment horizontal="right" vertical="center"/>
    </xf>
    <xf numFmtId="4" fontId="5" fillId="10" borderId="2" xfId="1" applyNumberFormat="1" applyFont="1" applyFill="1" applyBorder="1" applyAlignment="1" applyProtection="1">
      <alignment horizontal="right" vertical="center" wrapText="1"/>
    </xf>
    <xf numFmtId="3" fontId="5" fillId="0" borderId="2" xfId="0" applyNumberFormat="1" applyFont="1" applyBorder="1" applyAlignment="1">
      <alignment vertical="center"/>
    </xf>
    <xf numFmtId="4" fontId="11" fillId="0" borderId="0" xfId="1" applyNumberFormat="1" applyFont="1" applyBorder="1" applyAlignment="1" applyProtection="1">
      <alignment horizontal="right" vertical="center" wrapText="1"/>
    </xf>
    <xf numFmtId="4" fontId="12" fillId="0" borderId="0" xfId="0" applyNumberFormat="1" applyFont="1" applyAlignment="1">
      <alignment vertical="center"/>
    </xf>
    <xf numFmtId="166" fontId="5" fillId="8" borderId="2" xfId="1" applyFont="1" applyFill="1" applyBorder="1" applyAlignment="1" applyProtection="1">
      <alignment horizontal="center" vertical="center" wrapText="1"/>
    </xf>
    <xf numFmtId="3" fontId="5" fillId="0" borderId="2" xfId="0" applyNumberFormat="1" applyFont="1" applyBorder="1" applyAlignment="1">
      <alignment horizontal="right" vertical="center"/>
    </xf>
    <xf numFmtId="171" fontId="5" fillId="8" borderId="2" xfId="1" applyNumberFormat="1" applyFont="1" applyFill="1" applyBorder="1" applyAlignment="1" applyProtection="1">
      <alignment horizontal="center" vertical="center" wrapText="1"/>
    </xf>
    <xf numFmtId="169" fontId="5" fillId="0" borderId="2" xfId="1" applyNumberFormat="1" applyFont="1" applyBorder="1" applyAlignment="1" applyProtection="1">
      <alignment horizontal="left" vertical="center" wrapText="1" shrinkToFit="1"/>
    </xf>
    <xf numFmtId="169" fontId="5" fillId="8" borderId="2" xfId="1" applyNumberFormat="1" applyFont="1" applyFill="1" applyBorder="1" applyAlignment="1" applyProtection="1">
      <alignment vertical="center" wrapText="1" shrinkToFit="1"/>
    </xf>
    <xf numFmtId="0" fontId="5" fillId="8" borderId="2" xfId="1" applyNumberFormat="1" applyFont="1" applyFill="1" applyBorder="1" applyAlignment="1" applyProtection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 shrinkToFit="1"/>
    </xf>
    <xf numFmtId="171" fontId="5" fillId="0" borderId="2" xfId="1" applyNumberFormat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center" vertical="center"/>
    </xf>
    <xf numFmtId="49" fontId="5" fillId="8" borderId="2" xfId="1" applyNumberFormat="1" applyFont="1" applyFill="1" applyBorder="1" applyAlignment="1" applyProtection="1">
      <alignment horizontal="center" vertical="center" wrapText="1"/>
    </xf>
    <xf numFmtId="3" fontId="5" fillId="2" borderId="2" xfId="1" applyNumberFormat="1" applyFont="1" applyFill="1" applyBorder="1" applyAlignment="1" applyProtection="1">
      <alignment horizontal="right" vertical="center" wrapText="1"/>
    </xf>
    <xf numFmtId="0" fontId="5" fillId="4" borderId="2" xfId="0" applyFont="1" applyFill="1" applyBorder="1" applyAlignment="1">
      <alignment horizontal="left" vertical="center" wrapText="1" shrinkToFit="1"/>
    </xf>
    <xf numFmtId="0" fontId="5" fillId="8" borderId="2" xfId="0" applyFont="1" applyFill="1" applyBorder="1" applyAlignment="1">
      <alignment horizontal="center" vertical="center" wrapText="1"/>
    </xf>
    <xf numFmtId="171" fontId="5" fillId="0" borderId="2" xfId="0" applyNumberFormat="1" applyFont="1" applyBorder="1" applyAlignment="1">
      <alignment horizontal="center" vertical="center" wrapText="1"/>
    </xf>
    <xf numFmtId="0" fontId="5" fillId="8" borderId="2" xfId="2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left" vertical="center" wrapText="1" shrinkToFit="1"/>
    </xf>
    <xf numFmtId="166" fontId="5" fillId="0" borderId="2" xfId="1" applyFont="1" applyBorder="1" applyAlignment="1" applyProtection="1">
      <alignment horizontal="center" vertical="center" wrapText="1" shrinkToFit="1"/>
    </xf>
    <xf numFmtId="0" fontId="12" fillId="0" borderId="2" xfId="0" applyFont="1" applyBorder="1" applyAlignment="1">
      <alignment horizontal="center" vertical="center" wrapText="1"/>
    </xf>
    <xf numFmtId="3" fontId="5" fillId="0" borderId="2" xfId="1" applyNumberFormat="1" applyFont="1" applyBorder="1" applyAlignment="1" applyProtection="1">
      <alignment horizontal="center" vertical="center" wrapText="1"/>
    </xf>
    <xf numFmtId="166" fontId="5" fillId="8" borderId="2" xfId="1" applyFont="1" applyFill="1" applyBorder="1" applyAlignment="1" applyProtection="1">
      <alignment horizontal="center" vertical="center" wrapText="1" shrinkToFit="1"/>
    </xf>
    <xf numFmtId="0" fontId="5" fillId="8" borderId="2" xfId="1" applyNumberFormat="1" applyFont="1" applyFill="1" applyBorder="1" applyAlignment="1" applyProtection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right" vertical="center" wrapText="1"/>
    </xf>
    <xf numFmtId="0" fontId="5" fillId="0" borderId="2" xfId="2" applyFont="1" applyBorder="1" applyAlignment="1" applyProtection="1">
      <alignment horizontal="center" vertical="center" wrapText="1"/>
    </xf>
    <xf numFmtId="3" fontId="5" fillId="4" borderId="2" xfId="1" applyNumberFormat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>
      <alignment vertical="center" wrapText="1" shrinkToFit="1"/>
    </xf>
    <xf numFmtId="0" fontId="5" fillId="4" borderId="2" xfId="0" applyFont="1" applyFill="1" applyBorder="1" applyAlignment="1">
      <alignment vertical="center" wrapText="1" shrinkToFit="1"/>
    </xf>
    <xf numFmtId="3" fontId="5" fillId="11" borderId="2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/>
    </xf>
    <xf numFmtId="0" fontId="12" fillId="0" borderId="2" xfId="0" applyFont="1" applyBorder="1" applyAlignment="1">
      <alignment vertical="center" wrapText="1" shrinkToFit="1"/>
    </xf>
    <xf numFmtId="3" fontId="5" fillId="4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vertical="center" wrapText="1" shrinkToFit="1"/>
    </xf>
    <xf numFmtId="166" fontId="15" fillId="4" borderId="2" xfId="1" applyFont="1" applyFill="1" applyBorder="1" applyAlignment="1" applyProtection="1">
      <alignment horizontal="center" vertical="center" wrapText="1"/>
    </xf>
    <xf numFmtId="166" fontId="12" fillId="8" borderId="2" xfId="1" applyFont="1" applyFill="1" applyBorder="1" applyAlignment="1" applyProtection="1">
      <alignment horizontal="center" vertical="center" wrapText="1" shrinkToFit="1"/>
    </xf>
    <xf numFmtId="0" fontId="12" fillId="4" borderId="2" xfId="0" applyFont="1" applyFill="1" applyBorder="1" applyAlignment="1">
      <alignment vertical="center" wrapText="1" shrinkToFit="1"/>
    </xf>
    <xf numFmtId="13" fontId="5" fillId="0" borderId="2" xfId="1" applyNumberFormat="1" applyFont="1" applyBorder="1" applyAlignment="1" applyProtection="1">
      <alignment horizontal="center" vertical="center" wrapText="1"/>
    </xf>
    <xf numFmtId="171" fontId="5" fillId="8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66" fontId="15" fillId="8" borderId="2" xfId="1" applyFont="1" applyFill="1" applyBorder="1" applyAlignment="1" applyProtection="1">
      <alignment horizontal="center" vertical="center" wrapText="1"/>
    </xf>
    <xf numFmtId="171" fontId="12" fillId="0" borderId="2" xfId="0" applyNumberFormat="1" applyFont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right" vertical="center" wrapText="1"/>
    </xf>
    <xf numFmtId="166" fontId="12" fillId="8" borderId="2" xfId="1" applyFont="1" applyFill="1" applyBorder="1" applyAlignment="1" applyProtection="1">
      <alignment horizontal="center" vertical="center" wrapText="1"/>
    </xf>
    <xf numFmtId="17" fontId="5" fillId="0" borderId="2" xfId="0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 applyProtection="1">
      <alignment vertical="center"/>
    </xf>
    <xf numFmtId="3" fontId="5" fillId="0" borderId="2" xfId="0" applyNumberFormat="1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3" fontId="5" fillId="0" borderId="2" xfId="1" applyNumberFormat="1" applyFont="1" applyBorder="1" applyProtection="1"/>
    <xf numFmtId="166" fontId="12" fillId="0" borderId="2" xfId="1" applyFont="1" applyBorder="1" applyAlignment="1" applyProtection="1">
      <alignment horizontal="center" vertical="center" wrapText="1" shrinkToFit="1"/>
    </xf>
    <xf numFmtId="0" fontId="16" fillId="0" borderId="2" xfId="0" applyFont="1" applyBorder="1" applyAlignment="1">
      <alignment horizontal="left" vertical="center" wrapText="1" shrinkToFit="1"/>
    </xf>
    <xf numFmtId="0" fontId="12" fillId="12" borderId="2" xfId="0" applyFont="1" applyFill="1" applyBorder="1" applyAlignment="1">
      <alignment vertical="center" wrapText="1" shrinkToFit="1"/>
    </xf>
    <xf numFmtId="3" fontId="12" fillId="0" borderId="2" xfId="0" applyNumberFormat="1" applyFont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169" fontId="12" fillId="13" borderId="2" xfId="1" applyNumberFormat="1" applyFont="1" applyFill="1" applyBorder="1" applyAlignment="1" applyProtection="1">
      <alignment vertical="center" wrapText="1"/>
    </xf>
    <xf numFmtId="0" fontId="5" fillId="13" borderId="2" xfId="0" applyFont="1" applyFill="1" applyBorder="1" applyAlignment="1">
      <alignment vertical="center" wrapText="1" shrinkToFit="1"/>
    </xf>
    <xf numFmtId="166" fontId="5" fillId="13" borderId="2" xfId="1" applyFont="1" applyFill="1" applyBorder="1" applyAlignment="1" applyProtection="1">
      <alignment horizontal="center" vertical="center" wrapText="1"/>
    </xf>
    <xf numFmtId="17" fontId="5" fillId="0" borderId="2" xfId="2" applyNumberFormat="1" applyFont="1" applyBorder="1" applyAlignment="1" applyProtection="1">
      <alignment horizontal="center" vertical="center" wrapText="1"/>
    </xf>
    <xf numFmtId="169" fontId="5" fillId="4" borderId="2" xfId="1" applyNumberFormat="1" applyFont="1" applyFill="1" applyBorder="1" applyAlignment="1" applyProtection="1">
      <alignment vertical="center" wrapText="1"/>
    </xf>
    <xf numFmtId="3" fontId="5" fillId="0" borderId="2" xfId="1" applyNumberFormat="1" applyFont="1" applyBorder="1" applyAlignment="1" applyProtection="1">
      <alignment horizontal="right" vertical="center" wrapText="1" shrinkToFit="1"/>
    </xf>
    <xf numFmtId="0" fontId="12" fillId="0" borderId="0" xfId="0" applyFont="1" applyAlignment="1">
      <alignment vertical="center"/>
    </xf>
    <xf numFmtId="0" fontId="5" fillId="13" borderId="2" xfId="0" applyFont="1" applyFill="1" applyBorder="1" applyAlignment="1">
      <alignment horizontal="left" vertical="center" wrapText="1" shrinkToFit="1"/>
    </xf>
    <xf numFmtId="0" fontId="12" fillId="13" borderId="2" xfId="0" applyFont="1" applyFill="1" applyBorder="1" applyAlignment="1">
      <alignment vertical="center" wrapText="1" shrinkToFit="1"/>
    </xf>
    <xf numFmtId="166" fontId="12" fillId="13" borderId="2" xfId="1" applyFont="1" applyFill="1" applyBorder="1" applyAlignment="1" applyProtection="1">
      <alignment horizontal="center" vertical="center" wrapText="1" shrinkToFit="1"/>
    </xf>
    <xf numFmtId="166" fontId="5" fillId="13" borderId="2" xfId="1" applyFont="1" applyFill="1" applyBorder="1" applyAlignment="1" applyProtection="1">
      <alignment horizontal="center" vertical="center" wrapText="1" shrinkToFit="1"/>
    </xf>
    <xf numFmtId="169" fontId="5" fillId="13" borderId="2" xfId="1" applyNumberFormat="1" applyFont="1" applyFill="1" applyBorder="1" applyAlignment="1" applyProtection="1">
      <alignment vertical="center" wrapText="1"/>
    </xf>
    <xf numFmtId="0" fontId="5" fillId="0" borderId="2" xfId="1" applyNumberFormat="1" applyFont="1" applyBorder="1" applyAlignment="1" applyProtection="1">
      <alignment horizontal="center" vertical="center" wrapText="1"/>
    </xf>
    <xf numFmtId="169" fontId="12" fillId="0" borderId="2" xfId="1" applyNumberFormat="1" applyFont="1" applyBorder="1" applyAlignment="1" applyProtection="1">
      <alignment vertical="center" wrapText="1"/>
    </xf>
    <xf numFmtId="171" fontId="5" fillId="0" borderId="2" xfId="0" applyNumberFormat="1" applyFont="1" applyBorder="1" applyAlignment="1">
      <alignment horizontal="center" vertical="center"/>
    </xf>
    <xf numFmtId="3" fontId="5" fillId="0" borderId="2" xfId="1" applyNumberFormat="1" applyFont="1" applyBorder="1" applyAlignment="1" applyProtection="1">
      <alignment horizontal="right" vertical="center"/>
    </xf>
    <xf numFmtId="0" fontId="5" fillId="14" borderId="2" xfId="0" applyFont="1" applyFill="1" applyBorder="1" applyAlignment="1">
      <alignment vertical="center" wrapText="1" shrinkToFit="1"/>
    </xf>
    <xf numFmtId="0" fontId="16" fillId="4" borderId="2" xfId="0" applyFont="1" applyFill="1" applyBorder="1" applyAlignment="1">
      <alignment vertical="center" wrapText="1" shrinkToFit="1"/>
    </xf>
    <xf numFmtId="0" fontId="5" fillId="0" borderId="2" xfId="0" applyFont="1" applyBorder="1" applyAlignment="1">
      <alignment vertical="center"/>
    </xf>
    <xf numFmtId="0" fontId="5" fillId="15" borderId="2" xfId="0" applyFont="1" applyFill="1" applyBorder="1" applyAlignment="1">
      <alignment vertical="center" wrapText="1" shrinkToFit="1"/>
    </xf>
    <xf numFmtId="166" fontId="10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left" vertical="center" wrapText="1"/>
    </xf>
    <xf numFmtId="3" fontId="5" fillId="16" borderId="2" xfId="0" applyNumberFormat="1" applyFont="1" applyFill="1" applyBorder="1" applyAlignment="1">
      <alignment horizontal="left" vertical="center" wrapText="1"/>
    </xf>
    <xf numFmtId="168" fontId="5" fillId="8" borderId="2" xfId="1" applyNumberFormat="1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>
      <alignment horizontal="left" vertical="center" wrapText="1" shrinkToFit="1"/>
    </xf>
    <xf numFmtId="0" fontId="5" fillId="0" borderId="2" xfId="1" applyNumberFormat="1" applyFont="1" applyBorder="1" applyAlignment="1" applyProtection="1">
      <alignment horizontal="center" vertical="center" wrapText="1" shrinkToFit="1"/>
    </xf>
    <xf numFmtId="0" fontId="3" fillId="0" borderId="2" xfId="2" applyFont="1" applyBorder="1" applyAlignment="1" applyProtection="1">
      <alignment horizontal="center" vertical="center" wrapText="1"/>
    </xf>
    <xf numFmtId="169" fontId="5" fillId="0" borderId="2" xfId="1" applyNumberFormat="1" applyFont="1" applyBorder="1" applyAlignment="1" applyProtection="1">
      <alignment vertical="center" wrapText="1"/>
    </xf>
    <xf numFmtId="166" fontId="3" fillId="0" borderId="2" xfId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justify" vertical="center" wrapText="1"/>
    </xf>
    <xf numFmtId="169" fontId="5" fillId="8" borderId="2" xfId="1" applyNumberFormat="1" applyFont="1" applyFill="1" applyBorder="1" applyAlignment="1" applyProtection="1">
      <alignment horizontal="center" vertical="center" wrapText="1"/>
    </xf>
    <xf numFmtId="169" fontId="3" fillId="8" borderId="2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68" fontId="5" fillId="0" borderId="0" xfId="1" applyNumberFormat="1" applyFont="1" applyBorder="1" applyAlignment="1" applyProtection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3" fontId="5" fillId="0" borderId="0" xfId="0" applyNumberFormat="1" applyFont="1"/>
    <xf numFmtId="4" fontId="5" fillId="0" borderId="2" xfId="0" applyNumberFormat="1" applyFont="1" applyBorder="1" applyAlignment="1">
      <alignment vertical="center"/>
    </xf>
    <xf numFmtId="0" fontId="10" fillId="17" borderId="2" xfId="0" applyFont="1" applyFill="1" applyBorder="1" applyAlignment="1">
      <alignment horizontal="left" vertical="center" wrapText="1"/>
    </xf>
    <xf numFmtId="0" fontId="10" fillId="17" borderId="2" xfId="0" applyFont="1" applyFill="1" applyBorder="1" applyAlignment="1">
      <alignment horizontal="center" vertical="center" wrapText="1"/>
    </xf>
    <xf numFmtId="169" fontId="10" fillId="17" borderId="2" xfId="0" applyNumberFormat="1" applyFont="1" applyFill="1" applyBorder="1" applyAlignment="1">
      <alignment horizontal="right" vertical="center" wrapText="1"/>
    </xf>
    <xf numFmtId="168" fontId="10" fillId="17" borderId="2" xfId="0" applyNumberFormat="1" applyFont="1" applyFill="1" applyBorder="1" applyAlignment="1">
      <alignment horizontal="right" vertical="center" wrapText="1"/>
    </xf>
    <xf numFmtId="169" fontId="10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 wrapText="1" shrinkToFit="1"/>
    </xf>
    <xf numFmtId="172" fontId="5" fillId="0" borderId="2" xfId="0" applyNumberFormat="1" applyFont="1" applyBorder="1" applyAlignment="1">
      <alignment horizontal="right" vertical="center"/>
    </xf>
    <xf numFmtId="166" fontId="5" fillId="18" borderId="2" xfId="1" applyFont="1" applyFill="1" applyBorder="1" applyAlignment="1" applyProtection="1">
      <alignment horizontal="center" vertical="center" wrapText="1"/>
    </xf>
    <xf numFmtId="172" fontId="5" fillId="8" borderId="2" xfId="0" applyNumberFormat="1" applyFont="1" applyFill="1" applyBorder="1" applyAlignment="1">
      <alignment horizontal="right" vertical="center"/>
    </xf>
    <xf numFmtId="166" fontId="13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 shrinkToFit="1"/>
    </xf>
    <xf numFmtId="0" fontId="20" fillId="0" borderId="0" xfId="0" applyFont="1"/>
    <xf numFmtId="10" fontId="20" fillId="0" borderId="0" xfId="0" applyNumberFormat="1" applyFont="1"/>
    <xf numFmtId="0" fontId="21" fillId="19" borderId="3" xfId="0" applyFont="1" applyFill="1" applyBorder="1" applyAlignment="1">
      <alignment wrapText="1"/>
    </xf>
    <xf numFmtId="0" fontId="21" fillId="22" borderId="5" xfId="0" applyFont="1" applyFill="1" applyBorder="1"/>
    <xf numFmtId="0" fontId="23" fillId="22" borderId="6" xfId="0" applyFont="1" applyFill="1" applyBorder="1" applyAlignment="1">
      <alignment wrapText="1"/>
    </xf>
    <xf numFmtId="0" fontId="24" fillId="0" borderId="5" xfId="0" applyFont="1" applyBorder="1"/>
    <xf numFmtId="173" fontId="25" fillId="4" borderId="7" xfId="0" applyNumberFormat="1" applyFont="1" applyFill="1" applyBorder="1"/>
    <xf numFmtId="173" fontId="25" fillId="4" borderId="6" xfId="0" applyNumberFormat="1" applyFont="1" applyFill="1" applyBorder="1"/>
    <xf numFmtId="173" fontId="25" fillId="8" borderId="6" xfId="0" applyNumberFormat="1" applyFont="1" applyFill="1" applyBorder="1"/>
    <xf numFmtId="173" fontId="25" fillId="23" borderId="6" xfId="0" applyNumberFormat="1" applyFont="1" applyFill="1" applyBorder="1"/>
    <xf numFmtId="173" fontId="25" fillId="24" borderId="4" xfId="0" applyNumberFormat="1" applyFont="1" applyFill="1" applyBorder="1"/>
    <xf numFmtId="173" fontId="25" fillId="24" borderId="6" xfId="0" applyNumberFormat="1" applyFont="1" applyFill="1" applyBorder="1"/>
    <xf numFmtId="173" fontId="26" fillId="15" borderId="0" xfId="0" applyNumberFormat="1" applyFont="1" applyFill="1"/>
    <xf numFmtId="173" fontId="25" fillId="15" borderId="8" xfId="0" applyNumberFormat="1" applyFont="1" applyFill="1" applyBorder="1"/>
    <xf numFmtId="173" fontId="25" fillId="15" borderId="6" xfId="0" applyNumberFormat="1" applyFont="1" applyFill="1" applyBorder="1"/>
    <xf numFmtId="173" fontId="26" fillId="25" borderId="0" xfId="0" applyNumberFormat="1" applyFont="1" applyFill="1"/>
    <xf numFmtId="173" fontId="25" fillId="25" borderId="8" xfId="0" applyNumberFormat="1" applyFont="1" applyFill="1" applyBorder="1"/>
    <xf numFmtId="173" fontId="25" fillId="25" borderId="6" xfId="0" applyNumberFormat="1" applyFont="1" applyFill="1" applyBorder="1"/>
    <xf numFmtId="173" fontId="25" fillId="23" borderId="4" xfId="0" applyNumberFormat="1" applyFont="1" applyFill="1" applyBorder="1"/>
    <xf numFmtId="173" fontId="25" fillId="26" borderId="6" xfId="0" applyNumberFormat="1" applyFont="1" applyFill="1" applyBorder="1"/>
    <xf numFmtId="173" fontId="25" fillId="27" borderId="6" xfId="0" applyNumberFormat="1" applyFont="1" applyFill="1" applyBorder="1"/>
    <xf numFmtId="173" fontId="25" fillId="28" borderId="6" xfId="0" applyNumberFormat="1" applyFont="1" applyFill="1" applyBorder="1"/>
    <xf numFmtId="0" fontId="21" fillId="0" borderId="9" xfId="0" applyFont="1" applyBorder="1"/>
    <xf numFmtId="173" fontId="23" fillId="20" borderId="6" xfId="0" applyNumberFormat="1" applyFont="1" applyFill="1" applyBorder="1"/>
    <xf numFmtId="173" fontId="23" fillId="21" borderId="6" xfId="0" applyNumberFormat="1" applyFont="1" applyFill="1" applyBorder="1"/>
    <xf numFmtId="173" fontId="25" fillId="21" borderId="6" xfId="0" applyNumberFormat="1" applyFont="1" applyFill="1" applyBorder="1"/>
    <xf numFmtId="173" fontId="20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4" fontId="0" fillId="0" borderId="2" xfId="0" applyNumberFormat="1" applyBorder="1"/>
    <xf numFmtId="4" fontId="9" fillId="29" borderId="2" xfId="0" applyNumberFormat="1" applyFont="1" applyFill="1" applyBorder="1"/>
    <xf numFmtId="174" fontId="10" fillId="17" borderId="2" xfId="0" applyNumberFormat="1" applyFont="1" applyFill="1" applyBorder="1" applyAlignment="1">
      <alignment horizontal="right" vertical="center" wrapText="1"/>
    </xf>
    <xf numFmtId="166" fontId="28" fillId="0" borderId="2" xfId="1" applyFont="1" applyBorder="1" applyAlignment="1">
      <alignment horizontal="center" vertical="center" wrapText="1"/>
    </xf>
    <xf numFmtId="174" fontId="5" fillId="0" borderId="2" xfId="0" applyNumberFormat="1" applyFont="1" applyBorder="1" applyAlignment="1">
      <alignment vertical="center"/>
    </xf>
    <xf numFmtId="4" fontId="28" fillId="10" borderId="2" xfId="1" applyNumberFormat="1" applyFont="1" applyFill="1" applyBorder="1" applyAlignment="1">
      <alignment horizontal="right" vertical="center" wrapText="1"/>
    </xf>
    <xf numFmtId="169" fontId="5" fillId="0" borderId="0" xfId="0" applyNumberFormat="1" applyFont="1" applyAlignment="1">
      <alignment vertical="center"/>
    </xf>
    <xf numFmtId="166" fontId="15" fillId="0" borderId="2" xfId="1" applyFont="1" applyBorder="1" applyAlignment="1" applyProtection="1">
      <alignment horizontal="center" vertical="center" wrapText="1"/>
    </xf>
    <xf numFmtId="0" fontId="5" fillId="30" borderId="2" xfId="0" applyFont="1" applyFill="1" applyBorder="1" applyAlignment="1">
      <alignment horizontal="left" vertical="center" wrapText="1" shrinkToFit="1"/>
    </xf>
    <xf numFmtId="4" fontId="5" fillId="0" borderId="2" xfId="1" applyNumberFormat="1" applyFont="1" applyBorder="1" applyAlignment="1" applyProtection="1">
      <alignment horizontal="right" vertical="center" wrapText="1"/>
    </xf>
    <xf numFmtId="4" fontId="28" fillId="0" borderId="2" xfId="1" applyNumberFormat="1" applyFont="1" applyBorder="1" applyAlignment="1">
      <alignment horizontal="right" vertical="center" wrapText="1"/>
    </xf>
    <xf numFmtId="169" fontId="5" fillId="0" borderId="0" xfId="0" applyNumberFormat="1" applyFont="1" applyAlignment="1">
      <alignment horizontal="center" vertical="center"/>
    </xf>
    <xf numFmtId="3" fontId="5" fillId="8" borderId="2" xfId="1" applyNumberFormat="1" applyFont="1" applyFill="1" applyBorder="1" applyAlignment="1" applyProtection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9" fontId="10" fillId="17" borderId="2" xfId="0" applyNumberFormat="1" applyFont="1" applyFill="1" applyBorder="1" applyAlignment="1">
      <alignment horizontal="center" vertical="center" wrapText="1"/>
    </xf>
    <xf numFmtId="166" fontId="5" fillId="8" borderId="2" xfId="1" quotePrefix="1" applyFont="1" applyFill="1" applyBorder="1" applyAlignment="1" applyProtection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169" fontId="5" fillId="0" borderId="2" xfId="1" applyNumberFormat="1" applyFont="1" applyBorder="1" applyAlignment="1" applyProtection="1">
      <alignment horizontal="center" vertical="center" wrapText="1" shrinkToFit="1"/>
    </xf>
    <xf numFmtId="0" fontId="12" fillId="0" borderId="2" xfId="0" applyFont="1" applyBorder="1" applyAlignment="1">
      <alignment horizontal="center" vertical="center" wrapText="1" shrinkToFit="1"/>
    </xf>
    <xf numFmtId="0" fontId="5" fillId="13" borderId="2" xfId="0" applyFont="1" applyFill="1" applyBorder="1" applyAlignment="1">
      <alignment horizontal="center" vertical="center" wrapText="1" shrinkToFit="1"/>
    </xf>
    <xf numFmtId="169" fontId="5" fillId="0" borderId="2" xfId="1" applyNumberFormat="1" applyFont="1" applyBorder="1" applyAlignment="1" applyProtection="1">
      <alignment horizontal="center" vertical="center" wrapText="1"/>
    </xf>
    <xf numFmtId="166" fontId="27" fillId="30" borderId="0" xfId="1" applyFill="1" applyBorder="1" applyProtection="1"/>
    <xf numFmtId="168" fontId="5" fillId="30" borderId="0" xfId="0" applyNumberFormat="1" applyFont="1" applyFill="1" applyAlignment="1">
      <alignment horizontal="right" vertical="center"/>
    </xf>
    <xf numFmtId="0" fontId="5" fillId="30" borderId="0" xfId="0" applyFont="1" applyFill="1" applyAlignment="1">
      <alignment horizontal="center" vertical="center"/>
    </xf>
    <xf numFmtId="0" fontId="5" fillId="8" borderId="2" xfId="1" quotePrefix="1" applyNumberFormat="1" applyFont="1" applyFill="1" applyBorder="1" applyAlignment="1" applyProtection="1">
      <alignment horizontal="center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3" fontId="5" fillId="9" borderId="2" xfId="1" applyNumberFormat="1" applyFont="1" applyFill="1" applyBorder="1" applyAlignment="1" applyProtection="1">
      <alignment horizontal="right" vertical="center" wrapText="1"/>
    </xf>
    <xf numFmtId="4" fontId="5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0" fontId="10" fillId="17" borderId="10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22" fillId="20" borderId="4" xfId="0" applyFont="1" applyFill="1" applyBorder="1" applyAlignment="1">
      <alignment wrapText="1"/>
    </xf>
    <xf numFmtId="0" fontId="22" fillId="21" borderId="4" xfId="0" applyFont="1" applyFill="1" applyBorder="1" applyAlignment="1">
      <alignment wrapText="1"/>
    </xf>
    <xf numFmtId="0" fontId="9" fillId="29" borderId="2" xfId="0" applyFont="1" applyFill="1" applyBorder="1" applyAlignment="1">
      <alignment horizontal="center"/>
    </xf>
  </cellXfs>
  <cellStyles count="46">
    <cellStyle name="Currency 2" xfId="3" xr:uid="{00000000-0005-0000-0000-000006000000}"/>
    <cellStyle name="Hiperlink" xfId="2" builtinId="8"/>
    <cellStyle name="Moeda 2" xfId="4" xr:uid="{00000000-0005-0000-0000-000007000000}"/>
    <cellStyle name="Moeda 2 2" xfId="5" xr:uid="{00000000-0005-0000-0000-000008000000}"/>
    <cellStyle name="Moeda 2 3" xfId="6" xr:uid="{00000000-0005-0000-0000-000009000000}"/>
    <cellStyle name="Moeda 2 3 2" xfId="7" xr:uid="{00000000-0005-0000-0000-00000A000000}"/>
    <cellStyle name="Moeda 2 3 3" xfId="8" xr:uid="{00000000-0005-0000-0000-00000B000000}"/>
    <cellStyle name="Moeda 3" xfId="9" xr:uid="{00000000-0005-0000-0000-00000C000000}"/>
    <cellStyle name="Moeda 4" xfId="10" xr:uid="{00000000-0005-0000-0000-00000D000000}"/>
    <cellStyle name="Normal" xfId="0" builtinId="0"/>
    <cellStyle name="Normal 10" xfId="11" xr:uid="{00000000-0005-0000-0000-00000E000000}"/>
    <cellStyle name="Normal 11" xfId="12" xr:uid="{00000000-0005-0000-0000-00000F000000}"/>
    <cellStyle name="Normal 12" xfId="13" xr:uid="{00000000-0005-0000-0000-000010000000}"/>
    <cellStyle name="Normal 13" xfId="14" xr:uid="{00000000-0005-0000-0000-000011000000}"/>
    <cellStyle name="Normal 2" xfId="15" xr:uid="{00000000-0005-0000-0000-000012000000}"/>
    <cellStyle name="Normal 2 2" xfId="16" xr:uid="{00000000-0005-0000-0000-000013000000}"/>
    <cellStyle name="Normal 2 2 2" xfId="17" xr:uid="{00000000-0005-0000-0000-000014000000}"/>
    <cellStyle name="Normal 2 3" xfId="18" xr:uid="{00000000-0005-0000-0000-000015000000}"/>
    <cellStyle name="Normal 2_04_Tabelas_OPI_2011_Aprovadas" xfId="19" xr:uid="{00000000-0005-0000-0000-000016000000}"/>
    <cellStyle name="Normal 3" xfId="20" xr:uid="{00000000-0005-0000-0000-000017000000}"/>
    <cellStyle name="Normal 3 2" xfId="21" xr:uid="{00000000-0005-0000-0000-000018000000}"/>
    <cellStyle name="Normal 4" xfId="22" xr:uid="{00000000-0005-0000-0000-000019000000}"/>
    <cellStyle name="Normal 5" xfId="23" xr:uid="{00000000-0005-0000-0000-00001A000000}"/>
    <cellStyle name="Normal 6" xfId="24" xr:uid="{00000000-0005-0000-0000-00001B000000}"/>
    <cellStyle name="Normal 7" xfId="25" xr:uid="{00000000-0005-0000-0000-00001C000000}"/>
    <cellStyle name="Normal 7 2" xfId="26" xr:uid="{00000000-0005-0000-0000-00001D000000}"/>
    <cellStyle name="Normal 8" xfId="27" xr:uid="{00000000-0005-0000-0000-00001E000000}"/>
    <cellStyle name="Normal 9" xfId="28" xr:uid="{00000000-0005-0000-0000-00001F000000}"/>
    <cellStyle name="Porcentagem 2" xfId="29" xr:uid="{00000000-0005-0000-0000-000020000000}"/>
    <cellStyle name="Sem título1" xfId="30" xr:uid="{00000000-0005-0000-0000-000021000000}"/>
    <cellStyle name="Sem título2" xfId="31" xr:uid="{00000000-0005-0000-0000-000022000000}"/>
    <cellStyle name="Sem título3" xfId="32" xr:uid="{00000000-0005-0000-0000-000023000000}"/>
    <cellStyle name="Sem título4" xfId="33" xr:uid="{00000000-0005-0000-0000-000024000000}"/>
    <cellStyle name="Sem título5" xfId="34" xr:uid="{00000000-0005-0000-0000-000025000000}"/>
    <cellStyle name="Separador de milhares [0] 2" xfId="44" xr:uid="{00000000-0005-0000-0000-00002F000000}"/>
    <cellStyle name="Separador de milhares 2" xfId="35" xr:uid="{00000000-0005-0000-0000-000026000000}"/>
    <cellStyle name="Separador de milhares 2 2" xfId="36" xr:uid="{00000000-0005-0000-0000-000027000000}"/>
    <cellStyle name="Separador de milhares 3" xfId="37" xr:uid="{00000000-0005-0000-0000-000028000000}"/>
    <cellStyle name="Separador de milhares 3 2" xfId="38" xr:uid="{00000000-0005-0000-0000-000029000000}"/>
    <cellStyle name="Separador de milhares 4" xfId="39" xr:uid="{00000000-0005-0000-0000-00002A000000}"/>
    <cellStyle name="Separador de milhares 5" xfId="40" xr:uid="{00000000-0005-0000-0000-00002B000000}"/>
    <cellStyle name="Separador de milhares 6" xfId="41" xr:uid="{00000000-0005-0000-0000-00002C000000}"/>
    <cellStyle name="Separador de milhares 7" xfId="42" xr:uid="{00000000-0005-0000-0000-00002D000000}"/>
    <cellStyle name="Separador de milhares 8" xfId="43" xr:uid="{00000000-0005-0000-0000-00002E000000}"/>
    <cellStyle name="Vírgula" xfId="1" builtinId="3"/>
    <cellStyle name="Vírgula 2" xfId="45" xr:uid="{00000000-0005-0000-0000-000030000000}"/>
  </cellStyles>
  <dxfs count="28"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A933"/>
      <rgbColor rgb="FF000080"/>
      <rgbColor rgb="FFF79646"/>
      <rgbColor rgb="FF800080"/>
      <rgbColor rgb="FF008080"/>
      <rgbColor rgb="FFBFBFBF"/>
      <rgbColor rgb="FF558ED5"/>
      <rgbColor rgb="FFEDB506"/>
      <rgbColor rgb="FFC254D2"/>
      <rgbColor rgb="FFF2F2F2"/>
      <rgbColor rgb="FFCCFFFF"/>
      <rgbColor rgb="FF660066"/>
      <rgbColor rgb="FFF09E6F"/>
      <rgbColor rgb="FF006FC0"/>
      <rgbColor rgb="FFDDD9C3"/>
      <rgbColor rgb="FF000080"/>
      <rgbColor rgb="FFFF00FF"/>
      <rgbColor rgb="FFE9B913"/>
      <rgbColor rgb="FF00FFFF"/>
      <rgbColor rgb="FF800080"/>
      <rgbColor rgb="FF800000"/>
      <rgbColor rgb="FF008080"/>
      <rgbColor rgb="FF0000FF"/>
      <rgbColor rgb="FF00CCFF"/>
      <rgbColor rgb="FFCCFFFF"/>
      <rgbColor rgb="FFC7C3AD"/>
      <rgbColor rgb="FFFFFFA6"/>
      <rgbColor rgb="FF93CDDD"/>
      <rgbColor rgb="FFD99694"/>
      <rgbColor rgb="FFDC85E9"/>
      <rgbColor rgb="FFF9CFB5"/>
      <rgbColor rgb="FF3366FF"/>
      <rgbColor rgb="FF33CCCC"/>
      <rgbColor rgb="FF91D04B"/>
      <rgbColor rgb="FFFFC000"/>
      <rgbColor rgb="FFE8A202"/>
      <rgbColor rgb="FFED4C05"/>
      <rgbColor rgb="FF315F92"/>
      <rgbColor rgb="FF9BBB59"/>
      <rgbColor rgb="FF003366"/>
      <rgbColor rgb="FF00B050"/>
      <rgbColor rgb="FF003300"/>
      <rgbColor rgb="FF333300"/>
      <rgbColor rgb="FFC9211E"/>
      <rgbColor rgb="FFFF4000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49680</xdr:rowOff>
    </xdr:from>
    <xdr:to>
      <xdr:col>3</xdr:col>
      <xdr:colOff>534240</xdr:colOff>
      <xdr:row>0</xdr:row>
      <xdr:rowOff>764280</xdr:rowOff>
    </xdr:to>
    <xdr:pic>
      <xdr:nvPicPr>
        <xdr:cNvPr id="2" name="Imagem 1_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9680"/>
          <a:ext cx="4058640" cy="7146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bbr-my.sharepoint.com/Sps_e029/c/Informes/1999/informe%20jan99/99JANFLUXO%20modifi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98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9694"/>
  </sheetPr>
  <dimension ref="A1:XDP96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" sqref="I3"/>
    </sheetView>
  </sheetViews>
  <sheetFormatPr baseColWidth="10" defaultColWidth="9.1640625" defaultRowHeight="15" customHeight="1"/>
  <cols>
    <col min="1" max="1" width="46.6640625" style="5" customWidth="1"/>
    <col min="2" max="2" width="14" style="5" customWidth="1"/>
    <col min="3" max="3" width="18.1640625" style="6" customWidth="1"/>
    <col min="4" max="4" width="22.6640625" style="6" customWidth="1"/>
    <col min="5" max="5" width="13.6640625" style="6" customWidth="1"/>
    <col min="6" max="6" width="12" style="6" customWidth="1"/>
    <col min="7" max="7" width="16.5" style="6" customWidth="1"/>
    <col min="8" max="8" width="12.33203125" style="6" customWidth="1"/>
    <col min="9" max="9" width="17.5" style="7" customWidth="1"/>
    <col min="10" max="10" width="13.6640625" style="8" customWidth="1"/>
    <col min="11" max="12" width="13.6640625" style="7" customWidth="1"/>
    <col min="13" max="13" width="17.5" style="6" bestFit="1" customWidth="1"/>
    <col min="14" max="15" width="13.6640625" style="7" customWidth="1"/>
    <col min="16" max="16" width="13.6640625" style="5" customWidth="1"/>
    <col min="17" max="17" width="13.5" style="5" customWidth="1"/>
    <col min="18" max="19" width="12.6640625" style="5" customWidth="1"/>
    <col min="20" max="23" width="12.6640625" style="9" customWidth="1"/>
    <col min="24" max="24" width="12.6640625" style="10" customWidth="1"/>
    <col min="25" max="29" width="12.6640625" style="9" customWidth="1"/>
    <col min="30" max="30" width="16.6640625" style="11" customWidth="1"/>
    <col min="31" max="31" width="9.5" style="12" customWidth="1"/>
    <col min="32" max="33" width="16.5" style="13" customWidth="1"/>
    <col min="34" max="37" width="16.5" style="5" customWidth="1"/>
    <col min="38" max="16344" width="9.1640625" style="5"/>
    <col min="16345" max="16384" width="11.5" customWidth="1"/>
  </cols>
  <sheetData>
    <row r="1" spans="1:36" ht="17.25" customHeight="1">
      <c r="A1" s="14" t="s">
        <v>0</v>
      </c>
      <c r="B1" s="15"/>
      <c r="C1" s="15"/>
      <c r="I1" s="16"/>
      <c r="K1" s="17"/>
      <c r="L1" s="184"/>
      <c r="M1" s="184"/>
      <c r="N1" s="17"/>
      <c r="O1" s="18"/>
      <c r="P1" s="19"/>
      <c r="U1" s="13"/>
      <c r="V1" s="13"/>
      <c r="AE1" s="9"/>
      <c r="AJ1" s="13"/>
    </row>
    <row r="2" spans="1:36" ht="18.75" customHeight="1">
      <c r="B2" s="15"/>
      <c r="E2" s="196"/>
      <c r="F2" s="196"/>
      <c r="I2" s="194"/>
      <c r="J2" s="195"/>
      <c r="K2" s="17"/>
      <c r="L2" s="184"/>
      <c r="M2" s="184"/>
      <c r="N2" s="17"/>
      <c r="R2" s="13"/>
      <c r="AE2" s="9"/>
      <c r="AJ2" s="13"/>
    </row>
    <row r="3" spans="1:36" ht="41.25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7</v>
      </c>
      <c r="F3" s="21" t="s">
        <v>8</v>
      </c>
      <c r="G3" s="21" t="s">
        <v>9</v>
      </c>
      <c r="H3" s="21" t="s">
        <v>10</v>
      </c>
      <c r="I3" s="22" t="s">
        <v>11</v>
      </c>
      <c r="J3" s="23" t="s">
        <v>12</v>
      </c>
      <c r="K3" s="24" t="s">
        <v>13</v>
      </c>
      <c r="L3" s="24" t="s">
        <v>16</v>
      </c>
      <c r="M3" s="24" t="s">
        <v>448</v>
      </c>
      <c r="N3" s="24" t="s">
        <v>15</v>
      </c>
      <c r="O3" s="24" t="s">
        <v>17</v>
      </c>
      <c r="P3" s="24" t="s">
        <v>18</v>
      </c>
      <c r="Q3" s="25" t="s">
        <v>19</v>
      </c>
      <c r="R3" s="24">
        <v>46023</v>
      </c>
      <c r="S3" s="24">
        <v>46054</v>
      </c>
      <c r="T3" s="24">
        <v>46082</v>
      </c>
      <c r="U3" s="24">
        <v>46113</v>
      </c>
      <c r="V3" s="24">
        <v>46143</v>
      </c>
      <c r="W3" s="24">
        <v>46174</v>
      </c>
      <c r="X3" s="24">
        <v>46204</v>
      </c>
      <c r="Y3" s="24">
        <v>46235</v>
      </c>
      <c r="Z3" s="24">
        <v>46266</v>
      </c>
      <c r="AA3" s="24">
        <v>46296</v>
      </c>
      <c r="AB3" s="24">
        <v>46327</v>
      </c>
      <c r="AC3" s="24">
        <v>46357</v>
      </c>
      <c r="AD3" s="24" t="s">
        <v>20</v>
      </c>
      <c r="AE3" s="26"/>
      <c r="AF3" s="26"/>
      <c r="AG3" s="26"/>
      <c r="AH3" s="26"/>
      <c r="AI3" s="27"/>
      <c r="AJ3" s="27"/>
    </row>
    <row r="4" spans="1:36">
      <c r="A4" s="28" t="s">
        <v>21</v>
      </c>
      <c r="B4" s="28" t="s">
        <v>22</v>
      </c>
      <c r="C4" s="29" t="s">
        <v>23</v>
      </c>
      <c r="D4" s="29"/>
      <c r="E4" s="30"/>
      <c r="F4" s="31"/>
      <c r="G4" s="31"/>
      <c r="H4" s="30"/>
      <c r="I4" s="32">
        <v>161000</v>
      </c>
      <c r="J4" s="32"/>
      <c r="K4" s="32">
        <f>I4*12</f>
        <v>1932000</v>
      </c>
      <c r="L4" s="185">
        <v>1000</v>
      </c>
      <c r="M4" s="185" t="s">
        <v>24</v>
      </c>
      <c r="N4" s="32">
        <v>1480179.9</v>
      </c>
      <c r="O4" s="33">
        <v>0</v>
      </c>
      <c r="P4" s="33">
        <v>451820.1</v>
      </c>
      <c r="Q4" s="3">
        <f>SUM(O4:P4)</f>
        <v>451820.1</v>
      </c>
      <c r="R4" s="34"/>
      <c r="S4" s="34"/>
      <c r="T4" s="4">
        <f>I4*3-Q4</f>
        <v>31179.900000000023</v>
      </c>
      <c r="U4" s="4">
        <f>I4</f>
        <v>161000</v>
      </c>
      <c r="V4" s="4">
        <f>I4</f>
        <v>161000</v>
      </c>
      <c r="W4" s="4">
        <f>I4</f>
        <v>161000</v>
      </c>
      <c r="X4" s="4">
        <f>I4</f>
        <v>161000</v>
      </c>
      <c r="Y4" s="4">
        <f>I4</f>
        <v>161000</v>
      </c>
      <c r="Z4" s="4">
        <f>I4</f>
        <v>161000</v>
      </c>
      <c r="AA4" s="4">
        <f>I4</f>
        <v>161000</v>
      </c>
      <c r="AB4" s="4">
        <f>I4</f>
        <v>161000</v>
      </c>
      <c r="AC4" s="4">
        <f>I4</f>
        <v>161000</v>
      </c>
      <c r="AD4" s="35">
        <f t="shared" ref="AD4:AD23" si="0">SUM(R4:AC4)</f>
        <v>1480179.9</v>
      </c>
      <c r="AE4" s="36"/>
      <c r="AG4" s="37"/>
      <c r="AH4" s="37"/>
      <c r="AI4" s="37"/>
      <c r="AJ4" s="37"/>
    </row>
    <row r="5" spans="1:36">
      <c r="A5" s="28" t="s">
        <v>25</v>
      </c>
      <c r="B5" s="28" t="s">
        <v>22</v>
      </c>
      <c r="C5" s="29" t="s">
        <v>26</v>
      </c>
      <c r="D5" s="29"/>
      <c r="E5" s="30"/>
      <c r="F5" s="31"/>
      <c r="G5" s="31"/>
      <c r="H5" s="30"/>
      <c r="I5" s="32">
        <v>36375</v>
      </c>
      <c r="J5" s="32"/>
      <c r="K5" s="32">
        <f>I5*12</f>
        <v>436500</v>
      </c>
      <c r="L5" s="185">
        <v>1000</v>
      </c>
      <c r="M5" s="185" t="s">
        <v>27</v>
      </c>
      <c r="N5" s="32">
        <v>252771.47</v>
      </c>
      <c r="O5" s="33">
        <v>252771.47</v>
      </c>
      <c r="P5" s="33">
        <v>183728.53</v>
      </c>
      <c r="Q5" s="3">
        <f>SUM(O5:P5)</f>
        <v>436500</v>
      </c>
      <c r="R5" s="34"/>
      <c r="S5" s="34"/>
      <c r="T5" s="34"/>
      <c r="U5" s="34"/>
      <c r="V5" s="34"/>
      <c r="W5" s="4">
        <f>I5*6-Q5</f>
        <v>-218250</v>
      </c>
      <c r="X5" s="4">
        <f>I5</f>
        <v>36375</v>
      </c>
      <c r="Y5" s="4">
        <f>I5</f>
        <v>36375</v>
      </c>
      <c r="Z5" s="4">
        <f>I5</f>
        <v>36375</v>
      </c>
      <c r="AA5" s="4">
        <f>I5</f>
        <v>36375</v>
      </c>
      <c r="AB5" s="4">
        <f>I5</f>
        <v>36375</v>
      </c>
      <c r="AC5" s="4">
        <f>I5</f>
        <v>36375</v>
      </c>
      <c r="AD5" s="35">
        <f t="shared" si="0"/>
        <v>0</v>
      </c>
      <c r="AE5" s="36"/>
      <c r="AG5" s="37"/>
      <c r="AH5" s="37"/>
      <c r="AI5" s="37"/>
      <c r="AJ5" s="37"/>
    </row>
    <row r="6" spans="1:36" ht="14.25" customHeight="1">
      <c r="A6" s="28" t="s">
        <v>28</v>
      </c>
      <c r="B6" s="28" t="s">
        <v>29</v>
      </c>
      <c r="C6" s="38" t="s">
        <v>30</v>
      </c>
      <c r="D6" s="38"/>
      <c r="E6" s="30"/>
      <c r="F6" s="31"/>
      <c r="G6" s="31"/>
      <c r="H6" s="30"/>
      <c r="I6" s="32">
        <v>49000</v>
      </c>
      <c r="J6" s="32"/>
      <c r="K6" s="32">
        <f>48891*13.33</f>
        <v>651717.03</v>
      </c>
      <c r="L6" s="185">
        <v>1000</v>
      </c>
      <c r="M6" s="185" t="s">
        <v>31</v>
      </c>
      <c r="N6" s="32">
        <v>490000</v>
      </c>
      <c r="O6" s="33">
        <v>100000</v>
      </c>
      <c r="P6" s="2">
        <v>0</v>
      </c>
      <c r="Q6" s="3">
        <f>SUM(O6:P6)</f>
        <v>100000</v>
      </c>
      <c r="R6" s="34"/>
      <c r="S6" s="34"/>
      <c r="T6" s="4">
        <f>I6</f>
        <v>49000</v>
      </c>
      <c r="U6" s="4">
        <f>I6</f>
        <v>49000</v>
      </c>
      <c r="V6" s="4">
        <f>I6</f>
        <v>49000</v>
      </c>
      <c r="W6" s="4">
        <f>I6</f>
        <v>49000</v>
      </c>
      <c r="X6" s="4">
        <f>I6</f>
        <v>49000</v>
      </c>
      <c r="Y6" s="4">
        <f>I6</f>
        <v>49000</v>
      </c>
      <c r="Z6" s="4">
        <f>I6</f>
        <v>49000</v>
      </c>
      <c r="AA6" s="4">
        <f>I6</f>
        <v>49000</v>
      </c>
      <c r="AB6" s="4">
        <f>I6</f>
        <v>49000</v>
      </c>
      <c r="AC6" s="4">
        <f>I6</f>
        <v>49000</v>
      </c>
      <c r="AD6" s="35">
        <f t="shared" si="0"/>
        <v>490000</v>
      </c>
      <c r="AE6" s="36"/>
      <c r="AG6" s="37"/>
      <c r="AH6" s="37"/>
      <c r="AI6" s="37"/>
      <c r="AJ6" s="37"/>
    </row>
    <row r="7" spans="1:36" ht="27" customHeight="1">
      <c r="A7" s="28" t="s">
        <v>32</v>
      </c>
      <c r="B7" s="28" t="s">
        <v>22</v>
      </c>
      <c r="C7" s="29" t="s">
        <v>33</v>
      </c>
      <c r="D7" s="38"/>
      <c r="E7" s="30"/>
      <c r="F7" s="31"/>
      <c r="G7" s="31"/>
      <c r="H7" s="30"/>
      <c r="I7" s="32">
        <v>810000</v>
      </c>
      <c r="J7" s="32"/>
      <c r="K7" s="32">
        <f>I7*12</f>
        <v>9720000</v>
      </c>
      <c r="L7" s="185">
        <v>1000</v>
      </c>
      <c r="M7" s="185" t="s">
        <v>34</v>
      </c>
      <c r="N7" s="32">
        <v>8910000</v>
      </c>
      <c r="O7" s="39">
        <v>1105507</v>
      </c>
      <c r="P7" s="39">
        <v>0</v>
      </c>
      <c r="Q7" s="3">
        <f>SUM(O7:P7)</f>
        <v>1105507</v>
      </c>
      <c r="R7" s="34"/>
      <c r="S7" s="4">
        <f>I7-295507</f>
        <v>514493</v>
      </c>
      <c r="T7" s="4">
        <f>I7</f>
        <v>810000</v>
      </c>
      <c r="U7" s="4">
        <f>I7</f>
        <v>810000</v>
      </c>
      <c r="V7" s="4">
        <f>I7</f>
        <v>810000</v>
      </c>
      <c r="W7" s="4">
        <f>I7</f>
        <v>810000</v>
      </c>
      <c r="X7" s="4">
        <f>I7</f>
        <v>810000</v>
      </c>
      <c r="Y7" s="4">
        <f>I7</f>
        <v>810000</v>
      </c>
      <c r="Z7" s="4">
        <f>I7</f>
        <v>810000</v>
      </c>
      <c r="AA7" s="4">
        <f>I7</f>
        <v>810000</v>
      </c>
      <c r="AB7" s="4">
        <f>I7</f>
        <v>810000</v>
      </c>
      <c r="AC7" s="4">
        <f>I7</f>
        <v>810000</v>
      </c>
      <c r="AD7" s="35">
        <f t="shared" si="0"/>
        <v>8614493</v>
      </c>
      <c r="AE7" s="36"/>
      <c r="AG7" s="37"/>
      <c r="AH7" s="37"/>
      <c r="AI7" s="37"/>
      <c r="AJ7" s="37"/>
    </row>
    <row r="8" spans="1:36" ht="54.75" customHeight="1">
      <c r="A8" s="28" t="s">
        <v>35</v>
      </c>
      <c r="B8" s="28"/>
      <c r="C8" s="29" t="s">
        <v>36</v>
      </c>
      <c r="D8" s="38" t="s">
        <v>37</v>
      </c>
      <c r="E8" s="40"/>
      <c r="F8" s="31"/>
      <c r="G8" s="31"/>
      <c r="H8" s="38"/>
      <c r="I8" s="4">
        <v>1361927.55</v>
      </c>
      <c r="J8" s="32"/>
      <c r="K8" s="32">
        <f>I8*12</f>
        <v>16343130.600000001</v>
      </c>
      <c r="L8" s="185">
        <v>1000</v>
      </c>
      <c r="M8" s="185"/>
      <c r="N8" s="32"/>
      <c r="O8" s="2"/>
      <c r="P8" s="2">
        <v>7464477</v>
      </c>
      <c r="Q8" s="3">
        <f>SUM(O8:P8)</f>
        <v>7464477</v>
      </c>
      <c r="R8" s="34"/>
      <c r="S8" s="34"/>
      <c r="T8" s="34"/>
      <c r="U8" s="34"/>
      <c r="V8" s="34"/>
      <c r="W8" s="34"/>
      <c r="X8" s="4">
        <f>I8</f>
        <v>1361927.55</v>
      </c>
      <c r="Y8" s="4">
        <f>I8</f>
        <v>1361927.55</v>
      </c>
      <c r="Z8" s="4">
        <f>I8</f>
        <v>1361927.55</v>
      </c>
      <c r="AA8" s="4">
        <f>I8</f>
        <v>1361927.55</v>
      </c>
      <c r="AB8" s="4">
        <f>I8</f>
        <v>1361927.55</v>
      </c>
      <c r="AC8" s="4">
        <f>I8</f>
        <v>1361927.55</v>
      </c>
      <c r="AD8" s="35">
        <f t="shared" si="0"/>
        <v>8171565.2999999998</v>
      </c>
      <c r="AE8" s="36"/>
      <c r="AJ8" s="37"/>
    </row>
    <row r="9" spans="1:36" ht="54.75" customHeight="1">
      <c r="A9" s="28" t="s">
        <v>38</v>
      </c>
      <c r="B9" s="28"/>
      <c r="C9" s="29" t="s">
        <v>39</v>
      </c>
      <c r="D9" s="38"/>
      <c r="E9" s="40"/>
      <c r="F9" s="31"/>
      <c r="G9" s="31"/>
      <c r="H9" s="38"/>
      <c r="I9" s="4"/>
      <c r="J9" s="32"/>
      <c r="K9" s="32"/>
      <c r="L9" s="185">
        <v>1000</v>
      </c>
      <c r="M9" s="185" t="s">
        <v>40</v>
      </c>
      <c r="N9" s="32">
        <v>150000</v>
      </c>
      <c r="O9" s="2"/>
      <c r="P9" s="2"/>
      <c r="Q9" s="3"/>
      <c r="R9" s="182">
        <f>150000/12</f>
        <v>12500</v>
      </c>
      <c r="S9" s="182">
        <f t="shared" ref="S9:AC9" si="1">150000/12</f>
        <v>12500</v>
      </c>
      <c r="T9" s="182">
        <f t="shared" si="1"/>
        <v>12500</v>
      </c>
      <c r="U9" s="182">
        <f t="shared" si="1"/>
        <v>12500</v>
      </c>
      <c r="V9" s="182">
        <f t="shared" si="1"/>
        <v>12500</v>
      </c>
      <c r="W9" s="182">
        <f t="shared" si="1"/>
        <v>12500</v>
      </c>
      <c r="X9" s="182">
        <f t="shared" si="1"/>
        <v>12500</v>
      </c>
      <c r="Y9" s="182">
        <f t="shared" si="1"/>
        <v>12500</v>
      </c>
      <c r="Z9" s="182">
        <f t="shared" si="1"/>
        <v>12500</v>
      </c>
      <c r="AA9" s="182">
        <f t="shared" si="1"/>
        <v>12500</v>
      </c>
      <c r="AB9" s="182">
        <f t="shared" si="1"/>
        <v>12500</v>
      </c>
      <c r="AC9" s="182">
        <f t="shared" si="1"/>
        <v>12500</v>
      </c>
      <c r="AD9" s="35">
        <f t="shared" si="0"/>
        <v>150000</v>
      </c>
      <c r="AE9" s="36"/>
      <c r="AJ9" s="37"/>
    </row>
    <row r="10" spans="1:36" ht="30">
      <c r="A10" s="28" t="s">
        <v>41</v>
      </c>
      <c r="B10" s="28" t="s">
        <v>42</v>
      </c>
      <c r="C10" s="29" t="s">
        <v>43</v>
      </c>
      <c r="D10" s="38" t="s">
        <v>44</v>
      </c>
      <c r="E10" s="38"/>
      <c r="F10" s="31"/>
      <c r="G10" s="31"/>
      <c r="H10" s="38"/>
      <c r="I10" s="4">
        <v>700000</v>
      </c>
      <c r="J10" s="32"/>
      <c r="K10" s="32">
        <f>I10*12</f>
        <v>8400000</v>
      </c>
      <c r="L10" s="185">
        <v>1000</v>
      </c>
      <c r="M10" s="185"/>
      <c r="N10" s="32"/>
      <c r="O10" s="2"/>
      <c r="P10" s="2">
        <v>2475958</v>
      </c>
      <c r="Q10" s="3">
        <f t="shared" ref="Q10:Q34" si="2">SUM(O10:P10)</f>
        <v>2475958</v>
      </c>
      <c r="R10" s="34"/>
      <c r="S10" s="34"/>
      <c r="T10" s="34"/>
      <c r="U10" s="4">
        <f>I10*4-Q10</f>
        <v>324042</v>
      </c>
      <c r="V10" s="4">
        <f>I10</f>
        <v>700000</v>
      </c>
      <c r="W10" s="4">
        <f>I10</f>
        <v>700000</v>
      </c>
      <c r="X10" s="4">
        <f>I10</f>
        <v>700000</v>
      </c>
      <c r="Y10" s="4">
        <f>I10</f>
        <v>700000</v>
      </c>
      <c r="Z10" s="4">
        <f>I10</f>
        <v>700000</v>
      </c>
      <c r="AA10" s="4">
        <f>I10</f>
        <v>700000</v>
      </c>
      <c r="AB10" s="4">
        <f>I10</f>
        <v>700000</v>
      </c>
      <c r="AC10" s="4">
        <f>I10</f>
        <v>700000</v>
      </c>
      <c r="AD10" s="35">
        <f t="shared" si="0"/>
        <v>5924042</v>
      </c>
      <c r="AE10" s="36"/>
      <c r="AG10" s="37"/>
      <c r="AH10" s="37"/>
      <c r="AI10" s="37"/>
      <c r="AJ10" s="37"/>
    </row>
    <row r="11" spans="1:36" ht="27" customHeight="1">
      <c r="A11" s="41" t="s">
        <v>45</v>
      </c>
      <c r="B11" s="28" t="s">
        <v>46</v>
      </c>
      <c r="C11" s="29" t="s">
        <v>47</v>
      </c>
      <c r="D11" s="38" t="s">
        <v>48</v>
      </c>
      <c r="E11" s="40"/>
      <c r="F11" s="31"/>
      <c r="G11" s="31"/>
      <c r="H11" s="38"/>
      <c r="I11" s="32">
        <v>333</v>
      </c>
      <c r="J11" s="32"/>
      <c r="K11" s="4">
        <f>I11*12</f>
        <v>3996</v>
      </c>
      <c r="L11" s="185">
        <v>1000</v>
      </c>
      <c r="M11" s="56" t="s">
        <v>49</v>
      </c>
      <c r="N11" s="4">
        <v>1665</v>
      </c>
      <c r="O11" s="33"/>
      <c r="P11" s="33">
        <v>2331</v>
      </c>
      <c r="Q11" s="3">
        <f t="shared" si="2"/>
        <v>2331</v>
      </c>
      <c r="R11" s="34"/>
      <c r="S11" s="34"/>
      <c r="T11" s="34"/>
      <c r="U11" s="34"/>
      <c r="V11" s="34"/>
      <c r="W11" s="34"/>
      <c r="X11" s="34"/>
      <c r="Y11" s="4">
        <f>I11</f>
        <v>333</v>
      </c>
      <c r="Z11" s="4">
        <f>I11</f>
        <v>333</v>
      </c>
      <c r="AA11" s="4">
        <f>I11</f>
        <v>333</v>
      </c>
      <c r="AB11" s="4">
        <f>I11</f>
        <v>333</v>
      </c>
      <c r="AC11" s="4">
        <f>I11</f>
        <v>333</v>
      </c>
      <c r="AD11" s="35">
        <f t="shared" si="0"/>
        <v>1665</v>
      </c>
      <c r="AE11" s="36"/>
      <c r="AG11" s="37"/>
      <c r="AH11" s="37"/>
      <c r="AI11" s="37"/>
      <c r="AJ11" s="37"/>
    </row>
    <row r="12" spans="1:36" ht="54.75" customHeight="1">
      <c r="A12" s="42" t="s">
        <v>50</v>
      </c>
      <c r="B12" s="28" t="s">
        <v>46</v>
      </c>
      <c r="C12" s="38" t="s">
        <v>51</v>
      </c>
      <c r="D12" s="197" t="s">
        <v>449</v>
      </c>
      <c r="E12" s="40"/>
      <c r="F12" s="31"/>
      <c r="G12" s="31"/>
      <c r="H12" s="38" t="s">
        <v>53</v>
      </c>
      <c r="I12" s="32">
        <v>1585.03</v>
      </c>
      <c r="J12" s="32"/>
      <c r="K12" s="32">
        <f>I12*12</f>
        <v>19020.36</v>
      </c>
      <c r="L12" s="185">
        <v>1000</v>
      </c>
      <c r="M12" s="185" t="s">
        <v>54</v>
      </c>
      <c r="N12" s="32">
        <v>17066.89</v>
      </c>
      <c r="O12" s="39"/>
      <c r="P12" s="39">
        <f>1856.05+97.42</f>
        <v>1953.47</v>
      </c>
      <c r="Q12" s="3">
        <f t="shared" si="2"/>
        <v>1953.47</v>
      </c>
      <c r="R12" s="34"/>
      <c r="S12" s="4">
        <f>I12*2-Q12</f>
        <v>1216.5899999999999</v>
      </c>
      <c r="T12" s="4">
        <f>I12</f>
        <v>1585.03</v>
      </c>
      <c r="U12" s="4">
        <f>I12</f>
        <v>1585.03</v>
      </c>
      <c r="V12" s="4">
        <f>I12</f>
        <v>1585.03</v>
      </c>
      <c r="W12" s="4">
        <f>I12</f>
        <v>1585.03</v>
      </c>
      <c r="X12" s="4">
        <f>I12</f>
        <v>1585.03</v>
      </c>
      <c r="Y12" s="4">
        <f>I12</f>
        <v>1585.03</v>
      </c>
      <c r="Z12" s="4">
        <f>I12</f>
        <v>1585.03</v>
      </c>
      <c r="AA12" s="4">
        <f>I12</f>
        <v>1585.03</v>
      </c>
      <c r="AB12" s="4">
        <f>I12</f>
        <v>1585.03</v>
      </c>
      <c r="AC12" s="4">
        <f>I12</f>
        <v>1585.03</v>
      </c>
      <c r="AD12" s="35">
        <f t="shared" si="0"/>
        <v>17066.890000000003</v>
      </c>
      <c r="AE12" s="36"/>
      <c r="AG12" s="37"/>
      <c r="AH12" s="37"/>
      <c r="AI12" s="37"/>
      <c r="AJ12" s="37"/>
    </row>
    <row r="13" spans="1:36" ht="14.25" customHeight="1">
      <c r="A13" s="28" t="s">
        <v>55</v>
      </c>
      <c r="B13" s="44" t="s">
        <v>56</v>
      </c>
      <c r="C13" s="38" t="s">
        <v>57</v>
      </c>
      <c r="D13" s="38" t="s">
        <v>58</v>
      </c>
      <c r="E13" s="45">
        <v>46247</v>
      </c>
      <c r="F13" s="46" t="str">
        <f ca="1">IF((E13-TODAY())&lt;0,"EXPIRADO", IF((E13-TODAY())&lt;=60,"EM BREVE","NO PRAZO"))</f>
        <v>NO PRAZO</v>
      </c>
      <c r="G13" s="29"/>
      <c r="H13" s="47" t="s">
        <v>60</v>
      </c>
      <c r="I13" s="32">
        <v>60000</v>
      </c>
      <c r="J13" s="32"/>
      <c r="K13" s="32">
        <f>I13*12</f>
        <v>720000</v>
      </c>
      <c r="L13" s="185">
        <v>1000</v>
      </c>
      <c r="M13" s="185" t="s">
        <v>61</v>
      </c>
      <c r="N13" s="32">
        <v>654196.34</v>
      </c>
      <c r="O13" s="33"/>
      <c r="P13" s="39">
        <v>65803.66</v>
      </c>
      <c r="Q13" s="3">
        <f t="shared" si="2"/>
        <v>65803.66</v>
      </c>
      <c r="R13" s="34"/>
      <c r="S13" s="4">
        <f>I13+I13-Q13</f>
        <v>54196.34</v>
      </c>
      <c r="T13" s="4">
        <f>I13</f>
        <v>60000</v>
      </c>
      <c r="U13" s="4">
        <f>I13</f>
        <v>60000</v>
      </c>
      <c r="V13" s="4">
        <f>I13</f>
        <v>60000</v>
      </c>
      <c r="W13" s="4">
        <f>I13</f>
        <v>60000</v>
      </c>
      <c r="X13" s="4">
        <f>I13</f>
        <v>60000</v>
      </c>
      <c r="Y13" s="48">
        <f>I13</f>
        <v>60000</v>
      </c>
      <c r="Z13" s="4">
        <f>I13</f>
        <v>60000</v>
      </c>
      <c r="AA13" s="4">
        <f>I13</f>
        <v>60000</v>
      </c>
      <c r="AB13" s="4">
        <f>I13</f>
        <v>60000</v>
      </c>
      <c r="AC13" s="4">
        <f>I13</f>
        <v>60000</v>
      </c>
      <c r="AD13" s="35">
        <f t="shared" si="0"/>
        <v>654196.34</v>
      </c>
      <c r="AE13" s="36"/>
      <c r="AG13" s="37"/>
      <c r="AH13" s="37"/>
      <c r="AI13" s="37"/>
      <c r="AJ13" s="37"/>
    </row>
    <row r="14" spans="1:36" ht="110.25" customHeight="1">
      <c r="A14" s="49" t="s">
        <v>62</v>
      </c>
      <c r="B14" s="44" t="s">
        <v>56</v>
      </c>
      <c r="C14" s="38" t="s">
        <v>63</v>
      </c>
      <c r="D14" s="38"/>
      <c r="E14" s="51"/>
      <c r="F14" s="46"/>
      <c r="G14" s="29" t="s">
        <v>65</v>
      </c>
      <c r="H14" s="52"/>
      <c r="I14" s="32"/>
      <c r="J14" s="32"/>
      <c r="K14" s="32"/>
      <c r="L14" s="185">
        <v>1000</v>
      </c>
      <c r="M14" s="185"/>
      <c r="N14" s="32"/>
      <c r="O14" s="2"/>
      <c r="P14" s="2">
        <v>17567.669999999998</v>
      </c>
      <c r="Q14" s="3">
        <f t="shared" si="2"/>
        <v>17567.669999999998</v>
      </c>
      <c r="R14" s="4">
        <f>I14</f>
        <v>0</v>
      </c>
      <c r="S14" s="4">
        <f>I14</f>
        <v>0</v>
      </c>
      <c r="T14" s="4">
        <f>I14</f>
        <v>0</v>
      </c>
      <c r="U14" s="4">
        <f>I14</f>
        <v>0</v>
      </c>
      <c r="V14" s="4">
        <f>I14</f>
        <v>0</v>
      </c>
      <c r="W14" s="4">
        <f>I14</f>
        <v>0</v>
      </c>
      <c r="X14" s="4">
        <f>I14</f>
        <v>0</v>
      </c>
      <c r="Y14" s="4">
        <f>I14</f>
        <v>0</v>
      </c>
      <c r="Z14" s="4">
        <f>I14</f>
        <v>0</v>
      </c>
      <c r="AA14" s="4">
        <f>I14</f>
        <v>0</v>
      </c>
      <c r="AB14" s="4">
        <f>I14</f>
        <v>0</v>
      </c>
      <c r="AC14" s="4">
        <f>I14</f>
        <v>0</v>
      </c>
      <c r="AD14" s="35">
        <f t="shared" si="0"/>
        <v>0</v>
      </c>
      <c r="AE14" s="36"/>
      <c r="AG14" s="37"/>
      <c r="AH14" s="37"/>
      <c r="AI14" s="37"/>
      <c r="AJ14" s="37"/>
    </row>
    <row r="15" spans="1:36" ht="27" customHeight="1">
      <c r="A15" s="53" t="s">
        <v>66</v>
      </c>
      <c r="B15" s="53" t="s">
        <v>56</v>
      </c>
      <c r="C15" s="54" t="s">
        <v>67</v>
      </c>
      <c r="D15" s="54" t="s">
        <v>68</v>
      </c>
      <c r="E15" s="51">
        <v>46147</v>
      </c>
      <c r="F15" s="46" t="str">
        <f t="shared" ref="F15:F34" ca="1" si="3">IF((E15-TODAY())&lt;0,"EXPIRADO", IF((E15-TODAY())&lt;=60,"EM BREVE","NO PRAZO"))</f>
        <v>NO PRAZO</v>
      </c>
      <c r="G15" s="29"/>
      <c r="H15" s="56" t="s">
        <v>70</v>
      </c>
      <c r="I15" s="35"/>
      <c r="J15" s="4">
        <f>K15/12</f>
        <v>182288</v>
      </c>
      <c r="K15" s="4">
        <v>2187456</v>
      </c>
      <c r="L15" s="185">
        <v>1000</v>
      </c>
      <c r="M15" s="56" t="s">
        <v>71</v>
      </c>
      <c r="N15" s="4">
        <v>2140102.39</v>
      </c>
      <c r="O15" s="2">
        <v>546864</v>
      </c>
      <c r="P15" s="2">
        <v>47353.61</v>
      </c>
      <c r="Q15" s="3">
        <f t="shared" si="2"/>
        <v>594217.61</v>
      </c>
      <c r="R15" s="34"/>
      <c r="S15" s="34"/>
      <c r="T15" s="34"/>
      <c r="U15" s="34"/>
      <c r="V15" s="48">
        <f>J15</f>
        <v>182288</v>
      </c>
      <c r="W15" s="4">
        <f>J15</f>
        <v>182288</v>
      </c>
      <c r="X15" s="4">
        <f>J15</f>
        <v>182288</v>
      </c>
      <c r="Y15" s="4">
        <f>J15</f>
        <v>182288</v>
      </c>
      <c r="Z15" s="4">
        <f>J15</f>
        <v>182288</v>
      </c>
      <c r="AA15" s="4">
        <f>J15</f>
        <v>182288</v>
      </c>
      <c r="AB15" s="4">
        <f>J15</f>
        <v>182288</v>
      </c>
      <c r="AC15" s="4">
        <f>J15</f>
        <v>182288</v>
      </c>
      <c r="AD15" s="35">
        <f t="shared" si="0"/>
        <v>1458304</v>
      </c>
      <c r="AE15" s="36"/>
      <c r="AG15" s="37"/>
      <c r="AH15" s="37"/>
      <c r="AI15" s="37"/>
      <c r="AJ15" s="37"/>
    </row>
    <row r="16" spans="1:36" ht="43.5" customHeight="1">
      <c r="A16" s="44" t="s">
        <v>72</v>
      </c>
      <c r="B16" s="44" t="s">
        <v>56</v>
      </c>
      <c r="C16" s="57" t="s">
        <v>73</v>
      </c>
      <c r="D16" s="58">
        <v>30814920000104</v>
      </c>
      <c r="E16" s="51">
        <v>47457</v>
      </c>
      <c r="F16" s="46" t="str">
        <f t="shared" ca="1" si="3"/>
        <v>NO PRAZO</v>
      </c>
      <c r="G16" s="29"/>
      <c r="H16" s="32"/>
      <c r="I16" s="39"/>
      <c r="J16" s="32"/>
      <c r="K16" s="32">
        <v>752926</v>
      </c>
      <c r="L16" s="185">
        <v>1000</v>
      </c>
      <c r="M16" s="185"/>
      <c r="N16" s="32"/>
      <c r="O16" s="60"/>
      <c r="P16" s="60">
        <v>0</v>
      </c>
      <c r="Q16" s="3">
        <f t="shared" si="2"/>
        <v>0</v>
      </c>
      <c r="R16" s="4">
        <f>I16</f>
        <v>0</v>
      </c>
      <c r="S16" s="4">
        <f>I16</f>
        <v>0</v>
      </c>
      <c r="T16" s="4">
        <f>I16</f>
        <v>0</v>
      </c>
      <c r="U16" s="4">
        <f t="shared" ref="U16:U23" si="4">I16</f>
        <v>0</v>
      </c>
      <c r="V16" s="4">
        <f t="shared" ref="V16:V23" si="5">I16</f>
        <v>0</v>
      </c>
      <c r="W16" s="4">
        <f t="shared" ref="W16:W23" si="6">I16</f>
        <v>0</v>
      </c>
      <c r="X16" s="4">
        <f t="shared" ref="X16:X23" si="7">I16</f>
        <v>0</v>
      </c>
      <c r="Y16" s="4">
        <f t="shared" ref="Y16:Y23" si="8">I16</f>
        <v>0</v>
      </c>
      <c r="Z16" s="4">
        <f t="shared" ref="Z16:Z23" si="9">I16</f>
        <v>0</v>
      </c>
      <c r="AA16" s="4">
        <f t="shared" ref="AA16:AA23" si="10">I16</f>
        <v>0</v>
      </c>
      <c r="AB16" s="4">
        <f t="shared" ref="AB16:AB23" si="11">I16</f>
        <v>0</v>
      </c>
      <c r="AC16" s="4">
        <f t="shared" ref="AC16:AC23" si="12">I16</f>
        <v>0</v>
      </c>
      <c r="AD16" s="35">
        <f t="shared" si="0"/>
        <v>0</v>
      </c>
      <c r="AE16" s="36"/>
      <c r="AG16" s="37"/>
      <c r="AH16" s="37"/>
      <c r="AI16" s="37"/>
      <c r="AJ16" s="37"/>
    </row>
    <row r="17" spans="1:36" ht="82.5" customHeight="1">
      <c r="A17" s="44" t="s">
        <v>75</v>
      </c>
      <c r="B17" s="44" t="s">
        <v>56</v>
      </c>
      <c r="C17" s="57" t="s">
        <v>76</v>
      </c>
      <c r="D17" s="57" t="s">
        <v>77</v>
      </c>
      <c r="E17" s="51">
        <v>46082</v>
      </c>
      <c r="F17" s="46" t="str">
        <f t="shared" ca="1" si="3"/>
        <v>EM BREVE</v>
      </c>
      <c r="G17" s="46"/>
      <c r="H17" s="61" t="s">
        <v>79</v>
      </c>
      <c r="I17" s="4">
        <f>K17/12</f>
        <v>236095</v>
      </c>
      <c r="J17" s="62" t="s">
        <v>80</v>
      </c>
      <c r="K17" s="32">
        <v>2833140</v>
      </c>
      <c r="L17" s="185">
        <v>1000</v>
      </c>
      <c r="M17" s="185"/>
      <c r="N17" s="32"/>
      <c r="O17" s="33"/>
      <c r="P17" s="33">
        <v>0</v>
      </c>
      <c r="Q17" s="3">
        <f t="shared" si="2"/>
        <v>0</v>
      </c>
      <c r="R17" s="4">
        <f>I17</f>
        <v>236095</v>
      </c>
      <c r="S17" s="4">
        <f>I17</f>
        <v>236095</v>
      </c>
      <c r="T17" s="48">
        <f>I17</f>
        <v>236095</v>
      </c>
      <c r="U17" s="4">
        <f t="shared" si="4"/>
        <v>236095</v>
      </c>
      <c r="V17" s="4">
        <f t="shared" si="5"/>
        <v>236095</v>
      </c>
      <c r="W17" s="4">
        <f t="shared" si="6"/>
        <v>236095</v>
      </c>
      <c r="X17" s="4">
        <f t="shared" si="7"/>
        <v>236095</v>
      </c>
      <c r="Y17" s="4">
        <f t="shared" si="8"/>
        <v>236095</v>
      </c>
      <c r="Z17" s="4">
        <f t="shared" si="9"/>
        <v>236095</v>
      </c>
      <c r="AA17" s="4">
        <f t="shared" si="10"/>
        <v>236095</v>
      </c>
      <c r="AB17" s="4">
        <f t="shared" si="11"/>
        <v>236095</v>
      </c>
      <c r="AC17" s="4">
        <f t="shared" si="12"/>
        <v>236095</v>
      </c>
      <c r="AD17" s="35">
        <f t="shared" si="0"/>
        <v>2833140</v>
      </c>
      <c r="AE17" s="36"/>
      <c r="AG17" s="37"/>
      <c r="AH17" s="37"/>
      <c r="AI17" s="37"/>
      <c r="AJ17" s="37"/>
    </row>
    <row r="18" spans="1:36" ht="57.75" customHeight="1">
      <c r="A18" s="63" t="s">
        <v>81</v>
      </c>
      <c r="B18" s="63" t="s">
        <v>82</v>
      </c>
      <c r="C18" s="29" t="s">
        <v>83</v>
      </c>
      <c r="D18" s="29" t="s">
        <v>84</v>
      </c>
      <c r="E18" s="51">
        <v>47682</v>
      </c>
      <c r="F18" s="46" t="str">
        <f t="shared" ca="1" si="3"/>
        <v>NO PRAZO</v>
      </c>
      <c r="G18" s="29"/>
      <c r="H18" s="61" t="s">
        <v>86</v>
      </c>
      <c r="I18" s="4">
        <v>4000</v>
      </c>
      <c r="J18" s="4"/>
      <c r="K18" s="4">
        <f>I18*12</f>
        <v>48000</v>
      </c>
      <c r="L18" s="185">
        <v>1000</v>
      </c>
      <c r="M18" s="56"/>
      <c r="N18" s="4"/>
      <c r="O18" s="48"/>
      <c r="P18" s="60">
        <v>7511.28</v>
      </c>
      <c r="Q18" s="3">
        <f t="shared" si="2"/>
        <v>7511.28</v>
      </c>
      <c r="R18" s="34"/>
      <c r="S18" s="4">
        <f>I18*2-Q18</f>
        <v>488.72000000000025</v>
      </c>
      <c r="T18" s="4">
        <f>I18</f>
        <v>4000</v>
      </c>
      <c r="U18" s="4">
        <f t="shared" si="4"/>
        <v>4000</v>
      </c>
      <c r="V18" s="4">
        <f t="shared" si="5"/>
        <v>4000</v>
      </c>
      <c r="W18" s="4">
        <f t="shared" si="6"/>
        <v>4000</v>
      </c>
      <c r="X18" s="48">
        <f t="shared" si="7"/>
        <v>4000</v>
      </c>
      <c r="Y18" s="4">
        <f t="shared" si="8"/>
        <v>4000</v>
      </c>
      <c r="Z18" s="4">
        <f t="shared" si="9"/>
        <v>4000</v>
      </c>
      <c r="AA18" s="4">
        <f t="shared" si="10"/>
        <v>4000</v>
      </c>
      <c r="AB18" s="4">
        <f t="shared" si="11"/>
        <v>4000</v>
      </c>
      <c r="AC18" s="4">
        <f t="shared" si="12"/>
        <v>4000</v>
      </c>
      <c r="AD18" s="35">
        <f t="shared" si="0"/>
        <v>40488.720000000001</v>
      </c>
      <c r="AE18" s="36"/>
      <c r="AG18" s="37"/>
      <c r="AH18" s="37"/>
      <c r="AI18" s="37"/>
      <c r="AJ18" s="37"/>
    </row>
    <row r="19" spans="1:36" ht="57.75" customHeight="1">
      <c r="A19" s="64" t="s">
        <v>87</v>
      </c>
      <c r="B19" s="63" t="s">
        <v>88</v>
      </c>
      <c r="C19" s="38" t="s">
        <v>89</v>
      </c>
      <c r="D19" s="38" t="s">
        <v>90</v>
      </c>
      <c r="E19" s="51">
        <v>45106</v>
      </c>
      <c r="F19" s="46" t="str">
        <f t="shared" ca="1" si="3"/>
        <v>EXPIRADO</v>
      </c>
      <c r="G19" s="46"/>
      <c r="H19" s="61" t="s">
        <v>92</v>
      </c>
      <c r="I19" s="4"/>
      <c r="J19" s="4"/>
      <c r="K19" s="4">
        <v>225342</v>
      </c>
      <c r="L19" s="185">
        <v>1000</v>
      </c>
      <c r="M19" s="56"/>
      <c r="N19" s="4"/>
      <c r="O19" s="48"/>
      <c r="P19" s="65">
        <v>102.4</v>
      </c>
      <c r="Q19" s="3">
        <f t="shared" si="2"/>
        <v>102.4</v>
      </c>
      <c r="R19" s="4">
        <f>I19</f>
        <v>0</v>
      </c>
      <c r="S19" s="4">
        <f>I19</f>
        <v>0</v>
      </c>
      <c r="T19" s="4">
        <f>I19</f>
        <v>0</v>
      </c>
      <c r="U19" s="4">
        <f t="shared" si="4"/>
        <v>0</v>
      </c>
      <c r="V19" s="4">
        <f t="shared" si="5"/>
        <v>0</v>
      </c>
      <c r="W19" s="4">
        <f t="shared" si="6"/>
        <v>0</v>
      </c>
      <c r="X19" s="4">
        <f t="shared" si="7"/>
        <v>0</v>
      </c>
      <c r="Y19" s="4">
        <f t="shared" si="8"/>
        <v>0</v>
      </c>
      <c r="Z19" s="4">
        <f t="shared" si="9"/>
        <v>0</v>
      </c>
      <c r="AA19" s="4">
        <f t="shared" si="10"/>
        <v>0</v>
      </c>
      <c r="AB19" s="4">
        <f t="shared" si="11"/>
        <v>0</v>
      </c>
      <c r="AC19" s="4">
        <f t="shared" si="12"/>
        <v>0</v>
      </c>
      <c r="AD19" s="35">
        <f t="shared" si="0"/>
        <v>0</v>
      </c>
      <c r="AE19" s="36"/>
      <c r="AG19" s="37"/>
      <c r="AH19" s="37"/>
      <c r="AI19" s="37"/>
      <c r="AJ19" s="37"/>
    </row>
    <row r="20" spans="1:36" ht="54.75" customHeight="1">
      <c r="A20" s="63" t="s">
        <v>93</v>
      </c>
      <c r="B20" s="63" t="s">
        <v>82</v>
      </c>
      <c r="C20" s="38" t="s">
        <v>89</v>
      </c>
      <c r="D20" s="38" t="s">
        <v>90</v>
      </c>
      <c r="E20" s="51">
        <v>46221</v>
      </c>
      <c r="F20" s="46" t="str">
        <f t="shared" ca="1" si="3"/>
        <v>NO PRAZO</v>
      </c>
      <c r="G20" s="46"/>
      <c r="H20" s="61" t="s">
        <v>95</v>
      </c>
      <c r="I20" s="4">
        <v>4000</v>
      </c>
      <c r="J20" s="4"/>
      <c r="K20" s="4">
        <f>I20*12</f>
        <v>48000</v>
      </c>
      <c r="L20" s="185">
        <v>1000</v>
      </c>
      <c r="M20" s="56"/>
      <c r="N20" s="4"/>
      <c r="O20" s="66"/>
      <c r="P20" s="33">
        <v>12000</v>
      </c>
      <c r="Q20" s="3">
        <f t="shared" si="2"/>
        <v>12000</v>
      </c>
      <c r="R20" s="34"/>
      <c r="S20" s="34"/>
      <c r="T20" s="34"/>
      <c r="U20" s="4">
        <f t="shared" si="4"/>
        <v>4000</v>
      </c>
      <c r="V20" s="4">
        <f t="shared" si="5"/>
        <v>4000</v>
      </c>
      <c r="W20" s="4">
        <f t="shared" si="6"/>
        <v>4000</v>
      </c>
      <c r="X20" s="48">
        <f t="shared" si="7"/>
        <v>4000</v>
      </c>
      <c r="Y20" s="4">
        <f t="shared" si="8"/>
        <v>4000</v>
      </c>
      <c r="Z20" s="4">
        <f t="shared" si="9"/>
        <v>4000</v>
      </c>
      <c r="AA20" s="4">
        <f t="shared" si="10"/>
        <v>4000</v>
      </c>
      <c r="AB20" s="4">
        <f t="shared" si="11"/>
        <v>4000</v>
      </c>
      <c r="AC20" s="4">
        <f t="shared" si="12"/>
        <v>4000</v>
      </c>
      <c r="AD20" s="35">
        <f t="shared" si="0"/>
        <v>36000</v>
      </c>
      <c r="AE20" s="36"/>
      <c r="AG20" s="37"/>
      <c r="AH20" s="37"/>
      <c r="AI20" s="37"/>
      <c r="AJ20" s="37"/>
    </row>
    <row r="21" spans="1:36" ht="27" customHeight="1">
      <c r="A21" s="67" t="s">
        <v>96</v>
      </c>
      <c r="B21" s="63" t="s">
        <v>82</v>
      </c>
      <c r="C21" s="38" t="s">
        <v>97</v>
      </c>
      <c r="D21" s="38" t="s">
        <v>98</v>
      </c>
      <c r="E21" s="51">
        <v>46354</v>
      </c>
      <c r="F21" s="46" t="str">
        <f t="shared" ca="1" si="3"/>
        <v>NO PRAZO</v>
      </c>
      <c r="G21" s="29"/>
      <c r="H21" s="61" t="s">
        <v>100</v>
      </c>
      <c r="I21" s="4">
        <v>500</v>
      </c>
      <c r="J21" s="4"/>
      <c r="K21" s="4">
        <f>I21*12</f>
        <v>6000</v>
      </c>
      <c r="L21" s="185">
        <v>1000</v>
      </c>
      <c r="M21" s="56"/>
      <c r="N21" s="4"/>
      <c r="O21" s="68"/>
      <c r="P21" s="33">
        <v>1100</v>
      </c>
      <c r="Q21" s="3">
        <f t="shared" si="2"/>
        <v>1100</v>
      </c>
      <c r="R21" s="34"/>
      <c r="S21" s="34"/>
      <c r="T21" s="4">
        <v>400</v>
      </c>
      <c r="U21" s="4">
        <f t="shared" si="4"/>
        <v>500</v>
      </c>
      <c r="V21" s="4">
        <f t="shared" si="5"/>
        <v>500</v>
      </c>
      <c r="W21" s="4">
        <f t="shared" si="6"/>
        <v>500</v>
      </c>
      <c r="X21" s="4">
        <f t="shared" si="7"/>
        <v>500</v>
      </c>
      <c r="Y21" s="4">
        <f t="shared" si="8"/>
        <v>500</v>
      </c>
      <c r="Z21" s="4">
        <f t="shared" si="9"/>
        <v>500</v>
      </c>
      <c r="AA21" s="4">
        <f t="shared" si="10"/>
        <v>500</v>
      </c>
      <c r="AB21" s="48">
        <f t="shared" si="11"/>
        <v>500</v>
      </c>
      <c r="AC21" s="4">
        <f t="shared" si="12"/>
        <v>500</v>
      </c>
      <c r="AD21" s="35">
        <f t="shared" si="0"/>
        <v>4900</v>
      </c>
      <c r="AE21" s="36"/>
      <c r="AG21" s="37"/>
      <c r="AH21" s="37"/>
      <c r="AI21" s="37"/>
      <c r="AJ21" s="37"/>
    </row>
    <row r="22" spans="1:36" ht="27" customHeight="1">
      <c r="A22" s="69" t="s">
        <v>101</v>
      </c>
      <c r="B22" s="63" t="s">
        <v>82</v>
      </c>
      <c r="C22" s="38" t="s">
        <v>102</v>
      </c>
      <c r="D22" s="38" t="s">
        <v>103</v>
      </c>
      <c r="E22" s="51">
        <v>46086</v>
      </c>
      <c r="F22" s="46" t="str">
        <f t="shared" ca="1" si="3"/>
        <v>EM BREVE</v>
      </c>
      <c r="G22" s="70" t="s">
        <v>105</v>
      </c>
      <c r="H22" s="59" t="s">
        <v>106</v>
      </c>
      <c r="I22" s="4">
        <v>3870</v>
      </c>
      <c r="J22" s="4"/>
      <c r="K22" s="4">
        <v>48000</v>
      </c>
      <c r="L22" s="185">
        <v>1000</v>
      </c>
      <c r="M22" s="56"/>
      <c r="N22" s="4"/>
      <c r="O22" s="68"/>
      <c r="P22" s="33">
        <v>9727</v>
      </c>
      <c r="Q22" s="3">
        <f t="shared" si="2"/>
        <v>9727</v>
      </c>
      <c r="R22" s="34"/>
      <c r="S22" s="34"/>
      <c r="T22" s="48">
        <f>I22</f>
        <v>3870</v>
      </c>
      <c r="U22" s="4">
        <f t="shared" si="4"/>
        <v>3870</v>
      </c>
      <c r="V22" s="4">
        <f t="shared" si="5"/>
        <v>3870</v>
      </c>
      <c r="W22" s="4">
        <f t="shared" si="6"/>
        <v>3870</v>
      </c>
      <c r="X22" s="4">
        <f t="shared" si="7"/>
        <v>3870</v>
      </c>
      <c r="Y22" s="4">
        <f t="shared" si="8"/>
        <v>3870</v>
      </c>
      <c r="Z22" s="4">
        <f t="shared" si="9"/>
        <v>3870</v>
      </c>
      <c r="AA22" s="4">
        <f t="shared" si="10"/>
        <v>3870</v>
      </c>
      <c r="AB22" s="4">
        <f t="shared" si="11"/>
        <v>3870</v>
      </c>
      <c r="AC22" s="4">
        <f t="shared" si="12"/>
        <v>3870</v>
      </c>
      <c r="AD22" s="35">
        <f t="shared" si="0"/>
        <v>38700</v>
      </c>
      <c r="AE22" s="36"/>
      <c r="AG22" s="37"/>
      <c r="AH22" s="37"/>
      <c r="AI22" s="37"/>
      <c r="AJ22" s="37"/>
    </row>
    <row r="23" spans="1:36" ht="69" customHeight="1">
      <c r="A23" s="53" t="s">
        <v>107</v>
      </c>
      <c r="B23" s="67" t="s">
        <v>108</v>
      </c>
      <c r="C23" s="71" t="s">
        <v>109</v>
      </c>
      <c r="D23" s="57" t="s">
        <v>110</v>
      </c>
      <c r="E23" s="51">
        <v>46404</v>
      </c>
      <c r="F23" s="46" t="str">
        <f t="shared" ca="1" si="3"/>
        <v>NO PRAZO</v>
      </c>
      <c r="G23" s="29"/>
      <c r="H23" s="59" t="s">
        <v>112</v>
      </c>
      <c r="I23" s="4">
        <v>4000</v>
      </c>
      <c r="J23" s="32"/>
      <c r="K23" s="32">
        <f>I23*12</f>
        <v>48000</v>
      </c>
      <c r="L23" s="185">
        <v>1000</v>
      </c>
      <c r="M23" s="185"/>
      <c r="N23" s="32"/>
      <c r="O23" s="2">
        <v>1000</v>
      </c>
      <c r="P23" s="2">
        <v>0</v>
      </c>
      <c r="Q23" s="3">
        <f t="shared" si="2"/>
        <v>1000</v>
      </c>
      <c r="R23" s="4">
        <v>3000</v>
      </c>
      <c r="S23" s="4">
        <f>I23</f>
        <v>4000</v>
      </c>
      <c r="T23" s="4">
        <f>I23</f>
        <v>4000</v>
      </c>
      <c r="U23" s="4">
        <f t="shared" si="4"/>
        <v>4000</v>
      </c>
      <c r="V23" s="4">
        <f t="shared" si="5"/>
        <v>4000</v>
      </c>
      <c r="W23" s="4">
        <f t="shared" si="6"/>
        <v>4000</v>
      </c>
      <c r="X23" s="4">
        <f t="shared" si="7"/>
        <v>4000</v>
      </c>
      <c r="Y23" s="4">
        <f t="shared" si="8"/>
        <v>4000</v>
      </c>
      <c r="Z23" s="4">
        <f t="shared" si="9"/>
        <v>4000</v>
      </c>
      <c r="AA23" s="4">
        <f t="shared" si="10"/>
        <v>4000</v>
      </c>
      <c r="AB23" s="4">
        <f t="shared" si="11"/>
        <v>4000</v>
      </c>
      <c r="AC23" s="4">
        <f t="shared" si="12"/>
        <v>4000</v>
      </c>
      <c r="AD23" s="35">
        <f t="shared" si="0"/>
        <v>47000</v>
      </c>
      <c r="AE23" s="36"/>
      <c r="AG23" s="37"/>
      <c r="AH23" s="37"/>
      <c r="AI23" s="37"/>
      <c r="AJ23" s="37"/>
    </row>
    <row r="24" spans="1:36" ht="45">
      <c r="A24" s="181" t="s">
        <v>113</v>
      </c>
      <c r="B24" s="67" t="s">
        <v>114</v>
      </c>
      <c r="C24" s="71" t="s">
        <v>115</v>
      </c>
      <c r="D24" s="57" t="s">
        <v>116</v>
      </c>
      <c r="E24" s="45">
        <v>46360</v>
      </c>
      <c r="F24" s="46" t="str">
        <f t="shared" ca="1" si="3"/>
        <v>NO PRAZO</v>
      </c>
      <c r="G24" s="29" t="s">
        <v>118</v>
      </c>
      <c r="H24" s="59" t="s">
        <v>119</v>
      </c>
      <c r="I24" s="4">
        <v>153000</v>
      </c>
      <c r="J24" s="32"/>
      <c r="K24" s="32">
        <f>I24*12</f>
        <v>1836000</v>
      </c>
      <c r="L24" s="185">
        <v>1000</v>
      </c>
      <c r="M24" s="185"/>
      <c r="N24" s="32"/>
      <c r="O24" s="2">
        <v>6.29</v>
      </c>
      <c r="P24" s="2">
        <v>206907</v>
      </c>
      <c r="Q24" s="3">
        <f t="shared" si="2"/>
        <v>206913.29</v>
      </c>
      <c r="R24" s="178"/>
      <c r="S24" s="178"/>
      <c r="T24" s="4">
        <v>129000</v>
      </c>
      <c r="U24" s="4">
        <v>129000</v>
      </c>
      <c r="V24" s="4">
        <v>129000</v>
      </c>
      <c r="W24" s="4">
        <v>129000</v>
      </c>
      <c r="X24" s="4">
        <v>129000</v>
      </c>
      <c r="Y24" s="4">
        <v>129000</v>
      </c>
      <c r="Z24" s="4">
        <v>129000</v>
      </c>
      <c r="AA24" s="4">
        <v>129000</v>
      </c>
      <c r="AB24" s="4">
        <v>129000</v>
      </c>
      <c r="AC24" s="4">
        <v>129000</v>
      </c>
      <c r="AD24" s="35">
        <f t="shared" ref="AD24:AD26" si="13">SUM(R24:AC24)</f>
        <v>1290000</v>
      </c>
      <c r="AE24" s="36"/>
      <c r="AG24" s="37"/>
      <c r="AH24" s="37"/>
      <c r="AI24" s="37"/>
      <c r="AJ24" s="37"/>
    </row>
    <row r="25" spans="1:36" ht="45">
      <c r="A25" s="181" t="s">
        <v>120</v>
      </c>
      <c r="B25" s="67" t="s">
        <v>114</v>
      </c>
      <c r="C25" s="71" t="s">
        <v>121</v>
      </c>
      <c r="D25" s="57" t="s">
        <v>122</v>
      </c>
      <c r="E25" s="45">
        <v>46366</v>
      </c>
      <c r="F25" s="46" t="str">
        <f t="shared" ca="1" si="3"/>
        <v>NO PRAZO</v>
      </c>
      <c r="G25" s="29" t="s">
        <v>118</v>
      </c>
      <c r="H25" s="59" t="s">
        <v>124</v>
      </c>
      <c r="I25" s="4">
        <v>247122.88500000001</v>
      </c>
      <c r="J25" s="32"/>
      <c r="K25" s="32">
        <f>I25*12</f>
        <v>2965474.62</v>
      </c>
      <c r="L25" s="185">
        <v>1000</v>
      </c>
      <c r="M25" s="185"/>
      <c r="N25" s="32"/>
      <c r="O25" s="2"/>
      <c r="P25" s="2">
        <v>494245.77</v>
      </c>
      <c r="Q25" s="3">
        <f t="shared" si="2"/>
        <v>494245.77</v>
      </c>
      <c r="R25" s="178"/>
      <c r="S25" s="183">
        <f>500000-244246</f>
        <v>255754</v>
      </c>
      <c r="T25" s="4">
        <v>500000</v>
      </c>
      <c r="U25" s="4">
        <v>200000</v>
      </c>
      <c r="V25" s="4">
        <v>200000</v>
      </c>
      <c r="W25" s="4">
        <v>200000</v>
      </c>
      <c r="X25" s="4">
        <v>200000</v>
      </c>
      <c r="Y25" s="4">
        <v>200000</v>
      </c>
      <c r="Z25" s="4">
        <v>200000</v>
      </c>
      <c r="AA25" s="4">
        <v>200000</v>
      </c>
      <c r="AB25" s="4">
        <v>200000</v>
      </c>
      <c r="AC25" s="4">
        <v>200000</v>
      </c>
      <c r="AD25" s="35">
        <f t="shared" si="13"/>
        <v>2555754</v>
      </c>
      <c r="AE25" s="36"/>
      <c r="AG25" s="37"/>
      <c r="AH25" s="37"/>
      <c r="AI25" s="37"/>
      <c r="AJ25" s="37"/>
    </row>
    <row r="26" spans="1:36" ht="28.5" customHeight="1">
      <c r="A26" s="72" t="s">
        <v>125</v>
      </c>
      <c r="B26" s="63" t="s">
        <v>114</v>
      </c>
      <c r="C26" s="38" t="s">
        <v>126</v>
      </c>
      <c r="D26" s="38" t="s">
        <v>127</v>
      </c>
      <c r="E26" s="45">
        <v>46137</v>
      </c>
      <c r="F26" s="46" t="str">
        <f t="shared" ca="1" si="3"/>
        <v>NO PRAZO</v>
      </c>
      <c r="G26" s="29"/>
      <c r="H26" s="73" t="s">
        <v>129</v>
      </c>
      <c r="I26" s="4">
        <v>10000</v>
      </c>
      <c r="J26" s="4"/>
      <c r="K26" s="4">
        <v>187401.54</v>
      </c>
      <c r="L26" s="185">
        <v>1000</v>
      </c>
      <c r="M26" s="56"/>
      <c r="N26" s="4"/>
      <c r="O26" s="68"/>
      <c r="P26" s="39">
        <v>171673.04</v>
      </c>
      <c r="Q26" s="3">
        <f t="shared" si="2"/>
        <v>171673.04</v>
      </c>
      <c r="R26" s="178"/>
      <c r="S26" s="34"/>
      <c r="T26" s="34"/>
      <c r="U26" s="48"/>
      <c r="V26" s="34"/>
      <c r="W26" s="34"/>
      <c r="X26" s="34"/>
      <c r="Y26" s="34"/>
      <c r="Z26" s="34"/>
      <c r="AA26" s="34"/>
      <c r="AB26" s="34"/>
      <c r="AC26" s="34"/>
      <c r="AD26" s="35">
        <f t="shared" si="13"/>
        <v>0</v>
      </c>
      <c r="AE26" s="36"/>
      <c r="AG26" s="37"/>
      <c r="AH26" s="37"/>
      <c r="AI26" s="37"/>
      <c r="AJ26" s="37"/>
    </row>
    <row r="27" spans="1:36" ht="57.75" customHeight="1">
      <c r="A27" s="64" t="s">
        <v>130</v>
      </c>
      <c r="B27" s="63" t="s">
        <v>114</v>
      </c>
      <c r="C27" s="38" t="s">
        <v>131</v>
      </c>
      <c r="D27" s="43" t="s">
        <v>132</v>
      </c>
      <c r="E27" s="45">
        <v>46270</v>
      </c>
      <c r="F27" s="46" t="str">
        <f t="shared" ca="1" si="3"/>
        <v>NO PRAZO</v>
      </c>
      <c r="G27" s="29"/>
      <c r="H27" s="29" t="s">
        <v>134</v>
      </c>
      <c r="I27" s="4">
        <v>80000</v>
      </c>
      <c r="J27" s="4"/>
      <c r="K27" s="4">
        <f>I27*12</f>
        <v>960000</v>
      </c>
      <c r="L27" s="185">
        <v>1000</v>
      </c>
      <c r="M27" s="56" t="s">
        <v>135</v>
      </c>
      <c r="N27" s="4">
        <v>336351.44</v>
      </c>
      <c r="O27" s="68"/>
      <c r="P27" s="39">
        <v>143648.56</v>
      </c>
      <c r="Q27" s="3">
        <f t="shared" si="2"/>
        <v>143648.56</v>
      </c>
      <c r="R27" s="34"/>
      <c r="S27" s="182">
        <f>87500-56148.56</f>
        <v>31351.440000000002</v>
      </c>
      <c r="T27" s="182">
        <v>87500</v>
      </c>
      <c r="U27" s="182">
        <v>87500</v>
      </c>
      <c r="V27" s="182">
        <v>87500</v>
      </c>
      <c r="W27" s="182">
        <v>87500</v>
      </c>
      <c r="X27" s="182">
        <v>87500</v>
      </c>
      <c r="Y27" s="182">
        <v>87500</v>
      </c>
      <c r="Z27" s="48">
        <v>87500</v>
      </c>
      <c r="AA27" s="4">
        <v>87500</v>
      </c>
      <c r="AB27" s="4">
        <v>87500</v>
      </c>
      <c r="AC27" s="4">
        <v>87500</v>
      </c>
      <c r="AD27" s="35">
        <f t="shared" ref="AD27:AD50" si="14">SUM(R27:AC27)</f>
        <v>906351.44</v>
      </c>
      <c r="AE27" s="36"/>
      <c r="AG27" s="37"/>
      <c r="AH27" s="37"/>
      <c r="AI27" s="37"/>
      <c r="AJ27" s="37"/>
    </row>
    <row r="28" spans="1:36" ht="27" customHeight="1">
      <c r="A28" s="72" t="s">
        <v>136</v>
      </c>
      <c r="B28" s="63" t="s">
        <v>114</v>
      </c>
      <c r="C28" s="38" t="s">
        <v>137</v>
      </c>
      <c r="D28" s="38" t="s">
        <v>138</v>
      </c>
      <c r="E28" s="51">
        <v>46710</v>
      </c>
      <c r="F28" s="46" t="str">
        <f t="shared" ca="1" si="3"/>
        <v>NO PRAZO</v>
      </c>
      <c r="G28" s="29"/>
      <c r="H28" s="38" t="s">
        <v>140</v>
      </c>
      <c r="I28" s="4">
        <f>K28/12</f>
        <v>65625.02</v>
      </c>
      <c r="J28" s="4"/>
      <c r="K28" s="4">
        <f>1575000.48/2</f>
        <v>787500.24</v>
      </c>
      <c r="L28" s="185">
        <v>1000</v>
      </c>
      <c r="M28" s="56" t="s">
        <v>141</v>
      </c>
      <c r="N28" s="4">
        <v>351439.72</v>
      </c>
      <c r="O28" s="68"/>
      <c r="P28" s="39">
        <v>42310.400000000001</v>
      </c>
      <c r="Q28" s="3">
        <f t="shared" si="2"/>
        <v>42310.400000000001</v>
      </c>
      <c r="R28" s="34"/>
      <c r="S28" s="34"/>
      <c r="T28" s="4">
        <v>22000</v>
      </c>
      <c r="U28" s="4">
        <v>22000</v>
      </c>
      <c r="V28" s="4">
        <v>22000</v>
      </c>
      <c r="W28" s="4">
        <v>22000</v>
      </c>
      <c r="X28" s="4">
        <v>22000</v>
      </c>
      <c r="Y28" s="4">
        <v>22000</v>
      </c>
      <c r="Z28" s="4">
        <v>22000</v>
      </c>
      <c r="AA28" s="4">
        <v>22000</v>
      </c>
      <c r="AB28" s="4">
        <v>22000</v>
      </c>
      <c r="AC28" s="4">
        <v>22000</v>
      </c>
      <c r="AD28" s="35">
        <f t="shared" si="14"/>
        <v>220000</v>
      </c>
      <c r="AE28" s="36"/>
      <c r="AG28" s="37"/>
      <c r="AH28" s="37"/>
      <c r="AI28" s="37"/>
      <c r="AJ28" s="37"/>
    </row>
    <row r="29" spans="1:36" ht="48.75" customHeight="1">
      <c r="A29" s="64" t="s">
        <v>142</v>
      </c>
      <c r="B29" s="63" t="s">
        <v>114</v>
      </c>
      <c r="C29" s="38" t="s">
        <v>143</v>
      </c>
      <c r="D29" s="38" t="s">
        <v>144</v>
      </c>
      <c r="E29" s="51">
        <v>46231</v>
      </c>
      <c r="F29" s="46" t="str">
        <f t="shared" ca="1" si="3"/>
        <v>NO PRAZO</v>
      </c>
      <c r="G29" s="29"/>
      <c r="H29" s="59" t="s">
        <v>146</v>
      </c>
      <c r="I29" s="4">
        <v>298000</v>
      </c>
      <c r="J29" s="4"/>
      <c r="K29" s="4">
        <v>3119907.74</v>
      </c>
      <c r="L29" s="185">
        <v>1000</v>
      </c>
      <c r="M29" s="56" t="s">
        <v>147</v>
      </c>
      <c r="N29" s="4">
        <v>1766298.32</v>
      </c>
      <c r="O29" s="68">
        <v>424197.77</v>
      </c>
      <c r="P29" s="39">
        <v>21701.68</v>
      </c>
      <c r="Q29" s="3">
        <f t="shared" si="2"/>
        <v>445899.45</v>
      </c>
      <c r="R29" s="34"/>
      <c r="S29" s="4">
        <v>400000</v>
      </c>
      <c r="T29" s="4">
        <v>400000</v>
      </c>
      <c r="U29" s="4">
        <v>400000</v>
      </c>
      <c r="V29" s="4">
        <v>250000</v>
      </c>
      <c r="W29" s="4">
        <v>250000</v>
      </c>
      <c r="X29" s="48">
        <v>250000</v>
      </c>
      <c r="Y29" s="4">
        <v>250000</v>
      </c>
      <c r="Z29" s="4">
        <v>250000</v>
      </c>
      <c r="AA29" s="4">
        <v>400000</v>
      </c>
      <c r="AB29" s="4">
        <v>400000</v>
      </c>
      <c r="AC29" s="4">
        <v>400000</v>
      </c>
      <c r="AD29" s="35">
        <f t="shared" si="14"/>
        <v>3650000</v>
      </c>
      <c r="AE29" s="36"/>
      <c r="AG29" s="37"/>
      <c r="AH29" s="37"/>
      <c r="AI29" s="37"/>
      <c r="AJ29" s="37"/>
    </row>
    <row r="30" spans="1:36" ht="36" customHeight="1">
      <c r="A30" s="64" t="s">
        <v>148</v>
      </c>
      <c r="B30" s="63" t="s">
        <v>114</v>
      </c>
      <c r="C30" s="59" t="s">
        <v>149</v>
      </c>
      <c r="D30" s="59" t="s">
        <v>150</v>
      </c>
      <c r="E30" s="51">
        <v>46062</v>
      </c>
      <c r="F30" s="46" t="str">
        <f t="shared" ca="1" si="3"/>
        <v>EM BREVE</v>
      </c>
      <c r="G30" s="29" t="s">
        <v>152</v>
      </c>
      <c r="H30" s="74" t="s">
        <v>153</v>
      </c>
      <c r="I30" s="4">
        <v>90000</v>
      </c>
      <c r="J30" s="4"/>
      <c r="K30" s="4">
        <f>I30*12</f>
        <v>1080000</v>
      </c>
      <c r="L30" s="185">
        <v>1000</v>
      </c>
      <c r="M30" s="56"/>
      <c r="N30" s="4"/>
      <c r="O30" s="68"/>
      <c r="P30" s="2">
        <v>27998</v>
      </c>
      <c r="Q30" s="3">
        <f t="shared" si="2"/>
        <v>27998</v>
      </c>
      <c r="R30" s="182">
        <f>153000-27998</f>
        <v>125002</v>
      </c>
      <c r="S30" s="48">
        <v>153000</v>
      </c>
      <c r="T30" s="4">
        <v>153000</v>
      </c>
      <c r="U30" s="4">
        <v>153000</v>
      </c>
      <c r="V30" s="4">
        <v>153000</v>
      </c>
      <c r="W30" s="4">
        <v>153000</v>
      </c>
      <c r="X30" s="4">
        <v>153000</v>
      </c>
      <c r="Y30" s="4">
        <v>153000</v>
      </c>
      <c r="Z30" s="4">
        <v>153000</v>
      </c>
      <c r="AA30" s="4">
        <v>153000</v>
      </c>
      <c r="AB30" s="4">
        <v>153000</v>
      </c>
      <c r="AC30" s="4">
        <v>153000</v>
      </c>
      <c r="AD30" s="35">
        <f t="shared" si="14"/>
        <v>1808002</v>
      </c>
      <c r="AE30" s="36"/>
      <c r="AG30" s="37"/>
      <c r="AH30" s="37"/>
      <c r="AI30" s="37"/>
      <c r="AJ30" s="37"/>
    </row>
    <row r="31" spans="1:36" ht="54.75" customHeight="1">
      <c r="A31" s="64" t="s">
        <v>154</v>
      </c>
      <c r="B31" s="63" t="s">
        <v>114</v>
      </c>
      <c r="C31" s="38" t="s">
        <v>155</v>
      </c>
      <c r="D31" s="75">
        <v>12859652000165</v>
      </c>
      <c r="E31" s="51">
        <v>46123</v>
      </c>
      <c r="F31" s="46" t="str">
        <f t="shared" ca="1" si="3"/>
        <v>NO PRAZO</v>
      </c>
      <c r="G31" s="46"/>
      <c r="H31" s="74" t="s">
        <v>157</v>
      </c>
      <c r="I31" s="4"/>
      <c r="J31" s="4">
        <v>95000</v>
      </c>
      <c r="K31" s="4">
        <v>1173817.01</v>
      </c>
      <c r="L31" s="185">
        <v>1000</v>
      </c>
      <c r="M31" s="56" t="s">
        <v>147</v>
      </c>
      <c r="N31" s="4">
        <v>234826.16</v>
      </c>
      <c r="O31" s="68">
        <v>999.9</v>
      </c>
      <c r="P31" s="39">
        <v>50173.84</v>
      </c>
      <c r="Q31" s="3">
        <f t="shared" si="2"/>
        <v>51173.74</v>
      </c>
      <c r="R31" s="34"/>
      <c r="S31" s="4">
        <v>50000</v>
      </c>
      <c r="T31" s="4">
        <v>50000</v>
      </c>
      <c r="U31" s="48">
        <v>50000</v>
      </c>
      <c r="V31" s="4">
        <v>50000</v>
      </c>
      <c r="W31" s="4">
        <v>50000</v>
      </c>
      <c r="X31" s="4">
        <v>50000</v>
      </c>
      <c r="Y31" s="4">
        <v>50000</v>
      </c>
      <c r="Z31" s="4">
        <v>50000</v>
      </c>
      <c r="AA31" s="4">
        <v>50000</v>
      </c>
      <c r="AB31" s="4">
        <v>50000</v>
      </c>
      <c r="AC31" s="4">
        <v>50000</v>
      </c>
      <c r="AD31" s="35">
        <f t="shared" si="14"/>
        <v>550000</v>
      </c>
      <c r="AE31" s="36"/>
      <c r="AG31" s="37"/>
      <c r="AH31" s="37"/>
      <c r="AI31" s="37"/>
      <c r="AJ31" s="37"/>
    </row>
    <row r="32" spans="1:36">
      <c r="A32" s="64" t="s">
        <v>158</v>
      </c>
      <c r="B32" s="67" t="s">
        <v>114</v>
      </c>
      <c r="C32" s="71" t="s">
        <v>159</v>
      </c>
      <c r="D32" s="57" t="s">
        <v>160</v>
      </c>
      <c r="E32" s="51">
        <v>46094</v>
      </c>
      <c r="F32" s="46" t="str">
        <f t="shared" ca="1" si="3"/>
        <v>EM BREVE</v>
      </c>
      <c r="G32" s="76"/>
      <c r="H32" s="51" t="s">
        <v>162</v>
      </c>
      <c r="I32" s="4">
        <v>6000</v>
      </c>
      <c r="J32" s="4"/>
      <c r="K32" s="4">
        <f>I32*12</f>
        <v>72000</v>
      </c>
      <c r="L32" s="185">
        <v>1000</v>
      </c>
      <c r="M32" s="56"/>
      <c r="N32" s="4"/>
      <c r="O32" s="62"/>
      <c r="P32" s="2">
        <v>4960</v>
      </c>
      <c r="Q32" s="3">
        <f t="shared" si="2"/>
        <v>4960</v>
      </c>
      <c r="R32" s="182">
        <f>10000-4960</f>
        <v>5040</v>
      </c>
      <c r="S32" s="182">
        <v>10000</v>
      </c>
      <c r="T32" s="48">
        <v>10000</v>
      </c>
      <c r="U32" s="4">
        <v>10000</v>
      </c>
      <c r="V32" s="4">
        <v>10000</v>
      </c>
      <c r="W32" s="4">
        <v>10000</v>
      </c>
      <c r="X32" s="4">
        <v>10000</v>
      </c>
      <c r="Y32" s="4">
        <v>10000</v>
      </c>
      <c r="Z32" s="4">
        <v>10000</v>
      </c>
      <c r="AA32" s="4">
        <v>10000</v>
      </c>
      <c r="AB32" s="4">
        <v>10000</v>
      </c>
      <c r="AC32" s="4">
        <v>10000</v>
      </c>
      <c r="AD32" s="35">
        <f t="shared" si="14"/>
        <v>115040</v>
      </c>
      <c r="AE32" s="36"/>
      <c r="AG32" s="37"/>
      <c r="AH32" s="37"/>
      <c r="AI32" s="37"/>
      <c r="AJ32" s="37"/>
    </row>
    <row r="33" spans="1:36" ht="30">
      <c r="A33" s="64" t="s">
        <v>163</v>
      </c>
      <c r="B33" s="67" t="s">
        <v>114</v>
      </c>
      <c r="C33" s="57" t="s">
        <v>164</v>
      </c>
      <c r="D33" s="57" t="s">
        <v>165</v>
      </c>
      <c r="E33" s="74">
        <v>46224</v>
      </c>
      <c r="F33" s="46" t="str">
        <f t="shared" ca="1" si="3"/>
        <v>NO PRAZO</v>
      </c>
      <c r="G33" s="29"/>
      <c r="H33" s="50" t="s">
        <v>167</v>
      </c>
      <c r="I33" s="32">
        <v>500000</v>
      </c>
      <c r="J33" s="32"/>
      <c r="K33" s="32">
        <f>I33*12</f>
        <v>6000000</v>
      </c>
      <c r="L33" s="185">
        <v>1000</v>
      </c>
      <c r="M33" s="185"/>
      <c r="N33" s="32"/>
      <c r="O33" s="39"/>
      <c r="P33" s="39">
        <v>543167</v>
      </c>
      <c r="Q33" s="3">
        <f t="shared" si="2"/>
        <v>543167</v>
      </c>
      <c r="R33" s="34"/>
      <c r="S33" s="34"/>
      <c r="T33" s="4">
        <v>250000</v>
      </c>
      <c r="U33" s="4">
        <v>250000</v>
      </c>
      <c r="V33" s="4">
        <v>250000</v>
      </c>
      <c r="W33" s="4">
        <v>250000</v>
      </c>
      <c r="X33" s="48">
        <v>250000</v>
      </c>
      <c r="Y33" s="4">
        <v>450000</v>
      </c>
      <c r="Z33" s="4">
        <v>450000</v>
      </c>
      <c r="AA33" s="4">
        <v>450000</v>
      </c>
      <c r="AB33" s="4">
        <v>450000</v>
      </c>
      <c r="AC33" s="4">
        <v>450000</v>
      </c>
      <c r="AD33" s="35">
        <f t="shared" si="14"/>
        <v>3500000</v>
      </c>
      <c r="AE33" s="36"/>
      <c r="AG33" s="37"/>
      <c r="AH33" s="37"/>
      <c r="AI33" s="37"/>
      <c r="AJ33" s="37"/>
    </row>
    <row r="34" spans="1:36" ht="41.25" customHeight="1">
      <c r="A34" s="64" t="s">
        <v>168</v>
      </c>
      <c r="B34" s="67" t="s">
        <v>114</v>
      </c>
      <c r="C34" s="57" t="s">
        <v>169</v>
      </c>
      <c r="D34" s="57" t="s">
        <v>170</v>
      </c>
      <c r="E34" s="74">
        <v>46098</v>
      </c>
      <c r="F34" s="46" t="str">
        <f t="shared" ca="1" si="3"/>
        <v>EM BREVE</v>
      </c>
      <c r="G34" s="29" t="s">
        <v>172</v>
      </c>
      <c r="H34" s="50" t="s">
        <v>173</v>
      </c>
      <c r="I34" s="32"/>
      <c r="J34" s="32"/>
      <c r="K34" s="32">
        <v>11456.99</v>
      </c>
      <c r="L34" s="185">
        <v>1000</v>
      </c>
      <c r="M34" s="185"/>
      <c r="N34" s="32"/>
      <c r="O34" s="4"/>
      <c r="P34" s="2">
        <v>0</v>
      </c>
      <c r="Q34" s="3">
        <f t="shared" si="2"/>
        <v>0</v>
      </c>
      <c r="R34" s="4">
        <f>I34</f>
        <v>0</v>
      </c>
      <c r="S34" s="4">
        <f>I34</f>
        <v>0</v>
      </c>
      <c r="T34" s="48">
        <f>I34</f>
        <v>0</v>
      </c>
      <c r="U34" s="4">
        <f>I34</f>
        <v>0</v>
      </c>
      <c r="V34" s="4">
        <f>I34</f>
        <v>0</v>
      </c>
      <c r="W34" s="4">
        <f>I34</f>
        <v>0</v>
      </c>
      <c r="X34" s="4">
        <f>I34</f>
        <v>0</v>
      </c>
      <c r="Y34" s="4">
        <f>I34</f>
        <v>0</v>
      </c>
      <c r="Z34" s="4">
        <f>I34</f>
        <v>0</v>
      </c>
      <c r="AA34" s="4">
        <f>I34</f>
        <v>0</v>
      </c>
      <c r="AB34" s="4">
        <f>I34</f>
        <v>0</v>
      </c>
      <c r="AC34" s="4">
        <f>I34</f>
        <v>0</v>
      </c>
      <c r="AD34" s="35">
        <f t="shared" si="14"/>
        <v>0</v>
      </c>
      <c r="AE34" s="36"/>
      <c r="AG34" s="37"/>
      <c r="AH34" s="37"/>
      <c r="AI34" s="37"/>
      <c r="AJ34" s="37"/>
    </row>
    <row r="35" spans="1:36" ht="41.25" customHeight="1">
      <c r="A35" s="64" t="s">
        <v>174</v>
      </c>
      <c r="B35" s="67" t="s">
        <v>114</v>
      </c>
      <c r="C35" s="57" t="s">
        <v>175</v>
      </c>
      <c r="D35" s="188" t="s">
        <v>176</v>
      </c>
      <c r="E35" s="74"/>
      <c r="F35" s="46"/>
      <c r="G35" s="29"/>
      <c r="H35" s="50"/>
      <c r="I35" s="32">
        <v>12551.75</v>
      </c>
      <c r="J35" s="32"/>
      <c r="K35" s="32">
        <f>I35*12</f>
        <v>150621</v>
      </c>
      <c r="L35" s="185">
        <v>1000</v>
      </c>
      <c r="M35" s="185"/>
      <c r="N35" s="32"/>
      <c r="O35" s="4"/>
      <c r="P35" s="2"/>
      <c r="Q35" s="3"/>
      <c r="R35" s="4">
        <v>12551.75</v>
      </c>
      <c r="S35" s="4">
        <v>12551.75</v>
      </c>
      <c r="T35" s="4">
        <v>12551.75</v>
      </c>
      <c r="U35" s="4">
        <v>12551.75</v>
      </c>
      <c r="V35" s="4">
        <v>12551.75</v>
      </c>
      <c r="W35" s="4">
        <v>12551.75</v>
      </c>
      <c r="X35" s="4">
        <v>12551.75</v>
      </c>
      <c r="Y35" s="4">
        <v>12551.75</v>
      </c>
      <c r="Z35" s="4">
        <v>12551.75</v>
      </c>
      <c r="AA35" s="4">
        <v>12551.75</v>
      </c>
      <c r="AB35" s="4">
        <v>12551.75</v>
      </c>
      <c r="AC35" s="4">
        <v>12551.75</v>
      </c>
      <c r="AD35" s="35">
        <f t="shared" si="14"/>
        <v>150621</v>
      </c>
      <c r="AE35" s="36"/>
      <c r="AG35" s="37"/>
      <c r="AH35" s="37"/>
      <c r="AI35" s="37"/>
      <c r="AJ35" s="37"/>
    </row>
    <row r="36" spans="1:36" ht="85.5" customHeight="1">
      <c r="A36" s="63" t="s">
        <v>178</v>
      </c>
      <c r="B36" s="67"/>
      <c r="C36" s="54" t="s">
        <v>179</v>
      </c>
      <c r="D36" s="57"/>
      <c r="E36" s="74"/>
      <c r="F36" s="46"/>
      <c r="G36" s="46"/>
      <c r="H36" s="50"/>
      <c r="I36" s="32"/>
      <c r="J36" s="32"/>
      <c r="K36" s="32"/>
      <c r="L36" s="185">
        <v>1000</v>
      </c>
      <c r="M36" s="185"/>
      <c r="N36" s="32"/>
      <c r="O36" s="2"/>
      <c r="P36" s="2"/>
      <c r="Q36" s="3"/>
      <c r="R36" s="4">
        <f>I36</f>
        <v>0</v>
      </c>
      <c r="S36" s="4">
        <f>I36</f>
        <v>0</v>
      </c>
      <c r="T36" s="4">
        <f>I36</f>
        <v>0</v>
      </c>
      <c r="U36" s="4">
        <f>I36</f>
        <v>0</v>
      </c>
      <c r="V36" s="4">
        <f>I36</f>
        <v>0</v>
      </c>
      <c r="W36" s="4">
        <f>I36</f>
        <v>0</v>
      </c>
      <c r="X36" s="4">
        <f>I36</f>
        <v>0</v>
      </c>
      <c r="Y36" s="4">
        <f>I36</f>
        <v>0</v>
      </c>
      <c r="Z36" s="4">
        <f>I36</f>
        <v>0</v>
      </c>
      <c r="AA36" s="4">
        <f>I36</f>
        <v>0</v>
      </c>
      <c r="AB36" s="4">
        <f>I36</f>
        <v>0</v>
      </c>
      <c r="AC36" s="4">
        <f>I36</f>
        <v>0</v>
      </c>
      <c r="AD36" s="35">
        <f t="shared" si="14"/>
        <v>0</v>
      </c>
      <c r="AE36" s="36"/>
      <c r="AG36" s="37"/>
      <c r="AH36" s="37"/>
      <c r="AI36" s="37"/>
      <c r="AJ36" s="37"/>
    </row>
    <row r="37" spans="1:36" ht="54.75" customHeight="1">
      <c r="A37" s="63" t="s">
        <v>181</v>
      </c>
      <c r="B37" s="63" t="s">
        <v>108</v>
      </c>
      <c r="C37" s="38" t="s">
        <v>182</v>
      </c>
      <c r="D37" s="38" t="s">
        <v>183</v>
      </c>
      <c r="E37" s="77">
        <v>46127</v>
      </c>
      <c r="F37" s="46" t="str">
        <f t="shared" ref="F37:F66" ca="1" si="15">IF((E37-TODAY())&lt;0,"EXPIRADO", IF((E37-TODAY())&lt;=60,"EM BREVE","NO PRAZO"))</f>
        <v>NO PRAZO</v>
      </c>
      <c r="G37" s="29"/>
      <c r="H37" s="73" t="s">
        <v>185</v>
      </c>
      <c r="I37" s="4"/>
      <c r="J37" s="4">
        <f>12640.77</f>
        <v>12640.77</v>
      </c>
      <c r="K37" s="4">
        <f>J37*12</f>
        <v>151689.24</v>
      </c>
      <c r="L37" s="185">
        <v>1000</v>
      </c>
      <c r="M37" s="56"/>
      <c r="N37" s="4"/>
      <c r="O37" s="78">
        <v>37922.28</v>
      </c>
      <c r="P37" s="2">
        <v>0</v>
      </c>
      <c r="Q37" s="3">
        <f t="shared" ref="Q37:Q42" si="16">SUM(O37:P37)</f>
        <v>37922.28</v>
      </c>
      <c r="R37" s="34"/>
      <c r="S37" s="34"/>
      <c r="T37" s="34"/>
      <c r="U37" s="48">
        <f>J37</f>
        <v>12640.77</v>
      </c>
      <c r="V37" s="4">
        <f>J37</f>
        <v>12640.77</v>
      </c>
      <c r="W37" s="4">
        <f t="shared" ref="W37:W47" si="17">J37</f>
        <v>12640.77</v>
      </c>
      <c r="X37" s="4">
        <f t="shared" ref="X37:X47" si="18">J37</f>
        <v>12640.77</v>
      </c>
      <c r="Y37" s="4">
        <f t="shared" ref="Y37:Y47" si="19">J37</f>
        <v>12640.77</v>
      </c>
      <c r="Z37" s="4">
        <f t="shared" ref="Z37:Z47" si="20">J37</f>
        <v>12640.77</v>
      </c>
      <c r="AA37" s="4">
        <f t="shared" ref="AA37:AA47" si="21">J37</f>
        <v>12640.77</v>
      </c>
      <c r="AB37" s="4">
        <f t="shared" ref="AB37:AB47" si="22">J37</f>
        <v>12640.77</v>
      </c>
      <c r="AC37" s="4">
        <f t="shared" ref="AC37:AC47" si="23">J37</f>
        <v>12640.77</v>
      </c>
      <c r="AD37" s="35">
        <f t="shared" si="14"/>
        <v>113766.93000000002</v>
      </c>
      <c r="AE37" s="36"/>
      <c r="AG37" s="37"/>
      <c r="AH37" s="37"/>
      <c r="AI37" s="37"/>
      <c r="AJ37" s="37"/>
    </row>
    <row r="38" spans="1:36" ht="54.75" customHeight="1">
      <c r="A38" s="44" t="s">
        <v>186</v>
      </c>
      <c r="B38" s="67" t="s">
        <v>108</v>
      </c>
      <c r="C38" s="71" t="s">
        <v>187</v>
      </c>
      <c r="D38" s="57" t="s">
        <v>188</v>
      </c>
      <c r="E38" s="51">
        <v>46219</v>
      </c>
      <c r="F38" s="46" t="str">
        <f t="shared" ca="1" si="15"/>
        <v>NO PRAZO</v>
      </c>
      <c r="G38" s="29"/>
      <c r="H38" s="59" t="s">
        <v>190</v>
      </c>
      <c r="I38" s="4"/>
      <c r="J38" s="32">
        <f>K38/12</f>
        <v>24500.929999999997</v>
      </c>
      <c r="K38" s="32">
        <v>294011.15999999997</v>
      </c>
      <c r="L38" s="185">
        <v>1000</v>
      </c>
      <c r="M38" s="185" t="s">
        <v>191</v>
      </c>
      <c r="N38" s="32">
        <v>126662.85</v>
      </c>
      <c r="O38" s="78">
        <f>114673.31+1205.15</f>
        <v>115878.45999999999</v>
      </c>
      <c r="P38" s="2">
        <v>21342.73</v>
      </c>
      <c r="Q38" s="3">
        <f t="shared" si="16"/>
        <v>137221.19</v>
      </c>
      <c r="R38" s="34"/>
      <c r="S38" s="34"/>
      <c r="T38" s="34"/>
      <c r="U38" s="34"/>
      <c r="V38" s="34"/>
      <c r="W38" s="4">
        <f t="shared" si="17"/>
        <v>24500.929999999997</v>
      </c>
      <c r="X38" s="48">
        <f t="shared" si="18"/>
        <v>24500.929999999997</v>
      </c>
      <c r="Y38" s="4">
        <f t="shared" si="19"/>
        <v>24500.929999999997</v>
      </c>
      <c r="Z38" s="4">
        <f t="shared" si="20"/>
        <v>24500.929999999997</v>
      </c>
      <c r="AA38" s="4">
        <f t="shared" si="21"/>
        <v>24500.929999999997</v>
      </c>
      <c r="AB38" s="4">
        <f t="shared" si="22"/>
        <v>24500.929999999997</v>
      </c>
      <c r="AC38" s="4">
        <f t="shared" si="23"/>
        <v>24500.929999999997</v>
      </c>
      <c r="AD38" s="35">
        <f t="shared" si="14"/>
        <v>171506.50999999998</v>
      </c>
      <c r="AE38" s="36"/>
      <c r="AG38" s="37"/>
      <c r="AH38" s="37"/>
      <c r="AI38" s="37"/>
      <c r="AJ38" s="37"/>
    </row>
    <row r="39" spans="1:36" ht="30" customHeight="1">
      <c r="A39" s="53" t="s">
        <v>192</v>
      </c>
      <c r="B39" s="67" t="s">
        <v>108</v>
      </c>
      <c r="C39" s="79" t="s">
        <v>193</v>
      </c>
      <c r="D39" s="38" t="s">
        <v>194</v>
      </c>
      <c r="E39" s="51">
        <v>46131</v>
      </c>
      <c r="F39" s="46" t="str">
        <f t="shared" ca="1" si="15"/>
        <v>NO PRAZO</v>
      </c>
      <c r="G39" s="29"/>
      <c r="H39" s="59" t="s">
        <v>196</v>
      </c>
      <c r="I39" s="4"/>
      <c r="J39" s="4">
        <f>K39/12</f>
        <v>25772.2</v>
      </c>
      <c r="K39" s="4">
        <v>309266.40000000002</v>
      </c>
      <c r="L39" s="185">
        <v>1000</v>
      </c>
      <c r="M39" s="56"/>
      <c r="N39" s="4"/>
      <c r="O39" s="78">
        <v>51544.4</v>
      </c>
      <c r="P39" s="2">
        <v>26321.599999999999</v>
      </c>
      <c r="Q39" s="3">
        <f t="shared" si="16"/>
        <v>77866</v>
      </c>
      <c r="R39" s="34"/>
      <c r="S39" s="34"/>
      <c r="T39" s="34"/>
      <c r="U39" s="48">
        <f>J39</f>
        <v>25772.2</v>
      </c>
      <c r="V39" s="4">
        <f t="shared" ref="V39:V47" si="24">J39</f>
        <v>25772.2</v>
      </c>
      <c r="W39" s="4">
        <f t="shared" si="17"/>
        <v>25772.2</v>
      </c>
      <c r="X39" s="4">
        <f t="shared" si="18"/>
        <v>25772.2</v>
      </c>
      <c r="Y39" s="4">
        <f t="shared" si="19"/>
        <v>25772.2</v>
      </c>
      <c r="Z39" s="4">
        <f t="shared" si="20"/>
        <v>25772.2</v>
      </c>
      <c r="AA39" s="4">
        <f t="shared" si="21"/>
        <v>25772.2</v>
      </c>
      <c r="AB39" s="4">
        <f t="shared" si="22"/>
        <v>25772.2</v>
      </c>
      <c r="AC39" s="4">
        <f t="shared" si="23"/>
        <v>25772.2</v>
      </c>
      <c r="AD39" s="35">
        <f t="shared" si="14"/>
        <v>231949.80000000005</v>
      </c>
      <c r="AE39" s="36"/>
      <c r="AG39" s="37"/>
      <c r="AH39" s="37"/>
      <c r="AI39" s="37"/>
      <c r="AJ39" s="37"/>
    </row>
    <row r="40" spans="1:36" ht="76.5" customHeight="1">
      <c r="A40" s="63" t="s">
        <v>197</v>
      </c>
      <c r="B40" s="67" t="s">
        <v>108</v>
      </c>
      <c r="C40" s="79" t="s">
        <v>198</v>
      </c>
      <c r="D40" s="38" t="s">
        <v>199</v>
      </c>
      <c r="E40" s="51">
        <v>46660</v>
      </c>
      <c r="F40" s="46" t="str">
        <f t="shared" ca="1" si="15"/>
        <v>NO PRAZO</v>
      </c>
      <c r="G40" s="29"/>
      <c r="H40" s="59" t="s">
        <v>201</v>
      </c>
      <c r="I40" s="4"/>
      <c r="J40" s="4">
        <v>155277.21</v>
      </c>
      <c r="K40" s="4">
        <f t="shared" ref="K40:K47" si="25">J40*12</f>
        <v>1863326.52</v>
      </c>
      <c r="L40" s="185">
        <v>1000</v>
      </c>
      <c r="M40" s="56" t="s">
        <v>202</v>
      </c>
      <c r="N40" s="4">
        <v>1552772.1</v>
      </c>
      <c r="O40" s="78"/>
      <c r="P40" s="2">
        <v>310895.01</v>
      </c>
      <c r="Q40" s="3">
        <f t="shared" si="16"/>
        <v>310895.01</v>
      </c>
      <c r="R40" s="34"/>
      <c r="S40" s="34"/>
      <c r="T40" s="4">
        <f>J40</f>
        <v>155277.21</v>
      </c>
      <c r="U40" s="4">
        <f>J40</f>
        <v>155277.21</v>
      </c>
      <c r="V40" s="4">
        <f t="shared" si="24"/>
        <v>155277.21</v>
      </c>
      <c r="W40" s="4">
        <f t="shared" si="17"/>
        <v>155277.21</v>
      </c>
      <c r="X40" s="4">
        <f t="shared" si="18"/>
        <v>155277.21</v>
      </c>
      <c r="Y40" s="4">
        <f t="shared" si="19"/>
        <v>155277.21</v>
      </c>
      <c r="Z40" s="4">
        <f t="shared" si="20"/>
        <v>155277.21</v>
      </c>
      <c r="AA40" s="4">
        <f t="shared" si="21"/>
        <v>155277.21</v>
      </c>
      <c r="AB40" s="4">
        <f t="shared" si="22"/>
        <v>155277.21</v>
      </c>
      <c r="AC40" s="4">
        <f t="shared" si="23"/>
        <v>155277.21</v>
      </c>
      <c r="AD40" s="35">
        <f t="shared" si="14"/>
        <v>1552772.0999999999</v>
      </c>
      <c r="AE40" s="36"/>
      <c r="AG40" s="37"/>
      <c r="AH40" s="37"/>
      <c r="AI40" s="37"/>
      <c r="AJ40" s="37"/>
    </row>
    <row r="41" spans="1:36" ht="38.25" customHeight="1">
      <c r="A41" s="63" t="s">
        <v>203</v>
      </c>
      <c r="B41" s="67" t="s">
        <v>108</v>
      </c>
      <c r="C41" s="79" t="s">
        <v>204</v>
      </c>
      <c r="D41" s="38" t="s">
        <v>199</v>
      </c>
      <c r="E41" s="51">
        <v>46660</v>
      </c>
      <c r="F41" s="46" t="str">
        <f t="shared" ca="1" si="15"/>
        <v>NO PRAZO</v>
      </c>
      <c r="G41" s="29"/>
      <c r="H41" s="59" t="s">
        <v>206</v>
      </c>
      <c r="I41" s="4"/>
      <c r="J41" s="4">
        <v>258893.8</v>
      </c>
      <c r="K41" s="4">
        <f t="shared" si="25"/>
        <v>3106725.5999999996</v>
      </c>
      <c r="L41" s="185">
        <v>1000</v>
      </c>
      <c r="M41" s="56" t="s">
        <v>207</v>
      </c>
      <c r="N41" s="4">
        <v>2588938</v>
      </c>
      <c r="O41" s="78"/>
      <c r="P41" s="2">
        <v>362960</v>
      </c>
      <c r="Q41" s="3">
        <f t="shared" si="16"/>
        <v>362960</v>
      </c>
      <c r="R41" s="34"/>
      <c r="S41" s="34"/>
      <c r="T41" s="4">
        <f>J41</f>
        <v>258893.8</v>
      </c>
      <c r="U41" s="4">
        <f>J41</f>
        <v>258893.8</v>
      </c>
      <c r="V41" s="4">
        <f t="shared" si="24"/>
        <v>258893.8</v>
      </c>
      <c r="W41" s="4">
        <f t="shared" si="17"/>
        <v>258893.8</v>
      </c>
      <c r="X41" s="4">
        <f t="shared" si="18"/>
        <v>258893.8</v>
      </c>
      <c r="Y41" s="4">
        <f t="shared" si="19"/>
        <v>258893.8</v>
      </c>
      <c r="Z41" s="4">
        <f t="shared" si="20"/>
        <v>258893.8</v>
      </c>
      <c r="AA41" s="4">
        <f t="shared" si="21"/>
        <v>258893.8</v>
      </c>
      <c r="AB41" s="4">
        <f t="shared" si="22"/>
        <v>258893.8</v>
      </c>
      <c r="AC41" s="4">
        <f t="shared" si="23"/>
        <v>258893.8</v>
      </c>
      <c r="AD41" s="35">
        <f t="shared" si="14"/>
        <v>2588938</v>
      </c>
      <c r="AE41" s="36"/>
      <c r="AG41" s="37"/>
      <c r="AH41" s="37"/>
      <c r="AI41" s="37"/>
      <c r="AJ41" s="37"/>
    </row>
    <row r="42" spans="1:36" ht="41.25" customHeight="1">
      <c r="A42" s="67" t="s">
        <v>208</v>
      </c>
      <c r="B42" s="63" t="s">
        <v>108</v>
      </c>
      <c r="C42" s="50" t="s">
        <v>209</v>
      </c>
      <c r="D42" s="50" t="s">
        <v>210</v>
      </c>
      <c r="E42" s="77">
        <v>46267</v>
      </c>
      <c r="F42" s="46" t="str">
        <f t="shared" ca="1" si="15"/>
        <v>NO PRAZO</v>
      </c>
      <c r="G42" s="29"/>
      <c r="H42" s="59" t="s">
        <v>212</v>
      </c>
      <c r="I42" s="4"/>
      <c r="J42" s="4">
        <v>116248.37</v>
      </c>
      <c r="K42" s="4">
        <f t="shared" si="25"/>
        <v>1394980.44</v>
      </c>
      <c r="L42" s="185">
        <v>1000</v>
      </c>
      <c r="M42" s="56" t="s">
        <v>213</v>
      </c>
      <c r="N42" s="4">
        <v>713738.59</v>
      </c>
      <c r="O42" s="62"/>
      <c r="P42" s="2">
        <v>116406.79</v>
      </c>
      <c r="Q42" s="3">
        <f t="shared" si="16"/>
        <v>116406.79</v>
      </c>
      <c r="R42" s="34"/>
      <c r="S42" s="4">
        <f>J42</f>
        <v>116248.37</v>
      </c>
      <c r="T42" s="4">
        <f>J42</f>
        <v>116248.37</v>
      </c>
      <c r="U42" s="4">
        <f>J42</f>
        <v>116248.37</v>
      </c>
      <c r="V42" s="4">
        <f t="shared" si="24"/>
        <v>116248.37</v>
      </c>
      <c r="W42" s="4">
        <f t="shared" si="17"/>
        <v>116248.37</v>
      </c>
      <c r="X42" s="4">
        <f t="shared" si="18"/>
        <v>116248.37</v>
      </c>
      <c r="Y42" s="4">
        <f t="shared" si="19"/>
        <v>116248.37</v>
      </c>
      <c r="Z42" s="48">
        <f t="shared" si="20"/>
        <v>116248.37</v>
      </c>
      <c r="AA42" s="4">
        <f t="shared" si="21"/>
        <v>116248.37</v>
      </c>
      <c r="AB42" s="4">
        <f t="shared" si="22"/>
        <v>116248.37</v>
      </c>
      <c r="AC42" s="4">
        <f t="shared" si="23"/>
        <v>116248.37</v>
      </c>
      <c r="AD42" s="35">
        <f t="shared" si="14"/>
        <v>1278732.0699999998</v>
      </c>
      <c r="AE42" s="36"/>
      <c r="AG42" s="37"/>
      <c r="AH42" s="37"/>
      <c r="AI42" s="37"/>
      <c r="AJ42" s="37"/>
    </row>
    <row r="43" spans="1:36" ht="30.75" customHeight="1">
      <c r="A43" s="53" t="s">
        <v>214</v>
      </c>
      <c r="B43" s="67" t="s">
        <v>108</v>
      </c>
      <c r="C43" s="71" t="s">
        <v>215</v>
      </c>
      <c r="D43" s="57" t="s">
        <v>216</v>
      </c>
      <c r="E43" s="51">
        <v>46402</v>
      </c>
      <c r="F43" s="46" t="str">
        <f t="shared" ca="1" si="15"/>
        <v>NO PRAZO</v>
      </c>
      <c r="G43" s="46"/>
      <c r="H43" s="80" t="s">
        <v>218</v>
      </c>
      <c r="I43" s="4"/>
      <c r="J43" s="81">
        <v>1918496.1</v>
      </c>
      <c r="K43" s="4">
        <f t="shared" si="25"/>
        <v>23021953.200000003</v>
      </c>
      <c r="L43" s="185">
        <v>1000</v>
      </c>
      <c r="M43" s="56" t="s">
        <v>219</v>
      </c>
      <c r="N43" s="4">
        <v>18559366.199999999</v>
      </c>
      <c r="O43" s="78">
        <v>90683</v>
      </c>
      <c r="P43" s="82">
        <v>4557159</v>
      </c>
      <c r="Q43" s="3">
        <f>P43+O43</f>
        <v>4647842</v>
      </c>
      <c r="R43" s="34"/>
      <c r="S43" s="34"/>
      <c r="T43" s="34"/>
      <c r="U43" s="34"/>
      <c r="V43" s="4">
        <f t="shared" si="24"/>
        <v>1918496.1</v>
      </c>
      <c r="W43" s="4">
        <f t="shared" si="17"/>
        <v>1918496.1</v>
      </c>
      <c r="X43" s="4">
        <f t="shared" si="18"/>
        <v>1918496.1</v>
      </c>
      <c r="Y43" s="4">
        <f t="shared" si="19"/>
        <v>1918496.1</v>
      </c>
      <c r="Z43" s="4">
        <f t="shared" si="20"/>
        <v>1918496.1</v>
      </c>
      <c r="AA43" s="4">
        <f t="shared" si="21"/>
        <v>1918496.1</v>
      </c>
      <c r="AB43" s="4">
        <f t="shared" si="22"/>
        <v>1918496.1</v>
      </c>
      <c r="AC43" s="4">
        <f t="shared" si="23"/>
        <v>1918496.1</v>
      </c>
      <c r="AD43" s="35">
        <f t="shared" si="14"/>
        <v>15347968.799999999</v>
      </c>
      <c r="AE43" s="36"/>
      <c r="AG43" s="37"/>
      <c r="AH43" s="37"/>
      <c r="AI43" s="37"/>
      <c r="AJ43" s="37"/>
    </row>
    <row r="44" spans="1:36" ht="41.25" customHeight="1">
      <c r="A44" s="63" t="s">
        <v>220</v>
      </c>
      <c r="B44" s="67" t="s">
        <v>108</v>
      </c>
      <c r="C44" s="71" t="s">
        <v>221</v>
      </c>
      <c r="D44" s="57" t="s">
        <v>222</v>
      </c>
      <c r="E44" s="51">
        <v>46097</v>
      </c>
      <c r="F44" s="46" t="str">
        <f t="shared" ca="1" si="15"/>
        <v>EM BREVE</v>
      </c>
      <c r="G44" s="29"/>
      <c r="H44" s="59" t="s">
        <v>224</v>
      </c>
      <c r="I44" s="4"/>
      <c r="J44" s="4">
        <v>1716061.34</v>
      </c>
      <c r="K44" s="32">
        <f t="shared" si="25"/>
        <v>20592736.080000002</v>
      </c>
      <c r="L44" s="185">
        <v>1000</v>
      </c>
      <c r="M44" s="56" t="s">
        <v>225</v>
      </c>
      <c r="N44" s="32">
        <v>2942345.63</v>
      </c>
      <c r="O44" s="78"/>
      <c r="P44" s="2">
        <v>489777.05</v>
      </c>
      <c r="Q44" s="3">
        <f t="shared" ref="Q44:Q59" si="26">SUM(O44:P44)</f>
        <v>489777.05</v>
      </c>
      <c r="R44" s="4">
        <f>J44-Q44</f>
        <v>1226284.29</v>
      </c>
      <c r="S44" s="4">
        <f>J44</f>
        <v>1716061.34</v>
      </c>
      <c r="T44" s="48">
        <f>J44</f>
        <v>1716061.34</v>
      </c>
      <c r="U44" s="4">
        <f>J44</f>
        <v>1716061.34</v>
      </c>
      <c r="V44" s="4">
        <f t="shared" si="24"/>
        <v>1716061.34</v>
      </c>
      <c r="W44" s="4">
        <f t="shared" si="17"/>
        <v>1716061.34</v>
      </c>
      <c r="X44" s="4">
        <f t="shared" si="18"/>
        <v>1716061.34</v>
      </c>
      <c r="Y44" s="4">
        <f t="shared" si="19"/>
        <v>1716061.34</v>
      </c>
      <c r="Z44" s="4">
        <f t="shared" si="20"/>
        <v>1716061.34</v>
      </c>
      <c r="AA44" s="4">
        <f t="shared" si="21"/>
        <v>1716061.34</v>
      </c>
      <c r="AB44" s="4">
        <f t="shared" si="22"/>
        <v>1716061.34</v>
      </c>
      <c r="AC44" s="4">
        <f t="shared" si="23"/>
        <v>1716061.34</v>
      </c>
      <c r="AD44" s="35">
        <f t="shared" si="14"/>
        <v>20102959.030000001</v>
      </c>
      <c r="AE44" s="36"/>
      <c r="AG44" s="37"/>
      <c r="AH44" s="37"/>
      <c r="AI44" s="37"/>
      <c r="AJ44" s="37"/>
    </row>
    <row r="45" spans="1:36" ht="41.25" customHeight="1">
      <c r="A45" s="53" t="s">
        <v>226</v>
      </c>
      <c r="B45" s="67" t="s">
        <v>108</v>
      </c>
      <c r="C45" s="71" t="s">
        <v>227</v>
      </c>
      <c r="D45" s="57" t="s">
        <v>228</v>
      </c>
      <c r="E45" s="51">
        <v>46628</v>
      </c>
      <c r="F45" s="46" t="str">
        <f t="shared" ca="1" si="15"/>
        <v>NO PRAZO</v>
      </c>
      <c r="G45" s="29"/>
      <c r="H45" s="59" t="s">
        <v>230</v>
      </c>
      <c r="I45" s="4"/>
      <c r="J45" s="4">
        <f>1412211.24</f>
        <v>1412211.24</v>
      </c>
      <c r="K45" s="32">
        <f t="shared" si="25"/>
        <v>16946534.879999999</v>
      </c>
      <c r="L45" s="185">
        <v>1000</v>
      </c>
      <c r="M45" s="56" t="s">
        <v>231</v>
      </c>
      <c r="N45" s="32">
        <v>16946534.879999999</v>
      </c>
      <c r="O45" s="2"/>
      <c r="P45" s="2">
        <v>14976.16</v>
      </c>
      <c r="Q45" s="3">
        <f t="shared" si="26"/>
        <v>14976.16</v>
      </c>
      <c r="R45" s="4">
        <f>J45</f>
        <v>1412211.24</v>
      </c>
      <c r="S45" s="4">
        <f>J45</f>
        <v>1412211.24</v>
      </c>
      <c r="T45" s="4">
        <f>J45</f>
        <v>1412211.24</v>
      </c>
      <c r="U45" s="4">
        <f>J45</f>
        <v>1412211.24</v>
      </c>
      <c r="V45" s="4">
        <f t="shared" si="24"/>
        <v>1412211.24</v>
      </c>
      <c r="W45" s="4">
        <f t="shared" si="17"/>
        <v>1412211.24</v>
      </c>
      <c r="X45" s="4">
        <f t="shared" si="18"/>
        <v>1412211.24</v>
      </c>
      <c r="Y45" s="4">
        <f t="shared" si="19"/>
        <v>1412211.24</v>
      </c>
      <c r="Z45" s="4">
        <f t="shared" si="20"/>
        <v>1412211.24</v>
      </c>
      <c r="AA45" s="4">
        <f t="shared" si="21"/>
        <v>1412211.24</v>
      </c>
      <c r="AB45" s="4">
        <f t="shared" si="22"/>
        <v>1412211.24</v>
      </c>
      <c r="AC45" s="4">
        <f t="shared" si="23"/>
        <v>1412211.24</v>
      </c>
      <c r="AD45" s="35">
        <f t="shared" si="14"/>
        <v>16946534.879999999</v>
      </c>
      <c r="AE45" s="36"/>
      <c r="AG45" s="37"/>
      <c r="AH45" s="37"/>
      <c r="AI45" s="37"/>
      <c r="AJ45" s="37"/>
    </row>
    <row r="46" spans="1:36" ht="27" customHeight="1">
      <c r="A46" s="53" t="s">
        <v>232</v>
      </c>
      <c r="B46" s="67" t="s">
        <v>108</v>
      </c>
      <c r="C46" s="71" t="s">
        <v>233</v>
      </c>
      <c r="D46" s="57" t="s">
        <v>228</v>
      </c>
      <c r="E46" s="51">
        <v>46166</v>
      </c>
      <c r="F46" s="46" t="str">
        <f t="shared" ca="1" si="15"/>
        <v>NO PRAZO</v>
      </c>
      <c r="G46" s="29"/>
      <c r="H46" s="59" t="s">
        <v>235</v>
      </c>
      <c r="I46" s="84"/>
      <c r="J46" s="32">
        <v>236438.33100000001</v>
      </c>
      <c r="K46" s="32">
        <f t="shared" si="25"/>
        <v>2837259.9720000001</v>
      </c>
      <c r="L46" s="185">
        <v>1000</v>
      </c>
      <c r="M46" s="56" t="s">
        <v>236</v>
      </c>
      <c r="N46" s="32">
        <v>709314.99</v>
      </c>
      <c r="O46" s="2"/>
      <c r="P46" s="2">
        <v>238414</v>
      </c>
      <c r="Q46" s="3">
        <f t="shared" si="26"/>
        <v>238414</v>
      </c>
      <c r="R46" s="34"/>
      <c r="S46" s="4">
        <f>J46</f>
        <v>236438.33100000001</v>
      </c>
      <c r="T46" s="4">
        <f>J46</f>
        <v>236438.33100000001</v>
      </c>
      <c r="U46" s="4">
        <f>J46</f>
        <v>236438.33100000001</v>
      </c>
      <c r="V46" s="48">
        <f t="shared" si="24"/>
        <v>236438.33100000001</v>
      </c>
      <c r="W46" s="4">
        <f t="shared" si="17"/>
        <v>236438.33100000001</v>
      </c>
      <c r="X46" s="4">
        <f t="shared" si="18"/>
        <v>236438.33100000001</v>
      </c>
      <c r="Y46" s="4">
        <f t="shared" si="19"/>
        <v>236438.33100000001</v>
      </c>
      <c r="Z46" s="4">
        <f t="shared" si="20"/>
        <v>236438.33100000001</v>
      </c>
      <c r="AA46" s="4">
        <f t="shared" si="21"/>
        <v>236438.33100000001</v>
      </c>
      <c r="AB46" s="4">
        <f t="shared" si="22"/>
        <v>236438.33100000001</v>
      </c>
      <c r="AC46" s="4">
        <f t="shared" si="23"/>
        <v>236438.33100000001</v>
      </c>
      <c r="AD46" s="35">
        <f t="shared" si="14"/>
        <v>2600821.6410000008</v>
      </c>
      <c r="AE46" s="36"/>
      <c r="AG46" s="37"/>
      <c r="AH46" s="37"/>
      <c r="AI46" s="37"/>
      <c r="AJ46" s="37"/>
    </row>
    <row r="47" spans="1:36">
      <c r="A47" s="63" t="s">
        <v>237</v>
      </c>
      <c r="B47" s="67" t="s">
        <v>108</v>
      </c>
      <c r="C47" s="85" t="s">
        <v>238</v>
      </c>
      <c r="D47" s="57" t="s">
        <v>239</v>
      </c>
      <c r="E47" s="51">
        <v>46221</v>
      </c>
      <c r="F47" s="46" t="str">
        <f t="shared" ca="1" si="15"/>
        <v>NO PRAZO</v>
      </c>
      <c r="G47" s="46"/>
      <c r="H47" s="59" t="s">
        <v>241</v>
      </c>
      <c r="I47" s="4"/>
      <c r="J47" s="4">
        <v>163496.79999999999</v>
      </c>
      <c r="K47" s="4">
        <f t="shared" si="25"/>
        <v>1961961.5999999999</v>
      </c>
      <c r="L47" s="185">
        <v>1000</v>
      </c>
      <c r="M47" s="56" t="s">
        <v>242</v>
      </c>
      <c r="N47" s="4">
        <v>653987.19999999995</v>
      </c>
      <c r="O47" s="2"/>
      <c r="P47" s="2">
        <v>326993.59999999998</v>
      </c>
      <c r="Q47" s="3">
        <f t="shared" si="26"/>
        <v>326993.59999999998</v>
      </c>
      <c r="R47" s="34"/>
      <c r="S47" s="34"/>
      <c r="T47" s="4">
        <f>J47</f>
        <v>163496.79999999999</v>
      </c>
      <c r="U47" s="4">
        <f>J47</f>
        <v>163496.79999999999</v>
      </c>
      <c r="V47" s="4">
        <f t="shared" si="24"/>
        <v>163496.79999999999</v>
      </c>
      <c r="W47" s="4">
        <f t="shared" si="17"/>
        <v>163496.79999999999</v>
      </c>
      <c r="X47" s="48">
        <f t="shared" si="18"/>
        <v>163496.79999999999</v>
      </c>
      <c r="Y47" s="4">
        <f t="shared" si="19"/>
        <v>163496.79999999999</v>
      </c>
      <c r="Z47" s="4">
        <f t="shared" si="20"/>
        <v>163496.79999999999</v>
      </c>
      <c r="AA47" s="4">
        <f t="shared" si="21"/>
        <v>163496.79999999999</v>
      </c>
      <c r="AB47" s="4">
        <f t="shared" si="22"/>
        <v>163496.79999999999</v>
      </c>
      <c r="AC47" s="4">
        <f t="shared" si="23"/>
        <v>163496.79999999999</v>
      </c>
      <c r="AD47" s="35">
        <f t="shared" si="14"/>
        <v>1634968.0000000002</v>
      </c>
      <c r="AE47" s="36"/>
      <c r="AG47" s="37"/>
      <c r="AH47" s="37"/>
      <c r="AI47" s="37"/>
      <c r="AJ47" s="37"/>
    </row>
    <row r="48" spans="1:36" ht="76.5" customHeight="1">
      <c r="A48" s="86" t="s">
        <v>243</v>
      </c>
      <c r="B48" s="67" t="s">
        <v>108</v>
      </c>
      <c r="C48" s="71" t="s">
        <v>244</v>
      </c>
      <c r="D48" s="57" t="s">
        <v>245</v>
      </c>
      <c r="E48" s="51">
        <v>46114</v>
      </c>
      <c r="F48" s="46" t="str">
        <f t="shared" ca="1" si="15"/>
        <v>EM BREVE</v>
      </c>
      <c r="G48" s="29"/>
      <c r="H48" s="59" t="s">
        <v>247</v>
      </c>
      <c r="I48" s="4">
        <v>1600000</v>
      </c>
      <c r="J48" s="32"/>
      <c r="K48" s="32">
        <f>I48*12</f>
        <v>19200000</v>
      </c>
      <c r="L48" s="185">
        <v>1000</v>
      </c>
      <c r="M48" s="185"/>
      <c r="N48" s="32"/>
      <c r="O48" s="2"/>
      <c r="P48" s="2">
        <v>80074.91</v>
      </c>
      <c r="Q48" s="3">
        <f t="shared" si="26"/>
        <v>80074.91</v>
      </c>
      <c r="R48" s="4">
        <f>I48-Q48</f>
        <v>1519925.09</v>
      </c>
      <c r="S48" s="4">
        <f>I48</f>
        <v>1600000</v>
      </c>
      <c r="T48" s="4">
        <f>I48</f>
        <v>1600000</v>
      </c>
      <c r="U48" s="48">
        <f>I48</f>
        <v>1600000</v>
      </c>
      <c r="V48" s="4">
        <f>I48</f>
        <v>1600000</v>
      </c>
      <c r="W48" s="4">
        <f>I48</f>
        <v>1600000</v>
      </c>
      <c r="X48" s="4">
        <f>I48</f>
        <v>1600000</v>
      </c>
      <c r="Y48" s="4">
        <f>I48</f>
        <v>1600000</v>
      </c>
      <c r="Z48" s="4">
        <f>I48</f>
        <v>1600000</v>
      </c>
      <c r="AA48" s="4">
        <f>I48</f>
        <v>1600000</v>
      </c>
      <c r="AB48" s="4">
        <f>I48</f>
        <v>1600000</v>
      </c>
      <c r="AC48" s="4">
        <f>I48</f>
        <v>1600000</v>
      </c>
      <c r="AD48" s="35">
        <f t="shared" si="14"/>
        <v>19119925.09</v>
      </c>
      <c r="AE48" s="36"/>
      <c r="AG48" s="37"/>
      <c r="AH48" s="37"/>
      <c r="AI48" s="37"/>
      <c r="AJ48" s="37"/>
    </row>
    <row r="49" spans="1:36" ht="76.5" customHeight="1">
      <c r="A49" s="53" t="s">
        <v>248</v>
      </c>
      <c r="B49" s="67" t="s">
        <v>108</v>
      </c>
      <c r="C49" s="71" t="s">
        <v>249</v>
      </c>
      <c r="D49" s="57" t="s">
        <v>245</v>
      </c>
      <c r="E49" s="51">
        <v>46387</v>
      </c>
      <c r="F49" s="46" t="str">
        <f t="shared" ca="1" si="15"/>
        <v>NO PRAZO</v>
      </c>
      <c r="G49" s="29"/>
      <c r="H49" s="29" t="s">
        <v>251</v>
      </c>
      <c r="I49" s="4">
        <f>K49/12</f>
        <v>1924342.125</v>
      </c>
      <c r="J49" s="32"/>
      <c r="K49" s="32">
        <f>8383552.34+14708553.16</f>
        <v>23092105.5</v>
      </c>
      <c r="L49" s="185">
        <v>1000</v>
      </c>
      <c r="M49" s="185"/>
      <c r="N49" s="32"/>
      <c r="O49" s="4"/>
      <c r="P49" s="2">
        <v>10033.64</v>
      </c>
      <c r="Q49" s="3">
        <f t="shared" si="26"/>
        <v>10033.64</v>
      </c>
      <c r="R49" s="4">
        <f>I49</f>
        <v>1924342.125</v>
      </c>
      <c r="S49" s="4">
        <f>I49</f>
        <v>1924342.125</v>
      </c>
      <c r="T49" s="4">
        <f>I49</f>
        <v>1924342.125</v>
      </c>
      <c r="U49" s="4">
        <f>I49</f>
        <v>1924342.125</v>
      </c>
      <c r="V49" s="4">
        <f>I49</f>
        <v>1924342.125</v>
      </c>
      <c r="W49" s="4">
        <f>I49</f>
        <v>1924342.125</v>
      </c>
      <c r="X49" s="4">
        <f>I49</f>
        <v>1924342.125</v>
      </c>
      <c r="Y49" s="4">
        <f>I49</f>
        <v>1924342.125</v>
      </c>
      <c r="Z49" s="4">
        <f>I49</f>
        <v>1924342.125</v>
      </c>
      <c r="AA49" s="4">
        <f>I49</f>
        <v>1924342.125</v>
      </c>
      <c r="AB49" s="4">
        <f>I49</f>
        <v>1924342.125</v>
      </c>
      <c r="AC49" s="4">
        <f>I49</f>
        <v>1924342.125</v>
      </c>
      <c r="AD49" s="35">
        <f t="shared" si="14"/>
        <v>23092105.5</v>
      </c>
      <c r="AE49" s="36"/>
      <c r="AG49" s="37"/>
      <c r="AH49" s="37"/>
      <c r="AI49" s="37"/>
      <c r="AJ49" s="37"/>
    </row>
    <row r="50" spans="1:36" ht="76.5" customHeight="1">
      <c r="A50" s="49" t="s">
        <v>252</v>
      </c>
      <c r="B50" s="67" t="s">
        <v>108</v>
      </c>
      <c r="C50" s="71" t="s">
        <v>253</v>
      </c>
      <c r="D50" s="57" t="s">
        <v>254</v>
      </c>
      <c r="E50" s="51">
        <v>46146</v>
      </c>
      <c r="F50" s="46" t="str">
        <f t="shared" ca="1" si="15"/>
        <v>NO PRAZO</v>
      </c>
      <c r="G50" s="29"/>
      <c r="H50" s="59" t="s">
        <v>256</v>
      </c>
      <c r="I50" s="4">
        <v>145000</v>
      </c>
      <c r="J50" s="32"/>
      <c r="K50" s="32">
        <f>I50*12</f>
        <v>1740000</v>
      </c>
      <c r="L50" s="185">
        <v>1000</v>
      </c>
      <c r="M50" s="185"/>
      <c r="N50" s="32"/>
      <c r="O50" s="78"/>
      <c r="P50" s="2">
        <v>0</v>
      </c>
      <c r="Q50" s="3">
        <f t="shared" si="26"/>
        <v>0</v>
      </c>
      <c r="R50" s="4">
        <f>I50</f>
        <v>145000</v>
      </c>
      <c r="S50" s="4">
        <f>I50</f>
        <v>145000</v>
      </c>
      <c r="T50" s="4">
        <f>I50</f>
        <v>145000</v>
      </c>
      <c r="U50" s="4">
        <f>I50</f>
        <v>145000</v>
      </c>
      <c r="V50" s="48">
        <f>I50</f>
        <v>145000</v>
      </c>
      <c r="W50" s="4">
        <f>I50</f>
        <v>145000</v>
      </c>
      <c r="X50" s="4">
        <f>I50</f>
        <v>145000</v>
      </c>
      <c r="Y50" s="4">
        <f>I50</f>
        <v>145000</v>
      </c>
      <c r="Z50" s="4">
        <f>I50</f>
        <v>145000</v>
      </c>
      <c r="AA50" s="4">
        <f>I50</f>
        <v>145000</v>
      </c>
      <c r="AB50" s="4">
        <f>I50</f>
        <v>145000</v>
      </c>
      <c r="AC50" s="4">
        <f>I50</f>
        <v>145000</v>
      </c>
      <c r="AD50" s="35">
        <f t="shared" si="14"/>
        <v>1740000</v>
      </c>
      <c r="AE50" s="36"/>
      <c r="AG50" s="37"/>
      <c r="AH50" s="37"/>
      <c r="AI50" s="37"/>
      <c r="AJ50" s="37"/>
    </row>
    <row r="51" spans="1:36" ht="40.5" customHeight="1">
      <c r="A51" s="63" t="s">
        <v>257</v>
      </c>
      <c r="B51" s="67" t="s">
        <v>108</v>
      </c>
      <c r="C51" s="57" t="s">
        <v>258</v>
      </c>
      <c r="D51" s="57" t="s">
        <v>259</v>
      </c>
      <c r="E51" s="51">
        <v>46097</v>
      </c>
      <c r="F51" s="46" t="str">
        <f t="shared" ca="1" si="15"/>
        <v>EM BREVE</v>
      </c>
      <c r="G51" s="29"/>
      <c r="H51" s="59" t="s">
        <v>261</v>
      </c>
      <c r="I51" s="4"/>
      <c r="J51" s="32">
        <v>484202.15</v>
      </c>
      <c r="K51" s="32">
        <f>J51*12</f>
        <v>5810425.8000000007</v>
      </c>
      <c r="L51" s="185">
        <v>1000</v>
      </c>
      <c r="M51" s="56" t="s">
        <v>262</v>
      </c>
      <c r="N51" s="32">
        <v>5810425.7999999998</v>
      </c>
      <c r="O51" s="2"/>
      <c r="P51" s="2">
        <v>485004.02</v>
      </c>
      <c r="Q51" s="3">
        <f t="shared" si="26"/>
        <v>485004.02</v>
      </c>
      <c r="R51" s="34"/>
      <c r="S51" s="4">
        <f>J51</f>
        <v>484202.15</v>
      </c>
      <c r="T51" s="48">
        <f>J51</f>
        <v>484202.15</v>
      </c>
      <c r="U51" s="4">
        <f>J51</f>
        <v>484202.15</v>
      </c>
      <c r="V51" s="4">
        <f>J51</f>
        <v>484202.15</v>
      </c>
      <c r="W51" s="4">
        <f>J51</f>
        <v>484202.15</v>
      </c>
      <c r="X51" s="4">
        <f>J51</f>
        <v>484202.15</v>
      </c>
      <c r="Y51" s="4">
        <f>J51</f>
        <v>484202.15</v>
      </c>
      <c r="Z51" s="4">
        <f>J51</f>
        <v>484202.15</v>
      </c>
      <c r="AA51" s="4">
        <f>J51</f>
        <v>484202.15</v>
      </c>
      <c r="AB51" s="4">
        <f>J51</f>
        <v>484202.15</v>
      </c>
      <c r="AC51" s="4">
        <f>J51</f>
        <v>484202.15</v>
      </c>
      <c r="AD51" s="4">
        <f>K51</f>
        <v>5810425.8000000007</v>
      </c>
      <c r="AE51" s="36"/>
      <c r="AG51" s="37"/>
      <c r="AH51" s="37"/>
      <c r="AI51" s="37"/>
      <c r="AJ51" s="37"/>
    </row>
    <row r="52" spans="1:36" ht="24.75" customHeight="1">
      <c r="A52" s="63" t="s">
        <v>263</v>
      </c>
      <c r="B52" s="63" t="s">
        <v>108</v>
      </c>
      <c r="C52" s="29" t="s">
        <v>264</v>
      </c>
      <c r="D52" s="29" t="s">
        <v>265</v>
      </c>
      <c r="E52" s="51">
        <v>46266</v>
      </c>
      <c r="F52" s="46" t="str">
        <f t="shared" ca="1" si="15"/>
        <v>NO PRAZO</v>
      </c>
      <c r="G52" s="29"/>
      <c r="H52" s="73" t="s">
        <v>267</v>
      </c>
      <c r="I52" s="4">
        <v>100</v>
      </c>
      <c r="J52" s="4"/>
      <c r="K52" s="4">
        <f>I52*12</f>
        <v>1200</v>
      </c>
      <c r="L52" s="185">
        <v>1000</v>
      </c>
      <c r="M52" s="56"/>
      <c r="N52" s="4"/>
      <c r="O52" s="78"/>
      <c r="P52" s="2">
        <v>0</v>
      </c>
      <c r="Q52" s="3">
        <f t="shared" si="26"/>
        <v>0</v>
      </c>
      <c r="R52" s="4">
        <f>I52</f>
        <v>100</v>
      </c>
      <c r="S52" s="4">
        <f>I52</f>
        <v>100</v>
      </c>
      <c r="T52" s="4">
        <f>I52</f>
        <v>100</v>
      </c>
      <c r="U52" s="4">
        <f>I52</f>
        <v>100</v>
      </c>
      <c r="V52" s="4">
        <f>I52</f>
        <v>100</v>
      </c>
      <c r="W52" s="4">
        <f>I52</f>
        <v>100</v>
      </c>
      <c r="X52" s="4">
        <f>I52</f>
        <v>100</v>
      </c>
      <c r="Y52" s="4">
        <f>I52</f>
        <v>100</v>
      </c>
      <c r="Z52" s="48">
        <f>I52</f>
        <v>100</v>
      </c>
      <c r="AA52" s="4">
        <f>I52</f>
        <v>100</v>
      </c>
      <c r="AB52" s="4">
        <f>I52</f>
        <v>100</v>
      </c>
      <c r="AC52" s="4">
        <f>I52</f>
        <v>100</v>
      </c>
      <c r="AD52" s="35">
        <f t="shared" ref="AD52:AD67" si="27">SUM(R52:AC52)</f>
        <v>1200</v>
      </c>
      <c r="AE52" s="36"/>
      <c r="AG52" s="37"/>
      <c r="AH52" s="37"/>
      <c r="AI52" s="37"/>
      <c r="AJ52" s="37"/>
    </row>
    <row r="53" spans="1:36" ht="30">
      <c r="A53" s="63" t="s">
        <v>268</v>
      </c>
      <c r="B53" s="63" t="s">
        <v>108</v>
      </c>
      <c r="C53" s="29" t="s">
        <v>269</v>
      </c>
      <c r="D53" s="29" t="s">
        <v>270</v>
      </c>
      <c r="E53" s="51">
        <v>46266</v>
      </c>
      <c r="F53" s="46" t="str">
        <f t="shared" ca="1" si="15"/>
        <v>NO PRAZO</v>
      </c>
      <c r="G53" s="29"/>
      <c r="H53" s="73" t="s">
        <v>271</v>
      </c>
      <c r="I53" s="4">
        <v>15000</v>
      </c>
      <c r="J53" s="4"/>
      <c r="K53" s="4">
        <f>I53*12</f>
        <v>180000</v>
      </c>
      <c r="L53" s="185">
        <v>1000</v>
      </c>
      <c r="M53" s="56"/>
      <c r="N53" s="4"/>
      <c r="O53" s="78"/>
      <c r="P53" s="2">
        <v>31000</v>
      </c>
      <c r="Q53" s="3">
        <f t="shared" si="26"/>
        <v>31000</v>
      </c>
      <c r="R53" s="34"/>
      <c r="S53" s="34"/>
      <c r="T53" s="4">
        <f>I53</f>
        <v>15000</v>
      </c>
      <c r="U53" s="4">
        <f>I53</f>
        <v>15000</v>
      </c>
      <c r="V53" s="4">
        <f>I53</f>
        <v>15000</v>
      </c>
      <c r="W53" s="4">
        <f>I53</f>
        <v>15000</v>
      </c>
      <c r="X53" s="4">
        <f>I53</f>
        <v>15000</v>
      </c>
      <c r="Y53" s="4">
        <f>I53</f>
        <v>15000</v>
      </c>
      <c r="Z53" s="48">
        <f>I53</f>
        <v>15000</v>
      </c>
      <c r="AA53" s="4">
        <f>I53</f>
        <v>15000</v>
      </c>
      <c r="AB53" s="4">
        <f>I53</f>
        <v>15000</v>
      </c>
      <c r="AC53" s="4">
        <f>I53</f>
        <v>15000</v>
      </c>
      <c r="AD53" s="35">
        <f t="shared" si="27"/>
        <v>150000</v>
      </c>
      <c r="AE53" s="36"/>
      <c r="AG53" s="37"/>
      <c r="AH53" s="37"/>
      <c r="AI53" s="37"/>
      <c r="AJ53" s="37"/>
    </row>
    <row r="54" spans="1:36" ht="41.25" customHeight="1">
      <c r="A54" s="63" t="s">
        <v>272</v>
      </c>
      <c r="B54" s="87" t="s">
        <v>46</v>
      </c>
      <c r="C54" s="57" t="s">
        <v>273</v>
      </c>
      <c r="D54" s="57" t="s">
        <v>274</v>
      </c>
      <c r="E54" s="51">
        <v>46254</v>
      </c>
      <c r="F54" s="46" t="str">
        <f t="shared" ca="1" si="15"/>
        <v>NO PRAZO</v>
      </c>
      <c r="G54" s="29"/>
      <c r="H54" s="59" t="s">
        <v>276</v>
      </c>
      <c r="I54" s="4"/>
      <c r="J54" s="4">
        <v>5954.2</v>
      </c>
      <c r="K54" s="4">
        <v>63975.839999999997</v>
      </c>
      <c r="L54" s="185">
        <v>1000</v>
      </c>
      <c r="M54" s="56"/>
      <c r="N54" s="4"/>
      <c r="O54" s="2">
        <v>33674.58</v>
      </c>
      <c r="P54" s="2">
        <v>8004.67</v>
      </c>
      <c r="Q54" s="3">
        <f t="shared" si="26"/>
        <v>41679.25</v>
      </c>
      <c r="R54" s="34"/>
      <c r="S54" s="34"/>
      <c r="T54" s="34"/>
      <c r="U54" s="34"/>
      <c r="V54" s="34"/>
      <c r="W54" s="34"/>
      <c r="X54" s="34"/>
      <c r="Y54" s="48">
        <f>J54</f>
        <v>5954.2</v>
      </c>
      <c r="Z54" s="4">
        <f>J54</f>
        <v>5954.2</v>
      </c>
      <c r="AA54" s="4">
        <f>J54</f>
        <v>5954.2</v>
      </c>
      <c r="AB54" s="4">
        <f>J54</f>
        <v>5954.2</v>
      </c>
      <c r="AC54" s="4">
        <f>J54</f>
        <v>5954.2</v>
      </c>
      <c r="AD54" s="35">
        <f t="shared" si="27"/>
        <v>29771</v>
      </c>
      <c r="AE54" s="36"/>
      <c r="AG54" s="37"/>
      <c r="AH54" s="37"/>
      <c r="AI54" s="37"/>
      <c r="AJ54" s="37"/>
    </row>
    <row r="55" spans="1:36" ht="38.25" customHeight="1">
      <c r="A55" s="69" t="s">
        <v>277</v>
      </c>
      <c r="B55" s="87" t="s">
        <v>46</v>
      </c>
      <c r="C55" s="71" t="s">
        <v>278</v>
      </c>
      <c r="D55" s="57" t="s">
        <v>279</v>
      </c>
      <c r="E55" s="51">
        <v>46303</v>
      </c>
      <c r="F55" s="46" t="str">
        <f t="shared" ca="1" si="15"/>
        <v>NO PRAZO</v>
      </c>
      <c r="G55" s="29"/>
      <c r="H55" s="59" t="s">
        <v>281</v>
      </c>
      <c r="I55" s="4"/>
      <c r="J55" s="4">
        <v>23452.22</v>
      </c>
      <c r="K55" s="4">
        <f>J55*12</f>
        <v>281426.64</v>
      </c>
      <c r="L55" s="185">
        <v>1000</v>
      </c>
      <c r="M55" s="56"/>
      <c r="N55" s="4"/>
      <c r="O55" s="88">
        <v>211069.98</v>
      </c>
      <c r="P55" s="2">
        <v>16310.18</v>
      </c>
      <c r="Q55" s="3">
        <f t="shared" si="26"/>
        <v>227380.16</v>
      </c>
      <c r="R55" s="34"/>
      <c r="S55" s="34"/>
      <c r="T55" s="34"/>
      <c r="U55" s="34"/>
      <c r="V55" s="34"/>
      <c r="W55" s="34"/>
      <c r="X55" s="34"/>
      <c r="Y55" s="34"/>
      <c r="Z55" s="34"/>
      <c r="AA55" s="48">
        <f>J55</f>
        <v>23452.22</v>
      </c>
      <c r="AB55" s="4">
        <f>J55</f>
        <v>23452.22</v>
      </c>
      <c r="AC55" s="4">
        <f>J55</f>
        <v>23452.22</v>
      </c>
      <c r="AD55" s="35">
        <f t="shared" si="27"/>
        <v>70356.66</v>
      </c>
      <c r="AE55" s="36"/>
      <c r="AG55" s="37"/>
      <c r="AH55" s="37"/>
      <c r="AI55" s="37"/>
      <c r="AJ55" s="37"/>
    </row>
    <row r="56" spans="1:36" ht="41.25" customHeight="1">
      <c r="A56" s="63" t="s">
        <v>282</v>
      </c>
      <c r="B56" s="87" t="s">
        <v>46</v>
      </c>
      <c r="C56" s="57" t="s">
        <v>283</v>
      </c>
      <c r="D56" s="57" t="s">
        <v>284</v>
      </c>
      <c r="E56" s="51">
        <v>46309</v>
      </c>
      <c r="F56" s="46" t="str">
        <f t="shared" ca="1" si="15"/>
        <v>NO PRAZO</v>
      </c>
      <c r="G56" s="29"/>
      <c r="H56" s="59" t="s">
        <v>286</v>
      </c>
      <c r="I56" s="4">
        <f>K56/12</f>
        <v>4106.25</v>
      </c>
      <c r="J56" s="32"/>
      <c r="K56" s="32">
        <v>49275</v>
      </c>
      <c r="L56" s="185">
        <v>1000</v>
      </c>
      <c r="M56" s="185"/>
      <c r="N56" s="32"/>
      <c r="O56" s="88">
        <v>36456.25</v>
      </c>
      <c r="P56" s="2">
        <v>500</v>
      </c>
      <c r="Q56" s="3">
        <f t="shared" si="26"/>
        <v>36956.25</v>
      </c>
      <c r="R56" s="34"/>
      <c r="S56" s="34"/>
      <c r="T56" s="34"/>
      <c r="U56" s="34"/>
      <c r="V56" s="34"/>
      <c r="W56" s="34"/>
      <c r="X56" s="34"/>
      <c r="Y56" s="34"/>
      <c r="Z56" s="34"/>
      <c r="AA56" s="48">
        <f>I56</f>
        <v>4106.25</v>
      </c>
      <c r="AB56" s="4">
        <f>I56</f>
        <v>4106.25</v>
      </c>
      <c r="AC56" s="4">
        <f>I56</f>
        <v>4106.25</v>
      </c>
      <c r="AD56" s="35">
        <f t="shared" si="27"/>
        <v>12318.75</v>
      </c>
      <c r="AE56" s="36"/>
      <c r="AG56" s="37"/>
      <c r="AH56" s="37"/>
      <c r="AI56" s="37"/>
      <c r="AJ56" s="37"/>
    </row>
    <row r="57" spans="1:36" ht="60">
      <c r="A57" s="63" t="s">
        <v>287</v>
      </c>
      <c r="B57" s="87" t="s">
        <v>46</v>
      </c>
      <c r="C57" s="57" t="s">
        <v>288</v>
      </c>
      <c r="D57" s="57" t="s">
        <v>289</v>
      </c>
      <c r="E57" s="51">
        <v>46068</v>
      </c>
      <c r="F57" s="46" t="str">
        <f t="shared" ca="1" si="15"/>
        <v>EM BREVE</v>
      </c>
      <c r="G57" s="70" t="s">
        <v>291</v>
      </c>
      <c r="H57" s="59" t="s">
        <v>292</v>
      </c>
      <c r="I57" s="4"/>
      <c r="J57" s="32">
        <f>K57/12</f>
        <v>4290.91</v>
      </c>
      <c r="K57" s="32">
        <v>51490.92</v>
      </c>
      <c r="L57" s="185">
        <v>1000</v>
      </c>
      <c r="M57" s="185"/>
      <c r="N57" s="32"/>
      <c r="O57" s="89"/>
      <c r="P57" s="2">
        <v>30036.37</v>
      </c>
      <c r="Q57" s="3">
        <f t="shared" si="26"/>
        <v>30036.37</v>
      </c>
      <c r="R57" s="34"/>
      <c r="S57" s="48"/>
      <c r="T57" s="34"/>
      <c r="U57" s="34"/>
      <c r="V57" s="34"/>
      <c r="W57" s="34"/>
      <c r="X57" s="34"/>
      <c r="Y57" s="4">
        <f>J57</f>
        <v>4290.91</v>
      </c>
      <c r="Z57" s="4">
        <f>J57</f>
        <v>4290.91</v>
      </c>
      <c r="AA57" s="4">
        <f>J57</f>
        <v>4290.91</v>
      </c>
      <c r="AB57" s="4">
        <f>J57</f>
        <v>4290.91</v>
      </c>
      <c r="AC57" s="4">
        <f>J57</f>
        <v>4290.91</v>
      </c>
      <c r="AD57" s="35">
        <f t="shared" si="27"/>
        <v>21454.55</v>
      </c>
      <c r="AE57" s="36"/>
      <c r="AG57" s="37"/>
      <c r="AH57" s="37"/>
      <c r="AI57" s="37"/>
      <c r="AJ57" s="37"/>
    </row>
    <row r="58" spans="1:36" ht="27" customHeight="1">
      <c r="A58" s="90" t="s">
        <v>293</v>
      </c>
      <c r="B58" s="91" t="s">
        <v>294</v>
      </c>
      <c r="C58" s="92" t="s">
        <v>295</v>
      </c>
      <c r="D58" s="92" t="s">
        <v>296</v>
      </c>
      <c r="E58" s="51">
        <v>46434</v>
      </c>
      <c r="F58" s="46" t="str">
        <f t="shared" ca="1" si="15"/>
        <v>NO PRAZO</v>
      </c>
      <c r="G58" s="46"/>
      <c r="H58" s="93" t="s">
        <v>298</v>
      </c>
      <c r="I58" s="4"/>
      <c r="J58" s="4">
        <v>382896.8</v>
      </c>
      <c r="K58" s="4">
        <f>J58*12</f>
        <v>4594761.5999999996</v>
      </c>
      <c r="L58" s="56">
        <v>1050</v>
      </c>
      <c r="M58" s="56" t="s">
        <v>299</v>
      </c>
      <c r="N58" s="4">
        <v>4211864.8</v>
      </c>
      <c r="O58" s="2"/>
      <c r="P58" s="2">
        <v>385326.21</v>
      </c>
      <c r="Q58" s="3">
        <f t="shared" si="26"/>
        <v>385326.21</v>
      </c>
      <c r="R58" s="34"/>
      <c r="S58" s="4">
        <f>J58</f>
        <v>382896.8</v>
      </c>
      <c r="T58" s="4">
        <f>J58</f>
        <v>382896.8</v>
      </c>
      <c r="U58" s="4">
        <f>J58</f>
        <v>382896.8</v>
      </c>
      <c r="V58" s="4">
        <f>J58</f>
        <v>382896.8</v>
      </c>
      <c r="W58" s="4">
        <f>J58</f>
        <v>382896.8</v>
      </c>
      <c r="X58" s="4">
        <f>J58</f>
        <v>382896.8</v>
      </c>
      <c r="Y58" s="4">
        <f>J58</f>
        <v>382896.8</v>
      </c>
      <c r="Z58" s="4">
        <f>J58</f>
        <v>382896.8</v>
      </c>
      <c r="AA58" s="4">
        <f>J58</f>
        <v>382896.8</v>
      </c>
      <c r="AB58" s="4">
        <f>J58</f>
        <v>382896.8</v>
      </c>
      <c r="AC58" s="4">
        <f>J58</f>
        <v>382896.8</v>
      </c>
      <c r="AD58" s="35">
        <f t="shared" si="27"/>
        <v>4211864.7999999989</v>
      </c>
      <c r="AE58" s="36"/>
      <c r="AG58" s="37"/>
      <c r="AH58" s="37"/>
      <c r="AI58" s="37"/>
      <c r="AJ58" s="37"/>
    </row>
    <row r="59" spans="1:36" ht="14.25" customHeight="1">
      <c r="A59" s="90" t="s">
        <v>300</v>
      </c>
      <c r="B59" s="91" t="s">
        <v>294</v>
      </c>
      <c r="C59" s="92" t="s">
        <v>301</v>
      </c>
      <c r="D59" s="92" t="s">
        <v>302</v>
      </c>
      <c r="E59" s="51">
        <v>46462</v>
      </c>
      <c r="F59" s="46" t="str">
        <f t="shared" ca="1" si="15"/>
        <v>NO PRAZO</v>
      </c>
      <c r="G59" s="46"/>
      <c r="H59" s="93" t="s">
        <v>304</v>
      </c>
      <c r="I59" s="4"/>
      <c r="J59" s="4">
        <v>193823.77</v>
      </c>
      <c r="K59" s="4">
        <f>J59*12</f>
        <v>2325885.2399999998</v>
      </c>
      <c r="L59" s="56">
        <v>1050</v>
      </c>
      <c r="M59" s="56" t="s">
        <v>305</v>
      </c>
      <c r="N59" s="4">
        <v>2150358.63</v>
      </c>
      <c r="O59" s="2"/>
      <c r="P59" s="2">
        <v>175526.61</v>
      </c>
      <c r="Q59" s="3">
        <f t="shared" si="26"/>
        <v>175526.61</v>
      </c>
      <c r="R59" s="4">
        <f>J59-Q59</f>
        <v>18297.160000000003</v>
      </c>
      <c r="S59" s="4">
        <f>J59</f>
        <v>193823.77</v>
      </c>
      <c r="T59" s="4">
        <f>J59</f>
        <v>193823.77</v>
      </c>
      <c r="U59" s="4">
        <f>J59</f>
        <v>193823.77</v>
      </c>
      <c r="V59" s="4">
        <f>J59</f>
        <v>193823.77</v>
      </c>
      <c r="W59" s="4">
        <f>J59</f>
        <v>193823.77</v>
      </c>
      <c r="X59" s="4">
        <f>J59</f>
        <v>193823.77</v>
      </c>
      <c r="Y59" s="4">
        <f>J59</f>
        <v>193823.77</v>
      </c>
      <c r="Z59" s="4">
        <f>J59</f>
        <v>193823.77</v>
      </c>
      <c r="AA59" s="4">
        <f>J59</f>
        <v>193823.77</v>
      </c>
      <c r="AB59" s="4">
        <f>J59</f>
        <v>193823.77</v>
      </c>
      <c r="AC59" s="4">
        <f>J59</f>
        <v>193823.77</v>
      </c>
      <c r="AD59" s="35">
        <f t="shared" si="27"/>
        <v>2150358.63</v>
      </c>
      <c r="AE59" s="36"/>
      <c r="AG59" s="37"/>
      <c r="AH59" s="37"/>
      <c r="AI59" s="37"/>
      <c r="AJ59" s="37"/>
    </row>
    <row r="60" spans="1:36" ht="66" customHeight="1">
      <c r="A60" s="94" t="s">
        <v>306</v>
      </c>
      <c r="B60" s="91" t="s">
        <v>294</v>
      </c>
      <c r="C60" s="92" t="s">
        <v>307</v>
      </c>
      <c r="D60" s="92" t="s">
        <v>308</v>
      </c>
      <c r="E60" s="51">
        <v>46125</v>
      </c>
      <c r="F60" s="46" t="str">
        <f t="shared" ca="1" si="15"/>
        <v>NO PRAZO</v>
      </c>
      <c r="G60" s="180"/>
      <c r="H60" s="50" t="s">
        <v>310</v>
      </c>
      <c r="I60" s="198">
        <v>309551</v>
      </c>
      <c r="J60" s="95"/>
      <c r="K60" s="4">
        <v>6773741.9900000002</v>
      </c>
      <c r="L60" s="56">
        <v>1050</v>
      </c>
      <c r="M60" s="56"/>
      <c r="N60" s="4"/>
      <c r="O60" s="89"/>
      <c r="P60" s="2">
        <v>33412.82</v>
      </c>
      <c r="Q60" s="199">
        <f>SUM(O60:P61)</f>
        <v>33412.82</v>
      </c>
      <c r="R60" s="48">
        <f>I60-Q60</f>
        <v>276138.18</v>
      </c>
      <c r="S60" s="4">
        <f>I60</f>
        <v>309551</v>
      </c>
      <c r="T60" s="4">
        <f>I60</f>
        <v>309551</v>
      </c>
      <c r="U60" s="4">
        <f>I60</f>
        <v>309551</v>
      </c>
      <c r="V60" s="4">
        <f>I60</f>
        <v>309551</v>
      </c>
      <c r="W60" s="4">
        <f>I60</f>
        <v>309551</v>
      </c>
      <c r="X60" s="4">
        <f>I60</f>
        <v>309551</v>
      </c>
      <c r="Y60" s="4">
        <f>I60</f>
        <v>309551</v>
      </c>
      <c r="Z60" s="4">
        <f>I60</f>
        <v>309551</v>
      </c>
      <c r="AA60" s="4">
        <f>I60</f>
        <v>309551</v>
      </c>
      <c r="AB60" s="4">
        <f>I60</f>
        <v>309551</v>
      </c>
      <c r="AC60" s="4">
        <f>I60</f>
        <v>309551</v>
      </c>
      <c r="AD60" s="35">
        <f t="shared" si="27"/>
        <v>3681199.1799999997</v>
      </c>
      <c r="AE60" s="36"/>
      <c r="AF60" s="200"/>
      <c r="AG60" s="201"/>
      <c r="AH60" s="96"/>
      <c r="AI60" s="37"/>
      <c r="AJ60" s="37"/>
    </row>
    <row r="61" spans="1:36" ht="41.25" customHeight="1">
      <c r="A61" s="94" t="s">
        <v>311</v>
      </c>
      <c r="B61" s="91" t="s">
        <v>294</v>
      </c>
      <c r="C61" s="92" t="s">
        <v>307</v>
      </c>
      <c r="D61" s="92" t="s">
        <v>308</v>
      </c>
      <c r="E61" s="51">
        <v>46079</v>
      </c>
      <c r="F61" s="46" t="str">
        <f t="shared" ca="1" si="15"/>
        <v>EM BREVE</v>
      </c>
      <c r="G61" s="29"/>
      <c r="H61" s="50" t="s">
        <v>313</v>
      </c>
      <c r="I61" s="198"/>
      <c r="J61" s="95"/>
      <c r="K61" s="4">
        <v>5164500</v>
      </c>
      <c r="L61" s="56">
        <v>1050</v>
      </c>
      <c r="M61" s="56"/>
      <c r="N61" s="4"/>
      <c r="O61" s="2"/>
      <c r="P61" s="2"/>
      <c r="Q61" s="199"/>
      <c r="R61" s="4">
        <f>J61</f>
        <v>0</v>
      </c>
      <c r="S61" s="48">
        <f>J61</f>
        <v>0</v>
      </c>
      <c r="T61" s="4">
        <f>J61</f>
        <v>0</v>
      </c>
      <c r="U61" s="4">
        <f>J61</f>
        <v>0</v>
      </c>
      <c r="V61" s="4">
        <f>J61</f>
        <v>0</v>
      </c>
      <c r="W61" s="4">
        <f>J61</f>
        <v>0</v>
      </c>
      <c r="X61" s="4">
        <f>J61</f>
        <v>0</v>
      </c>
      <c r="Y61" s="4">
        <f>J61</f>
        <v>0</v>
      </c>
      <c r="Z61" s="4">
        <f>J61</f>
        <v>0</v>
      </c>
      <c r="AA61" s="4">
        <f>J61</f>
        <v>0</v>
      </c>
      <c r="AB61" s="4">
        <f>J61</f>
        <v>0</v>
      </c>
      <c r="AC61" s="4">
        <f>J61</f>
        <v>0</v>
      </c>
      <c r="AD61" s="35">
        <f t="shared" si="27"/>
        <v>0</v>
      </c>
      <c r="AE61" s="36"/>
      <c r="AF61" s="200"/>
      <c r="AG61" s="201"/>
      <c r="AH61" s="37"/>
      <c r="AI61" s="37"/>
      <c r="AJ61" s="37"/>
    </row>
    <row r="62" spans="1:36" ht="82.5" customHeight="1">
      <c r="A62" s="97" t="s">
        <v>314</v>
      </c>
      <c r="B62" s="98" t="s">
        <v>294</v>
      </c>
      <c r="C62" s="99" t="s">
        <v>315</v>
      </c>
      <c r="D62" s="100" t="s">
        <v>316</v>
      </c>
      <c r="E62" s="51">
        <v>46340</v>
      </c>
      <c r="F62" s="46" t="str">
        <f t="shared" ca="1" si="15"/>
        <v>NO PRAZO</v>
      </c>
      <c r="G62" s="29"/>
      <c r="H62" s="59" t="s">
        <v>318</v>
      </c>
      <c r="I62" s="4">
        <f>K62/12</f>
        <v>7018</v>
      </c>
      <c r="J62" s="32"/>
      <c r="K62" s="32">
        <v>84216</v>
      </c>
      <c r="L62" s="56">
        <v>1050</v>
      </c>
      <c r="M62" s="185"/>
      <c r="N62" s="32"/>
      <c r="O62" s="68"/>
      <c r="P62" s="39">
        <v>69750</v>
      </c>
      <c r="Q62" s="3">
        <f t="shared" ref="Q62:Q67" si="28">SUM(O62:P62)</f>
        <v>69750</v>
      </c>
      <c r="R62" s="34"/>
      <c r="S62" s="34"/>
      <c r="T62" s="34"/>
      <c r="U62" s="34"/>
      <c r="V62" s="34"/>
      <c r="W62" s="34"/>
      <c r="X62" s="34"/>
      <c r="Y62" s="34"/>
      <c r="Z62" s="34"/>
      <c r="AA62" s="4">
        <f>I62*10-Q62</f>
        <v>430</v>
      </c>
      <c r="AB62" s="48">
        <f>I62</f>
        <v>7018</v>
      </c>
      <c r="AC62" s="4">
        <f>I62</f>
        <v>7018</v>
      </c>
      <c r="AD62" s="35">
        <f t="shared" si="27"/>
        <v>14466</v>
      </c>
      <c r="AE62" s="36"/>
      <c r="AG62" s="37"/>
      <c r="AH62" s="37"/>
      <c r="AI62" s="37"/>
      <c r="AJ62" s="37"/>
    </row>
    <row r="63" spans="1:36" ht="41.25" customHeight="1">
      <c r="A63" s="101" t="s">
        <v>319</v>
      </c>
      <c r="B63" s="91" t="s">
        <v>294</v>
      </c>
      <c r="C63" s="92" t="s">
        <v>320</v>
      </c>
      <c r="D63" s="92" t="s">
        <v>321</v>
      </c>
      <c r="E63" s="51">
        <v>46331</v>
      </c>
      <c r="F63" s="46" t="str">
        <f t="shared" ca="1" si="15"/>
        <v>NO PRAZO</v>
      </c>
      <c r="G63" s="29"/>
      <c r="H63" s="102" t="s">
        <v>323</v>
      </c>
      <c r="I63" s="4">
        <f>K63/12</f>
        <v>1241.6666666666667</v>
      </c>
      <c r="J63" s="4"/>
      <c r="K63" s="4">
        <v>14900</v>
      </c>
      <c r="L63" s="56">
        <v>1050</v>
      </c>
      <c r="M63" s="56"/>
      <c r="N63" s="4"/>
      <c r="O63" s="78"/>
      <c r="P63" s="2">
        <v>3725</v>
      </c>
      <c r="Q63" s="3">
        <f t="shared" si="28"/>
        <v>3725</v>
      </c>
      <c r="R63" s="34"/>
      <c r="S63" s="34"/>
      <c r="T63" s="34"/>
      <c r="U63" s="4">
        <f>I63</f>
        <v>1241.6666666666667</v>
      </c>
      <c r="V63" s="4">
        <f>I63</f>
        <v>1241.6666666666667</v>
      </c>
      <c r="W63" s="4">
        <f>I63</f>
        <v>1241.6666666666667</v>
      </c>
      <c r="X63" s="4">
        <f>I63</f>
        <v>1241.6666666666667</v>
      </c>
      <c r="Y63" s="4">
        <f>I63</f>
        <v>1241.6666666666667</v>
      </c>
      <c r="Z63" s="4">
        <f>I63</f>
        <v>1241.6666666666667</v>
      </c>
      <c r="AA63" s="4">
        <f>I63</f>
        <v>1241.6666666666667</v>
      </c>
      <c r="AB63" s="48">
        <f>I63</f>
        <v>1241.6666666666667</v>
      </c>
      <c r="AC63" s="4">
        <f>I63</f>
        <v>1241.6666666666667</v>
      </c>
      <c r="AD63" s="35">
        <f t="shared" si="27"/>
        <v>11175</v>
      </c>
      <c r="AE63" s="36"/>
      <c r="AG63" s="37"/>
      <c r="AH63" s="37"/>
      <c r="AI63" s="37"/>
      <c r="AJ63" s="37"/>
    </row>
    <row r="64" spans="1:36" ht="35.25" customHeight="1">
      <c r="A64" s="101" t="s">
        <v>324</v>
      </c>
      <c r="B64" s="91" t="s">
        <v>294</v>
      </c>
      <c r="C64" s="92" t="s">
        <v>325</v>
      </c>
      <c r="D64" s="92" t="s">
        <v>326</v>
      </c>
      <c r="E64" s="51">
        <v>46327</v>
      </c>
      <c r="F64" s="46" t="str">
        <f t="shared" ca="1" si="15"/>
        <v>NO PRAZO</v>
      </c>
      <c r="G64" s="46"/>
      <c r="H64" s="102" t="s">
        <v>328</v>
      </c>
      <c r="I64" s="4">
        <f>K64/12</f>
        <v>832.5</v>
      </c>
      <c r="J64" s="4"/>
      <c r="K64" s="4">
        <v>9990</v>
      </c>
      <c r="L64" s="56">
        <v>1050</v>
      </c>
      <c r="M64" s="56"/>
      <c r="N64" s="4"/>
      <c r="O64" s="78"/>
      <c r="P64" s="2">
        <v>1638</v>
      </c>
      <c r="Q64" s="3">
        <f t="shared" si="28"/>
        <v>1638</v>
      </c>
      <c r="R64" s="34"/>
      <c r="S64" s="4">
        <f>I64*2-Q64</f>
        <v>27</v>
      </c>
      <c r="T64" s="4">
        <f>I64</f>
        <v>832.5</v>
      </c>
      <c r="U64" s="4">
        <f>I64</f>
        <v>832.5</v>
      </c>
      <c r="V64" s="4">
        <f>I64</f>
        <v>832.5</v>
      </c>
      <c r="W64" s="4">
        <f>I64</f>
        <v>832.5</v>
      </c>
      <c r="X64" s="4">
        <f>I64</f>
        <v>832.5</v>
      </c>
      <c r="Y64" s="4">
        <f>I64</f>
        <v>832.5</v>
      </c>
      <c r="Z64" s="4">
        <f>I64</f>
        <v>832.5</v>
      </c>
      <c r="AA64" s="4">
        <f>I64</f>
        <v>832.5</v>
      </c>
      <c r="AB64" s="48">
        <f>I64</f>
        <v>832.5</v>
      </c>
      <c r="AC64" s="4">
        <f>I64</f>
        <v>832.5</v>
      </c>
      <c r="AD64" s="35">
        <f t="shared" si="27"/>
        <v>8352</v>
      </c>
      <c r="AE64" s="36"/>
      <c r="AG64" s="37"/>
      <c r="AH64" s="37"/>
      <c r="AI64" s="37"/>
      <c r="AJ64" s="37"/>
    </row>
    <row r="65" spans="1:36" ht="27" customHeight="1">
      <c r="A65" s="90" t="s">
        <v>329</v>
      </c>
      <c r="B65" s="91" t="s">
        <v>294</v>
      </c>
      <c r="C65" s="92" t="s">
        <v>330</v>
      </c>
      <c r="D65" s="92" t="s">
        <v>331</v>
      </c>
      <c r="E65" s="51">
        <v>45920</v>
      </c>
      <c r="F65" s="46" t="str">
        <f t="shared" ca="1" si="15"/>
        <v>EXPIRADO</v>
      </c>
      <c r="G65" s="70" t="s">
        <v>105</v>
      </c>
      <c r="H65" s="59" t="s">
        <v>333</v>
      </c>
      <c r="I65" s="4"/>
      <c r="J65" s="4">
        <f>K65/12</f>
        <v>39124.22</v>
      </c>
      <c r="K65" s="4">
        <v>469490.64</v>
      </c>
      <c r="L65" s="56">
        <v>1050</v>
      </c>
      <c r="M65" s="56"/>
      <c r="N65" s="4"/>
      <c r="O65" s="89"/>
      <c r="P65" s="2">
        <v>11583.35</v>
      </c>
      <c r="Q65" s="3">
        <f t="shared" si="28"/>
        <v>11583.35</v>
      </c>
      <c r="R65" s="4">
        <f>J65-Q65</f>
        <v>27540.870000000003</v>
      </c>
      <c r="S65" s="4">
        <f>J65</f>
        <v>39124.22</v>
      </c>
      <c r="T65" s="4">
        <f>J65</f>
        <v>39124.22</v>
      </c>
      <c r="U65" s="4">
        <f>J65</f>
        <v>39124.22</v>
      </c>
      <c r="V65" s="4">
        <f>J65</f>
        <v>39124.22</v>
      </c>
      <c r="W65" s="4">
        <f>J65</f>
        <v>39124.22</v>
      </c>
      <c r="X65" s="4">
        <f>J65</f>
        <v>39124.22</v>
      </c>
      <c r="Y65" s="4">
        <f>J65</f>
        <v>39124.22</v>
      </c>
      <c r="Z65" s="4">
        <f>J65</f>
        <v>39124.22</v>
      </c>
      <c r="AA65" s="4">
        <f>J65</f>
        <v>39124.22</v>
      </c>
      <c r="AB65" s="4">
        <f>J65</f>
        <v>39124.22</v>
      </c>
      <c r="AC65" s="4">
        <f>J65</f>
        <v>39124.22</v>
      </c>
      <c r="AD65" s="35">
        <f t="shared" si="27"/>
        <v>457907.28999999992</v>
      </c>
      <c r="AE65" s="36"/>
      <c r="AG65" s="37"/>
      <c r="AH65" s="37"/>
      <c r="AI65" s="37"/>
      <c r="AJ65" s="37"/>
    </row>
    <row r="66" spans="1:36" ht="22.5" customHeight="1">
      <c r="A66" s="103" t="s">
        <v>334</v>
      </c>
      <c r="B66" s="63" t="s">
        <v>294</v>
      </c>
      <c r="C66" s="29" t="s">
        <v>330</v>
      </c>
      <c r="D66" s="29" t="s">
        <v>335</v>
      </c>
      <c r="E66" s="51">
        <v>47436</v>
      </c>
      <c r="F66" s="46" t="str">
        <f t="shared" ca="1" si="15"/>
        <v>NO PRAZO</v>
      </c>
      <c r="G66" s="29"/>
      <c r="H66" s="46" t="s">
        <v>337</v>
      </c>
      <c r="I66" s="4">
        <f>K66/12</f>
        <v>339678</v>
      </c>
      <c r="J66" s="4"/>
      <c r="K66" s="2">
        <f>20380680/5</f>
        <v>4076136</v>
      </c>
      <c r="L66" s="56">
        <v>1050</v>
      </c>
      <c r="M66" s="186"/>
      <c r="N66" s="2"/>
      <c r="O66" s="2"/>
      <c r="P66" s="2">
        <v>3089763</v>
      </c>
      <c r="Q66" s="3">
        <f t="shared" si="28"/>
        <v>3089763</v>
      </c>
      <c r="R66" s="34"/>
      <c r="S66" s="34"/>
      <c r="T66" s="34"/>
      <c r="U66" s="34"/>
      <c r="V66" s="34"/>
      <c r="W66" s="34"/>
      <c r="X66" s="34"/>
      <c r="Y66" s="34"/>
      <c r="Z66" s="4">
        <f>I66*9-Q66</f>
        <v>-32661</v>
      </c>
      <c r="AA66" s="4">
        <f>I66</f>
        <v>339678</v>
      </c>
      <c r="AB66" s="4">
        <f>I66</f>
        <v>339678</v>
      </c>
      <c r="AC66" s="4">
        <f>I66</f>
        <v>339678</v>
      </c>
      <c r="AD66" s="35">
        <f t="shared" si="27"/>
        <v>986373</v>
      </c>
      <c r="AE66" s="36"/>
      <c r="AG66" s="37"/>
      <c r="AH66" s="37"/>
      <c r="AI66" s="37"/>
      <c r="AJ66" s="37"/>
    </row>
    <row r="67" spans="1:36" ht="30">
      <c r="A67" s="101" t="s">
        <v>338</v>
      </c>
      <c r="B67" s="91" t="s">
        <v>294</v>
      </c>
      <c r="C67" s="92" t="s">
        <v>339</v>
      </c>
      <c r="D67" s="92" t="s">
        <v>340</v>
      </c>
      <c r="E67" s="29"/>
      <c r="F67" s="46"/>
      <c r="G67" s="46"/>
      <c r="H67" s="29"/>
      <c r="I67" s="4">
        <v>40000</v>
      </c>
      <c r="J67" s="4"/>
      <c r="K67" s="4">
        <f>I67*12</f>
        <v>480000</v>
      </c>
      <c r="L67" s="56">
        <v>1050</v>
      </c>
      <c r="M67" s="56" t="s">
        <v>341</v>
      </c>
      <c r="N67" s="4">
        <v>468161.73</v>
      </c>
      <c r="O67" s="33"/>
      <c r="P67" s="33">
        <v>11838.27</v>
      </c>
      <c r="Q67" s="3">
        <f t="shared" si="28"/>
        <v>11838.27</v>
      </c>
      <c r="R67" s="4">
        <f>I67-Q67</f>
        <v>28161.73</v>
      </c>
      <c r="S67" s="4">
        <f>I67</f>
        <v>40000</v>
      </c>
      <c r="T67" s="4">
        <f>I67</f>
        <v>40000</v>
      </c>
      <c r="U67" s="4">
        <f>I67</f>
        <v>40000</v>
      </c>
      <c r="V67" s="4">
        <f>I67</f>
        <v>40000</v>
      </c>
      <c r="W67" s="4">
        <f>I67</f>
        <v>40000</v>
      </c>
      <c r="X67" s="4">
        <f>I67</f>
        <v>40000</v>
      </c>
      <c r="Y67" s="4">
        <f>I67</f>
        <v>40000</v>
      </c>
      <c r="Z67" s="4">
        <f>I67</f>
        <v>40000</v>
      </c>
      <c r="AA67" s="4">
        <f>I67</f>
        <v>40000</v>
      </c>
      <c r="AB67" s="4">
        <f>I67</f>
        <v>40000</v>
      </c>
      <c r="AC67" s="4">
        <f>I67</f>
        <v>40000</v>
      </c>
      <c r="AD67" s="35">
        <f t="shared" si="27"/>
        <v>468161.73</v>
      </c>
      <c r="AE67" s="36"/>
      <c r="AG67" s="37"/>
      <c r="AH67" s="37"/>
      <c r="AI67" s="37"/>
      <c r="AJ67" s="37"/>
    </row>
    <row r="68" spans="1:36">
      <c r="A68" s="28" t="s">
        <v>38</v>
      </c>
      <c r="B68" s="91" t="s">
        <v>294</v>
      </c>
      <c r="C68" s="29" t="s">
        <v>39</v>
      </c>
      <c r="D68" s="92"/>
      <c r="E68" s="29"/>
      <c r="F68" s="46"/>
      <c r="G68" s="46"/>
      <c r="H68" s="29"/>
      <c r="I68" s="4"/>
      <c r="J68" s="4"/>
      <c r="K68" s="4"/>
      <c r="L68" s="56"/>
      <c r="M68" s="56"/>
      <c r="N68" s="4"/>
      <c r="O68" s="33"/>
      <c r="P68" s="3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35"/>
      <c r="AE68" s="36"/>
      <c r="AG68" s="37"/>
      <c r="AH68" s="37"/>
      <c r="AI68" s="37"/>
      <c r="AJ68" s="37"/>
    </row>
    <row r="69" spans="1:36" ht="14.25" customHeight="1">
      <c r="A69" s="101" t="s">
        <v>342</v>
      </c>
      <c r="B69" s="91" t="s">
        <v>294</v>
      </c>
      <c r="C69" s="92" t="s">
        <v>343</v>
      </c>
      <c r="D69" s="92" t="s">
        <v>344</v>
      </c>
      <c r="E69" s="29"/>
      <c r="F69" s="46"/>
      <c r="G69" s="46"/>
      <c r="H69" s="29"/>
      <c r="I69" s="4">
        <v>136350</v>
      </c>
      <c r="J69" s="4"/>
      <c r="K69" s="4">
        <f>I69*12</f>
        <v>1636200</v>
      </c>
      <c r="L69" s="56">
        <v>1050</v>
      </c>
      <c r="M69" s="56" t="s">
        <v>345</v>
      </c>
      <c r="N69" s="4">
        <v>1626686.32</v>
      </c>
      <c r="O69" s="2"/>
      <c r="P69" s="2">
        <v>9513.68</v>
      </c>
      <c r="Q69" s="3">
        <f t="shared" ref="Q69:Q80" si="29">SUM(O69:P69)</f>
        <v>9513.68</v>
      </c>
      <c r="R69" s="4">
        <f>I69-Q69</f>
        <v>126836.32</v>
      </c>
      <c r="S69" s="4">
        <f>I69</f>
        <v>136350</v>
      </c>
      <c r="T69" s="4">
        <f t="shared" ref="T69:T78" si="30">I69</f>
        <v>136350</v>
      </c>
      <c r="U69" s="4">
        <f t="shared" ref="U69:U78" si="31">I69</f>
        <v>136350</v>
      </c>
      <c r="V69" s="4">
        <f t="shared" ref="V69:V78" si="32">I69</f>
        <v>136350</v>
      </c>
      <c r="W69" s="4">
        <f t="shared" ref="W69:W78" si="33">I69</f>
        <v>136350</v>
      </c>
      <c r="X69" s="4">
        <f t="shared" ref="X69:X78" si="34">I69</f>
        <v>136350</v>
      </c>
      <c r="Y69" s="4">
        <f t="shared" ref="Y69:Y78" si="35">I69</f>
        <v>136350</v>
      </c>
      <c r="Z69" s="4">
        <f t="shared" ref="Z69:Z78" si="36">I69</f>
        <v>136350</v>
      </c>
      <c r="AA69" s="4">
        <f t="shared" ref="AA69:AA78" si="37">I69</f>
        <v>136350</v>
      </c>
      <c r="AB69" s="4">
        <f t="shared" ref="AB69:AB80" si="38">I69</f>
        <v>136350</v>
      </c>
      <c r="AC69" s="4">
        <f t="shared" ref="AC69:AC80" si="39">I69</f>
        <v>136350</v>
      </c>
      <c r="AD69" s="35">
        <f t="shared" ref="AD69:AD80" si="40">SUM(R69:AC69)</f>
        <v>1626686.32</v>
      </c>
      <c r="AE69" s="36"/>
      <c r="AG69" s="37"/>
      <c r="AH69" s="37"/>
      <c r="AI69" s="37"/>
      <c r="AJ69" s="37"/>
    </row>
    <row r="70" spans="1:36" ht="14.25" customHeight="1">
      <c r="A70" s="101" t="s">
        <v>346</v>
      </c>
      <c r="B70" s="91" t="s">
        <v>294</v>
      </c>
      <c r="C70" s="92" t="s">
        <v>347</v>
      </c>
      <c r="D70" s="92"/>
      <c r="E70" s="29"/>
      <c r="F70" s="46"/>
      <c r="G70" s="46"/>
      <c r="H70" s="29"/>
      <c r="I70" s="4">
        <v>245000</v>
      </c>
      <c r="J70" s="4"/>
      <c r="K70" s="4">
        <f>I70*12</f>
        <v>2940000</v>
      </c>
      <c r="L70" s="56">
        <v>1050</v>
      </c>
      <c r="M70" s="56" t="s">
        <v>349</v>
      </c>
      <c r="N70" s="4">
        <v>2673965.34</v>
      </c>
      <c r="O70" s="2"/>
      <c r="P70" s="2">
        <v>21882.91</v>
      </c>
      <c r="Q70" s="3">
        <f t="shared" si="29"/>
        <v>21882.91</v>
      </c>
      <c r="R70" s="34"/>
      <c r="S70" s="4">
        <f>I70*2-Q70</f>
        <v>468117.09</v>
      </c>
      <c r="T70" s="4">
        <f t="shared" si="30"/>
        <v>245000</v>
      </c>
      <c r="U70" s="4">
        <f t="shared" si="31"/>
        <v>245000</v>
      </c>
      <c r="V70" s="4">
        <f t="shared" si="32"/>
        <v>245000</v>
      </c>
      <c r="W70" s="4">
        <f t="shared" si="33"/>
        <v>245000</v>
      </c>
      <c r="X70" s="4">
        <f t="shared" si="34"/>
        <v>245000</v>
      </c>
      <c r="Y70" s="4">
        <f t="shared" si="35"/>
        <v>245000</v>
      </c>
      <c r="Z70" s="4">
        <f t="shared" si="36"/>
        <v>245000</v>
      </c>
      <c r="AA70" s="4">
        <f t="shared" si="37"/>
        <v>245000</v>
      </c>
      <c r="AB70" s="4">
        <f t="shared" si="38"/>
        <v>245000</v>
      </c>
      <c r="AC70" s="4">
        <f t="shared" si="39"/>
        <v>245000</v>
      </c>
      <c r="AD70" s="35">
        <f t="shared" si="40"/>
        <v>2918117.09</v>
      </c>
      <c r="AE70" s="36"/>
      <c r="AG70" s="37"/>
      <c r="AH70" s="37"/>
      <c r="AI70" s="37"/>
      <c r="AJ70" s="37"/>
    </row>
    <row r="71" spans="1:36" ht="27" customHeight="1">
      <c r="A71" s="63" t="s">
        <v>350</v>
      </c>
      <c r="B71" s="63" t="s">
        <v>351</v>
      </c>
      <c r="C71" s="38" t="s">
        <v>352</v>
      </c>
      <c r="D71" s="38" t="s">
        <v>353</v>
      </c>
      <c r="E71" s="104">
        <v>46274</v>
      </c>
      <c r="F71" s="46" t="str">
        <f ca="1">IF((E71-TODAY())&lt;0,"EXPIRADO", IF((E71-TODAY())&lt;=60,"EM BREVE","NO PRAZO"))</f>
        <v>NO PRAZO</v>
      </c>
      <c r="G71" s="29"/>
      <c r="H71" s="61" t="s">
        <v>355</v>
      </c>
      <c r="I71" s="4">
        <f>K71/12</f>
        <v>1500933.5674999999</v>
      </c>
      <c r="J71" s="105"/>
      <c r="K71" s="4">
        <v>18011202.809999999</v>
      </c>
      <c r="L71" s="56">
        <v>1000</v>
      </c>
      <c r="M71" s="56" t="s">
        <v>356</v>
      </c>
      <c r="N71" s="4">
        <v>11420396.140000001</v>
      </c>
      <c r="O71" s="2"/>
      <c r="P71" s="2">
        <v>584108</v>
      </c>
      <c r="Q71" s="3">
        <f t="shared" si="29"/>
        <v>584108</v>
      </c>
      <c r="R71" s="4">
        <f>I71-Q71</f>
        <v>916825.56749999989</v>
      </c>
      <c r="S71" s="4">
        <f t="shared" ref="S71:S78" si="41">I71</f>
        <v>1500933.5674999999</v>
      </c>
      <c r="T71" s="4">
        <f t="shared" si="30"/>
        <v>1500933.5674999999</v>
      </c>
      <c r="U71" s="4">
        <f t="shared" si="31"/>
        <v>1500933.5674999999</v>
      </c>
      <c r="V71" s="4">
        <f t="shared" si="32"/>
        <v>1500933.5674999999</v>
      </c>
      <c r="W71" s="4">
        <f t="shared" si="33"/>
        <v>1500933.5674999999</v>
      </c>
      <c r="X71" s="4">
        <f t="shared" si="34"/>
        <v>1500933.5674999999</v>
      </c>
      <c r="Y71" s="4">
        <f t="shared" si="35"/>
        <v>1500933.5674999999</v>
      </c>
      <c r="Z71" s="48">
        <f t="shared" si="36"/>
        <v>1500933.5674999999</v>
      </c>
      <c r="AA71" s="4">
        <f t="shared" si="37"/>
        <v>1500933.5674999999</v>
      </c>
      <c r="AB71" s="4">
        <f t="shared" si="38"/>
        <v>1500933.5674999999</v>
      </c>
      <c r="AC71" s="4">
        <f t="shared" si="39"/>
        <v>1500933.5674999999</v>
      </c>
      <c r="AD71" s="35">
        <f t="shared" si="40"/>
        <v>17427094.809999995</v>
      </c>
      <c r="AE71" s="36"/>
      <c r="AG71" s="37"/>
      <c r="AH71" s="37"/>
      <c r="AI71" s="37"/>
      <c r="AJ71" s="37"/>
    </row>
    <row r="72" spans="1:36" ht="27" customHeight="1">
      <c r="A72" s="106" t="s">
        <v>357</v>
      </c>
      <c r="B72" s="63" t="s">
        <v>358</v>
      </c>
      <c r="C72" s="29" t="s">
        <v>359</v>
      </c>
      <c r="D72" s="29"/>
      <c r="E72" s="45"/>
      <c r="F72" s="46"/>
      <c r="G72" s="46"/>
      <c r="H72" s="29"/>
      <c r="I72" s="4"/>
      <c r="J72" s="4"/>
      <c r="K72" s="4"/>
      <c r="L72" s="56">
        <v>1000</v>
      </c>
      <c r="M72" s="56"/>
      <c r="N72" s="4"/>
      <c r="O72" s="2"/>
      <c r="P72" s="2"/>
      <c r="Q72" s="3">
        <f t="shared" si="29"/>
        <v>0</v>
      </c>
      <c r="R72" s="4">
        <f t="shared" ref="R72:R77" si="42">I72</f>
        <v>0</v>
      </c>
      <c r="S72" s="4">
        <f t="shared" si="41"/>
        <v>0</v>
      </c>
      <c r="T72" s="4">
        <f t="shared" si="30"/>
        <v>0</v>
      </c>
      <c r="U72" s="4">
        <f t="shared" si="31"/>
        <v>0</v>
      </c>
      <c r="V72" s="4">
        <f t="shared" si="32"/>
        <v>0</v>
      </c>
      <c r="W72" s="4">
        <f t="shared" si="33"/>
        <v>0</v>
      </c>
      <c r="X72" s="4">
        <f t="shared" si="34"/>
        <v>0</v>
      </c>
      <c r="Y72" s="4">
        <f t="shared" si="35"/>
        <v>0</v>
      </c>
      <c r="Z72" s="4">
        <f t="shared" si="36"/>
        <v>0</v>
      </c>
      <c r="AA72" s="4">
        <f t="shared" si="37"/>
        <v>0</v>
      </c>
      <c r="AB72" s="4">
        <f t="shared" si="38"/>
        <v>0</v>
      </c>
      <c r="AC72" s="4">
        <f t="shared" si="39"/>
        <v>0</v>
      </c>
      <c r="AD72" s="35">
        <f t="shared" si="40"/>
        <v>0</v>
      </c>
      <c r="AE72" s="36"/>
      <c r="AG72" s="37"/>
      <c r="AH72" s="37"/>
      <c r="AI72" s="37"/>
      <c r="AJ72" s="37"/>
    </row>
    <row r="73" spans="1:36" ht="52.5" customHeight="1">
      <c r="A73" s="67" t="s">
        <v>360</v>
      </c>
      <c r="B73" s="63" t="s">
        <v>358</v>
      </c>
      <c r="C73" s="29" t="s">
        <v>361</v>
      </c>
      <c r="D73" s="29"/>
      <c r="E73" s="29"/>
      <c r="F73" s="46"/>
      <c r="G73" s="46"/>
      <c r="H73" s="29"/>
      <c r="I73" s="4">
        <v>73000</v>
      </c>
      <c r="J73" s="4"/>
      <c r="K73" s="4">
        <f>11086.47+11086.47+11086.47+11086.47+8622.81+8622.81+3695.49+3695.49+2463.66</f>
        <v>71446.14</v>
      </c>
      <c r="L73" s="56">
        <v>1000</v>
      </c>
      <c r="M73" s="56"/>
      <c r="N73" s="4"/>
      <c r="O73" s="2"/>
      <c r="P73" s="2"/>
      <c r="Q73" s="3">
        <f t="shared" si="29"/>
        <v>0</v>
      </c>
      <c r="R73" s="4">
        <f t="shared" si="42"/>
        <v>73000</v>
      </c>
      <c r="S73" s="4">
        <f t="shared" si="41"/>
        <v>73000</v>
      </c>
      <c r="T73" s="4">
        <f t="shared" si="30"/>
        <v>73000</v>
      </c>
      <c r="U73" s="4">
        <f t="shared" si="31"/>
        <v>73000</v>
      </c>
      <c r="V73" s="4">
        <f t="shared" si="32"/>
        <v>73000</v>
      </c>
      <c r="W73" s="4">
        <f t="shared" si="33"/>
        <v>73000</v>
      </c>
      <c r="X73" s="4">
        <f t="shared" si="34"/>
        <v>73000</v>
      </c>
      <c r="Y73" s="4">
        <f t="shared" si="35"/>
        <v>73000</v>
      </c>
      <c r="Z73" s="4">
        <f t="shared" si="36"/>
        <v>73000</v>
      </c>
      <c r="AA73" s="4">
        <f t="shared" si="37"/>
        <v>73000</v>
      </c>
      <c r="AB73" s="4">
        <f t="shared" si="38"/>
        <v>73000</v>
      </c>
      <c r="AC73" s="4">
        <f t="shared" si="39"/>
        <v>73000</v>
      </c>
      <c r="AD73" s="35">
        <f t="shared" si="40"/>
        <v>876000</v>
      </c>
      <c r="AE73" s="36"/>
      <c r="AG73" s="37"/>
      <c r="AH73" s="37"/>
      <c r="AI73" s="37"/>
      <c r="AJ73" s="37"/>
    </row>
    <row r="74" spans="1:36" ht="148.25" customHeight="1">
      <c r="A74" s="107" t="s">
        <v>363</v>
      </c>
      <c r="B74" s="63" t="s">
        <v>358</v>
      </c>
      <c r="C74" s="29" t="s">
        <v>364</v>
      </c>
      <c r="D74" s="29"/>
      <c r="E74" s="29" t="s">
        <v>366</v>
      </c>
      <c r="F74" s="46"/>
      <c r="G74" s="46"/>
      <c r="H74" s="108"/>
      <c r="I74" s="105">
        <v>285000</v>
      </c>
      <c r="J74" s="4"/>
      <c r="K74" s="4">
        <f t="shared" ref="K74:K80" si="43">I74*12</f>
        <v>3420000</v>
      </c>
      <c r="L74" s="56">
        <v>1000</v>
      </c>
      <c r="M74" s="56"/>
      <c r="N74" s="4"/>
      <c r="O74" s="2"/>
      <c r="P74" s="2">
        <v>188010</v>
      </c>
      <c r="Q74" s="3">
        <f t="shared" si="29"/>
        <v>188010</v>
      </c>
      <c r="R74" s="4">
        <f t="shared" si="42"/>
        <v>285000</v>
      </c>
      <c r="S74" s="4">
        <f t="shared" si="41"/>
        <v>285000</v>
      </c>
      <c r="T74" s="4">
        <f t="shared" si="30"/>
        <v>285000</v>
      </c>
      <c r="U74" s="4">
        <f t="shared" si="31"/>
        <v>285000</v>
      </c>
      <c r="V74" s="4">
        <f t="shared" si="32"/>
        <v>285000</v>
      </c>
      <c r="W74" s="4">
        <f t="shared" si="33"/>
        <v>285000</v>
      </c>
      <c r="X74" s="4">
        <f t="shared" si="34"/>
        <v>285000</v>
      </c>
      <c r="Y74" s="4">
        <f t="shared" si="35"/>
        <v>285000</v>
      </c>
      <c r="Z74" s="4">
        <f t="shared" si="36"/>
        <v>285000</v>
      </c>
      <c r="AA74" s="4">
        <f t="shared" si="37"/>
        <v>285000</v>
      </c>
      <c r="AB74" s="4">
        <f t="shared" si="38"/>
        <v>285000</v>
      </c>
      <c r="AC74" s="4">
        <f t="shared" si="39"/>
        <v>285000</v>
      </c>
      <c r="AD74" s="35">
        <f t="shared" si="40"/>
        <v>3420000</v>
      </c>
      <c r="AE74" s="36"/>
      <c r="AG74" s="37"/>
      <c r="AH74" s="37"/>
      <c r="AI74" s="37"/>
      <c r="AJ74" s="37"/>
    </row>
    <row r="75" spans="1:36" ht="187" customHeight="1">
      <c r="A75" s="109" t="s">
        <v>367</v>
      </c>
      <c r="B75" s="63" t="s">
        <v>358</v>
      </c>
      <c r="C75" s="29" t="s">
        <v>368</v>
      </c>
      <c r="D75" s="29"/>
      <c r="E75" s="29" t="s">
        <v>370</v>
      </c>
      <c r="F75" s="46"/>
      <c r="G75" s="46"/>
      <c r="H75" s="108"/>
      <c r="I75" s="105">
        <v>28500</v>
      </c>
      <c r="J75" s="4"/>
      <c r="K75" s="4">
        <f t="shared" si="43"/>
        <v>342000</v>
      </c>
      <c r="L75" s="56">
        <v>1000</v>
      </c>
      <c r="M75" s="56"/>
      <c r="N75" s="4"/>
      <c r="O75" s="2"/>
      <c r="P75" s="2">
        <v>0</v>
      </c>
      <c r="Q75" s="3">
        <f t="shared" si="29"/>
        <v>0</v>
      </c>
      <c r="R75" s="4">
        <f t="shared" si="42"/>
        <v>28500</v>
      </c>
      <c r="S75" s="4">
        <f t="shared" si="41"/>
        <v>28500</v>
      </c>
      <c r="T75" s="4">
        <f t="shared" si="30"/>
        <v>28500</v>
      </c>
      <c r="U75" s="4">
        <f t="shared" si="31"/>
        <v>28500</v>
      </c>
      <c r="V75" s="4">
        <f t="shared" si="32"/>
        <v>28500</v>
      </c>
      <c r="W75" s="4">
        <f t="shared" si="33"/>
        <v>28500</v>
      </c>
      <c r="X75" s="4">
        <f t="shared" si="34"/>
        <v>28500</v>
      </c>
      <c r="Y75" s="4">
        <f t="shared" si="35"/>
        <v>28500</v>
      </c>
      <c r="Z75" s="4">
        <f t="shared" si="36"/>
        <v>28500</v>
      </c>
      <c r="AA75" s="4">
        <f t="shared" si="37"/>
        <v>28500</v>
      </c>
      <c r="AB75" s="4">
        <f t="shared" si="38"/>
        <v>28500</v>
      </c>
      <c r="AC75" s="4">
        <f t="shared" si="39"/>
        <v>28500</v>
      </c>
      <c r="AD75" s="35">
        <f t="shared" si="40"/>
        <v>342000</v>
      </c>
      <c r="AE75" s="36"/>
      <c r="AG75" s="37"/>
      <c r="AH75" s="37"/>
      <c r="AI75" s="37"/>
      <c r="AJ75" s="37"/>
    </row>
    <row r="76" spans="1:36" ht="153.5" customHeight="1">
      <c r="A76" s="109" t="s">
        <v>371</v>
      </c>
      <c r="B76" s="63" t="s">
        <v>358</v>
      </c>
      <c r="C76" s="29" t="s">
        <v>372</v>
      </c>
      <c r="D76" s="29"/>
      <c r="E76" s="29" t="s">
        <v>374</v>
      </c>
      <c r="F76" s="46"/>
      <c r="G76" s="46"/>
      <c r="H76" s="108"/>
      <c r="I76" s="105">
        <v>22500</v>
      </c>
      <c r="J76" s="4"/>
      <c r="K76" s="4">
        <f t="shared" si="43"/>
        <v>270000</v>
      </c>
      <c r="L76" s="56">
        <v>1000</v>
      </c>
      <c r="M76" s="56"/>
      <c r="N76" s="4"/>
      <c r="O76" s="2"/>
      <c r="P76" s="2">
        <v>0</v>
      </c>
      <c r="Q76" s="3">
        <f t="shared" si="29"/>
        <v>0</v>
      </c>
      <c r="R76" s="4">
        <f t="shared" si="42"/>
        <v>22500</v>
      </c>
      <c r="S76" s="4">
        <f t="shared" si="41"/>
        <v>22500</v>
      </c>
      <c r="T76" s="4">
        <f t="shared" si="30"/>
        <v>22500</v>
      </c>
      <c r="U76" s="4">
        <f t="shared" si="31"/>
        <v>22500</v>
      </c>
      <c r="V76" s="4">
        <f t="shared" si="32"/>
        <v>22500</v>
      </c>
      <c r="W76" s="4">
        <f t="shared" si="33"/>
        <v>22500</v>
      </c>
      <c r="X76" s="4">
        <f t="shared" si="34"/>
        <v>22500</v>
      </c>
      <c r="Y76" s="4">
        <f t="shared" si="35"/>
        <v>22500</v>
      </c>
      <c r="Z76" s="4">
        <f t="shared" si="36"/>
        <v>22500</v>
      </c>
      <c r="AA76" s="4">
        <f t="shared" si="37"/>
        <v>22500</v>
      </c>
      <c r="AB76" s="4">
        <f t="shared" si="38"/>
        <v>22500</v>
      </c>
      <c r="AC76" s="4">
        <f t="shared" si="39"/>
        <v>22500</v>
      </c>
      <c r="AD76" s="35">
        <f t="shared" si="40"/>
        <v>270000</v>
      </c>
      <c r="AE76" s="36"/>
      <c r="AG76" s="37"/>
      <c r="AH76" s="37"/>
      <c r="AI76" s="37"/>
      <c r="AJ76" s="37"/>
    </row>
    <row r="77" spans="1:36" ht="27" customHeight="1">
      <c r="A77" s="63" t="s">
        <v>375</v>
      </c>
      <c r="B77" s="63" t="s">
        <v>358</v>
      </c>
      <c r="C77" s="111" t="s">
        <v>376</v>
      </c>
      <c r="D77" s="112"/>
      <c r="E77" s="29"/>
      <c r="F77" s="46"/>
      <c r="G77" s="46"/>
      <c r="H77" s="29"/>
      <c r="I77" s="4">
        <v>20000</v>
      </c>
      <c r="J77" s="4"/>
      <c r="K77" s="4">
        <f t="shared" si="43"/>
        <v>240000</v>
      </c>
      <c r="L77" s="56">
        <v>1000</v>
      </c>
      <c r="M77" s="56"/>
      <c r="N77" s="4"/>
      <c r="O77" s="2"/>
      <c r="P77" s="2">
        <v>0</v>
      </c>
      <c r="Q77" s="3">
        <f t="shared" si="29"/>
        <v>0</v>
      </c>
      <c r="R77" s="4">
        <f t="shared" si="42"/>
        <v>20000</v>
      </c>
      <c r="S77" s="4">
        <f t="shared" si="41"/>
        <v>20000</v>
      </c>
      <c r="T77" s="4">
        <f t="shared" si="30"/>
        <v>20000</v>
      </c>
      <c r="U77" s="4">
        <f t="shared" si="31"/>
        <v>20000</v>
      </c>
      <c r="V77" s="4">
        <f t="shared" si="32"/>
        <v>20000</v>
      </c>
      <c r="W77" s="4">
        <f t="shared" si="33"/>
        <v>20000</v>
      </c>
      <c r="X77" s="4">
        <f t="shared" si="34"/>
        <v>20000</v>
      </c>
      <c r="Y77" s="4">
        <f t="shared" si="35"/>
        <v>20000</v>
      </c>
      <c r="Z77" s="4">
        <f t="shared" si="36"/>
        <v>20000</v>
      </c>
      <c r="AA77" s="4">
        <f t="shared" si="37"/>
        <v>20000</v>
      </c>
      <c r="AB77" s="4">
        <f t="shared" si="38"/>
        <v>20000</v>
      </c>
      <c r="AC77" s="4">
        <f t="shared" si="39"/>
        <v>20000</v>
      </c>
      <c r="AD77" s="35">
        <f t="shared" si="40"/>
        <v>240000</v>
      </c>
      <c r="AE77" s="36"/>
      <c r="AG77" s="37"/>
      <c r="AH77" s="37"/>
      <c r="AI77" s="37"/>
      <c r="AJ77" s="37"/>
    </row>
    <row r="78" spans="1:36" ht="14.25" customHeight="1">
      <c r="A78" s="113" t="s">
        <v>377</v>
      </c>
      <c r="B78" s="63" t="s">
        <v>378</v>
      </c>
      <c r="C78" s="38" t="s">
        <v>379</v>
      </c>
      <c r="D78" s="38"/>
      <c r="E78" s="59"/>
      <c r="F78" s="46"/>
      <c r="G78" s="46"/>
      <c r="H78" s="61"/>
      <c r="I78" s="4">
        <v>70000</v>
      </c>
      <c r="J78" s="4"/>
      <c r="K78" s="4">
        <f t="shared" si="43"/>
        <v>840000</v>
      </c>
      <c r="L78" s="56">
        <v>1000</v>
      </c>
      <c r="M78" s="56"/>
      <c r="N78" s="4"/>
      <c r="O78" s="78"/>
      <c r="P78" s="2">
        <v>65812.92</v>
      </c>
      <c r="Q78" s="3">
        <f t="shared" si="29"/>
        <v>65812.92</v>
      </c>
      <c r="R78" s="4">
        <f>I78-Q78</f>
        <v>4187.0800000000017</v>
      </c>
      <c r="S78" s="4">
        <f t="shared" si="41"/>
        <v>70000</v>
      </c>
      <c r="T78" s="4">
        <f t="shared" si="30"/>
        <v>70000</v>
      </c>
      <c r="U78" s="4">
        <f t="shared" si="31"/>
        <v>70000</v>
      </c>
      <c r="V78" s="4">
        <f t="shared" si="32"/>
        <v>70000</v>
      </c>
      <c r="W78" s="4">
        <f t="shared" si="33"/>
        <v>70000</v>
      </c>
      <c r="X78" s="4">
        <f t="shared" si="34"/>
        <v>70000</v>
      </c>
      <c r="Y78" s="4">
        <f t="shared" si="35"/>
        <v>70000</v>
      </c>
      <c r="Z78" s="4">
        <f t="shared" si="36"/>
        <v>70000</v>
      </c>
      <c r="AA78" s="4">
        <f t="shared" si="37"/>
        <v>70000</v>
      </c>
      <c r="AB78" s="4">
        <f t="shared" si="38"/>
        <v>70000</v>
      </c>
      <c r="AC78" s="4">
        <f t="shared" si="39"/>
        <v>70000</v>
      </c>
      <c r="AD78" s="35">
        <f t="shared" si="40"/>
        <v>774187.08000000007</v>
      </c>
      <c r="AE78" s="36"/>
      <c r="AG78" s="37"/>
      <c r="AH78" s="37"/>
      <c r="AI78" s="37"/>
      <c r="AJ78" s="37"/>
    </row>
    <row r="79" spans="1:36" ht="82.5" customHeight="1">
      <c r="A79" s="114" t="s">
        <v>381</v>
      </c>
      <c r="B79" s="69" t="s">
        <v>382</v>
      </c>
      <c r="C79" s="29" t="s">
        <v>383</v>
      </c>
      <c r="D79" s="115">
        <v>18284407000153</v>
      </c>
      <c r="E79" s="51">
        <v>46441</v>
      </c>
      <c r="F79" s="46" t="str">
        <f t="shared" ref="F79:F91" ca="1" si="44">IF((E79-TODAY())&lt;0,"EXPIRADO", IF((E79-TODAY())&lt;=60,"EM BREVE","NO PRAZO"))</f>
        <v>NO PRAZO</v>
      </c>
      <c r="G79" s="46"/>
      <c r="H79" s="61" t="s">
        <v>385</v>
      </c>
      <c r="I79" s="4">
        <v>44033.82</v>
      </c>
      <c r="J79" s="4"/>
      <c r="K79" s="4">
        <f t="shared" si="43"/>
        <v>528405.84</v>
      </c>
      <c r="L79" s="56">
        <v>1000</v>
      </c>
      <c r="M79" s="56"/>
      <c r="N79" s="4"/>
      <c r="O79" s="78"/>
      <c r="P79" s="2">
        <v>409978.42</v>
      </c>
      <c r="Q79" s="3">
        <f t="shared" si="29"/>
        <v>409978.42</v>
      </c>
      <c r="R79" s="34"/>
      <c r="S79" s="34"/>
      <c r="T79" s="34"/>
      <c r="U79" s="34"/>
      <c r="V79" s="34"/>
      <c r="W79" s="34"/>
      <c r="X79" s="34"/>
      <c r="Y79" s="34"/>
      <c r="Z79" s="34"/>
      <c r="AA79" s="4">
        <f>I79*10-Q79</f>
        <v>30359.780000000028</v>
      </c>
      <c r="AB79" s="4">
        <f t="shared" si="38"/>
        <v>44033.82</v>
      </c>
      <c r="AC79" s="4">
        <f t="shared" si="39"/>
        <v>44033.82</v>
      </c>
      <c r="AD79" s="35">
        <f t="shared" si="40"/>
        <v>118427.42000000004</v>
      </c>
      <c r="AE79" s="36"/>
      <c r="AG79" s="37"/>
      <c r="AH79" s="37"/>
      <c r="AI79" s="37"/>
      <c r="AJ79" s="37"/>
    </row>
    <row r="80" spans="1:36" ht="96" customHeight="1">
      <c r="A80" s="114" t="s">
        <v>386</v>
      </c>
      <c r="B80" s="69" t="s">
        <v>382</v>
      </c>
      <c r="C80" s="38" t="s">
        <v>387</v>
      </c>
      <c r="D80" s="115">
        <v>18284407000153</v>
      </c>
      <c r="E80" s="51">
        <v>46734</v>
      </c>
      <c r="F80" s="46" t="str">
        <f t="shared" ca="1" si="44"/>
        <v>NO PRAZO</v>
      </c>
      <c r="G80" s="46"/>
      <c r="H80" s="61" t="s">
        <v>389</v>
      </c>
      <c r="I80" s="4">
        <v>280000</v>
      </c>
      <c r="J80" s="32"/>
      <c r="K80" s="32">
        <f t="shared" si="43"/>
        <v>3360000</v>
      </c>
      <c r="L80" s="56">
        <v>1000</v>
      </c>
      <c r="M80" s="185"/>
      <c r="N80" s="32"/>
      <c r="O80" s="39"/>
      <c r="P80" s="39">
        <v>340922.73</v>
      </c>
      <c r="Q80" s="3">
        <f t="shared" si="29"/>
        <v>340922.73</v>
      </c>
      <c r="R80" s="34"/>
      <c r="S80" s="4">
        <f>I80*2-Q80</f>
        <v>219077.27000000002</v>
      </c>
      <c r="T80" s="4">
        <f>I80</f>
        <v>280000</v>
      </c>
      <c r="U80" s="4">
        <f>I80</f>
        <v>280000</v>
      </c>
      <c r="V80" s="4">
        <f>I80</f>
        <v>280000</v>
      </c>
      <c r="W80" s="4">
        <f>I80</f>
        <v>280000</v>
      </c>
      <c r="X80" s="4">
        <f>I80</f>
        <v>280000</v>
      </c>
      <c r="Y80" s="4">
        <f>I80</f>
        <v>280000</v>
      </c>
      <c r="Z80" s="4">
        <f>I80</f>
        <v>280000</v>
      </c>
      <c r="AA80" s="4">
        <f>I80</f>
        <v>280000</v>
      </c>
      <c r="AB80" s="4">
        <f t="shared" si="38"/>
        <v>280000</v>
      </c>
      <c r="AC80" s="4">
        <f t="shared" si="39"/>
        <v>280000</v>
      </c>
      <c r="AD80" s="35">
        <f t="shared" si="40"/>
        <v>3019077.27</v>
      </c>
      <c r="AE80" s="36"/>
      <c r="AG80" s="37"/>
      <c r="AH80" s="37"/>
      <c r="AI80" s="37"/>
      <c r="AJ80" s="37"/>
    </row>
    <row r="81" spans="1:36" ht="96" customHeight="1">
      <c r="A81" s="113" t="s">
        <v>390</v>
      </c>
      <c r="B81" s="69" t="s">
        <v>382</v>
      </c>
      <c r="C81" s="38" t="s">
        <v>391</v>
      </c>
      <c r="D81" s="115" t="s">
        <v>392</v>
      </c>
      <c r="E81" s="51">
        <v>46765</v>
      </c>
      <c r="F81" s="46" t="str">
        <f t="shared" ca="1" si="44"/>
        <v>NO PRAZO</v>
      </c>
      <c r="G81" s="46"/>
      <c r="H81" s="61" t="s">
        <v>394</v>
      </c>
      <c r="I81" s="4"/>
      <c r="J81" s="32"/>
      <c r="K81" s="32"/>
      <c r="L81" s="56">
        <v>1000</v>
      </c>
      <c r="M81" s="185"/>
      <c r="N81" s="32"/>
      <c r="O81" s="39"/>
      <c r="P81" s="39"/>
      <c r="Q81" s="3"/>
      <c r="R81" s="3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35"/>
      <c r="AE81" s="36"/>
      <c r="AG81" s="37"/>
      <c r="AH81" s="37"/>
      <c r="AI81" s="37"/>
      <c r="AJ81" s="37"/>
    </row>
    <row r="82" spans="1:36" ht="41.25" customHeight="1">
      <c r="A82" s="69" t="s">
        <v>395</v>
      </c>
      <c r="B82" s="69" t="s">
        <v>358</v>
      </c>
      <c r="C82" s="38" t="s">
        <v>396</v>
      </c>
      <c r="D82" s="38" t="s">
        <v>397</v>
      </c>
      <c r="E82" s="51">
        <v>46327</v>
      </c>
      <c r="F82" s="46" t="str">
        <f t="shared" ca="1" si="44"/>
        <v>NO PRAZO</v>
      </c>
      <c r="G82" s="29"/>
      <c r="H82" s="52" t="s">
        <v>399</v>
      </c>
      <c r="I82" s="4">
        <v>17000</v>
      </c>
      <c r="J82" s="32"/>
      <c r="K82" s="32">
        <f>I82*12</f>
        <v>204000</v>
      </c>
      <c r="L82" s="56">
        <v>1000</v>
      </c>
      <c r="M82" s="185"/>
      <c r="N82" s="32"/>
      <c r="O82" s="2">
        <v>170000</v>
      </c>
      <c r="P82" s="2">
        <v>0</v>
      </c>
      <c r="Q82" s="3">
        <f t="shared" ref="Q82:Q91" si="45">SUM(O82:P82)</f>
        <v>170000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48">
        <f>I82</f>
        <v>17000</v>
      </c>
      <c r="AC82" s="4">
        <f>I82</f>
        <v>17000</v>
      </c>
      <c r="AD82" s="35">
        <f t="shared" ref="AD82:AD89" si="46">SUM(R82:AC82)</f>
        <v>34000</v>
      </c>
      <c r="AE82" s="36"/>
      <c r="AG82" s="37"/>
      <c r="AH82" s="37"/>
      <c r="AI82" s="37"/>
      <c r="AJ82" s="37"/>
    </row>
    <row r="83" spans="1:36" ht="27" customHeight="1">
      <c r="A83" s="63" t="s">
        <v>400</v>
      </c>
      <c r="B83" s="63" t="s">
        <v>358</v>
      </c>
      <c r="C83" s="29" t="s">
        <v>401</v>
      </c>
      <c r="D83" s="29" t="s">
        <v>402</v>
      </c>
      <c r="E83" s="77">
        <v>45682</v>
      </c>
      <c r="F83" s="46" t="str">
        <f t="shared" ca="1" si="44"/>
        <v>EXPIRADO</v>
      </c>
      <c r="G83" s="70" t="s">
        <v>404</v>
      </c>
      <c r="H83" s="59" t="s">
        <v>405</v>
      </c>
      <c r="I83" s="4"/>
      <c r="J83" s="4"/>
      <c r="K83" s="4">
        <v>45000</v>
      </c>
      <c r="L83" s="56">
        <v>1000</v>
      </c>
      <c r="M83" s="56"/>
      <c r="N83" s="4"/>
      <c r="O83" s="2"/>
      <c r="P83" s="2">
        <v>0</v>
      </c>
      <c r="Q83" s="3">
        <f t="shared" si="45"/>
        <v>0</v>
      </c>
      <c r="R83" s="4">
        <f>J83</f>
        <v>0</v>
      </c>
      <c r="S83" s="4">
        <f>J83</f>
        <v>0</v>
      </c>
      <c r="T83" s="4">
        <f>J83</f>
        <v>0</v>
      </c>
      <c r="U83" s="4">
        <f>J83</f>
        <v>0</v>
      </c>
      <c r="V83" s="4">
        <f>J83</f>
        <v>0</v>
      </c>
      <c r="W83" s="4">
        <f>J83</f>
        <v>0</v>
      </c>
      <c r="X83" s="4">
        <f>J83</f>
        <v>0</v>
      </c>
      <c r="Y83" s="4">
        <f>J83</f>
        <v>0</v>
      </c>
      <c r="Z83" s="4">
        <f>J83</f>
        <v>0</v>
      </c>
      <c r="AA83" s="4">
        <f>J83</f>
        <v>0</v>
      </c>
      <c r="AB83" s="4">
        <f>J83</f>
        <v>0</v>
      </c>
      <c r="AC83" s="4">
        <f>J83</f>
        <v>0</v>
      </c>
      <c r="AD83" s="35">
        <f t="shared" si="46"/>
        <v>0</v>
      </c>
      <c r="AE83" s="36"/>
      <c r="AG83" s="37"/>
      <c r="AH83" s="37"/>
      <c r="AI83" s="37"/>
      <c r="AJ83" s="37"/>
    </row>
    <row r="84" spans="1:36" ht="27" customHeight="1">
      <c r="A84" s="116" t="s">
        <v>406</v>
      </c>
      <c r="B84" s="63" t="s">
        <v>358</v>
      </c>
      <c r="C84" s="54" t="s">
        <v>407</v>
      </c>
      <c r="D84" s="117">
        <v>27072369000166</v>
      </c>
      <c r="E84" s="77">
        <v>46331</v>
      </c>
      <c r="F84" s="46" t="str">
        <f t="shared" ca="1" si="44"/>
        <v>NO PRAZO</v>
      </c>
      <c r="G84" s="46"/>
      <c r="H84" s="61" t="s">
        <v>409</v>
      </c>
      <c r="I84" s="4"/>
      <c r="J84" s="4">
        <f>K84/12</f>
        <v>5901.2750000000005</v>
      </c>
      <c r="K84" s="4">
        <v>70815.3</v>
      </c>
      <c r="L84" s="56">
        <v>1000</v>
      </c>
      <c r="M84" s="56"/>
      <c r="N84" s="4"/>
      <c r="O84" s="2">
        <v>53111.48</v>
      </c>
      <c r="P84" s="2">
        <v>5999.2</v>
      </c>
      <c r="Q84" s="3">
        <f t="shared" si="45"/>
        <v>59110.68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48">
        <f>J84</f>
        <v>5901.2750000000005</v>
      </c>
      <c r="AC84" s="4">
        <f>J84</f>
        <v>5901.2750000000005</v>
      </c>
      <c r="AD84" s="35">
        <f t="shared" si="46"/>
        <v>11802.550000000001</v>
      </c>
      <c r="AE84" s="36"/>
      <c r="AG84" s="37"/>
      <c r="AH84" s="37"/>
      <c r="AI84" s="37"/>
      <c r="AJ84" s="37"/>
    </row>
    <row r="85" spans="1:36" ht="39" customHeight="1">
      <c r="A85" s="53" t="s">
        <v>410</v>
      </c>
      <c r="B85" s="63" t="s">
        <v>358</v>
      </c>
      <c r="C85" s="29" t="s">
        <v>23</v>
      </c>
      <c r="D85" s="57"/>
      <c r="E85" s="45"/>
      <c r="F85" s="46" t="str">
        <f t="shared" ca="1" si="44"/>
        <v>EXPIRADO</v>
      </c>
      <c r="G85" s="29"/>
      <c r="H85" s="118" t="s">
        <v>412</v>
      </c>
      <c r="I85" s="4"/>
      <c r="J85" s="4"/>
      <c r="K85" s="4">
        <v>561085.01</v>
      </c>
      <c r="L85" s="56">
        <v>1000</v>
      </c>
      <c r="M85" s="56"/>
      <c r="N85" s="4"/>
      <c r="O85" s="2"/>
      <c r="P85" s="2"/>
      <c r="Q85" s="3">
        <f t="shared" si="45"/>
        <v>0</v>
      </c>
      <c r="R85" s="4">
        <f>I85</f>
        <v>0</v>
      </c>
      <c r="S85" s="4">
        <f>I85</f>
        <v>0</v>
      </c>
      <c r="T85" s="4">
        <f>I85</f>
        <v>0</v>
      </c>
      <c r="U85" s="4">
        <f>I85</f>
        <v>0</v>
      </c>
      <c r="V85" s="4">
        <f>I85</f>
        <v>0</v>
      </c>
      <c r="W85" s="4">
        <f>I85</f>
        <v>0</v>
      </c>
      <c r="X85" s="4">
        <f>I85</f>
        <v>0</v>
      </c>
      <c r="Y85" s="4">
        <f>I85</f>
        <v>0</v>
      </c>
      <c r="Z85" s="4">
        <f>I85</f>
        <v>0</v>
      </c>
      <c r="AA85" s="4">
        <f>I85</f>
        <v>0</v>
      </c>
      <c r="AB85" s="4">
        <f>I85</f>
        <v>0</v>
      </c>
      <c r="AC85" s="4">
        <f>I85</f>
        <v>0</v>
      </c>
      <c r="AD85" s="35">
        <f t="shared" si="46"/>
        <v>0</v>
      </c>
      <c r="AE85" s="36"/>
      <c r="AG85" s="37"/>
      <c r="AH85" s="37"/>
      <c r="AI85" s="37"/>
    </row>
    <row r="86" spans="1:36" ht="35.25" customHeight="1">
      <c r="A86" s="119" t="s">
        <v>413</v>
      </c>
      <c r="B86" s="119" t="s">
        <v>414</v>
      </c>
      <c r="C86" s="29" t="s">
        <v>415</v>
      </c>
      <c r="D86" s="38" t="s">
        <v>416</v>
      </c>
      <c r="E86" s="45">
        <v>46792</v>
      </c>
      <c r="F86" s="46" t="str">
        <f t="shared" ca="1" si="44"/>
        <v>NO PRAZO</v>
      </c>
      <c r="G86" s="46"/>
      <c r="H86" s="121" t="s">
        <v>418</v>
      </c>
      <c r="I86" s="4">
        <v>3000</v>
      </c>
      <c r="J86" s="4"/>
      <c r="K86" s="4">
        <f t="shared" ref="K86:K91" si="47">I86*12</f>
        <v>36000</v>
      </c>
      <c r="L86" s="56">
        <v>1000</v>
      </c>
      <c r="M86" s="56"/>
      <c r="N86" s="4"/>
      <c r="O86" s="2">
        <v>26999.64</v>
      </c>
      <c r="P86" s="2">
        <v>8157</v>
      </c>
      <c r="Q86" s="3">
        <f t="shared" si="45"/>
        <v>35156.639999999999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5">
        <f t="shared" si="46"/>
        <v>0</v>
      </c>
      <c r="AE86" s="36"/>
      <c r="AG86" s="37"/>
      <c r="AH86" s="37"/>
      <c r="AI86" s="37"/>
      <c r="AJ86" s="37"/>
    </row>
    <row r="87" spans="1:36" ht="33.75" customHeight="1">
      <c r="A87" s="119" t="s">
        <v>419</v>
      </c>
      <c r="B87" s="119" t="s">
        <v>414</v>
      </c>
      <c r="C87" s="38" t="s">
        <v>420</v>
      </c>
      <c r="D87" s="38"/>
      <c r="E87" s="45">
        <v>46001</v>
      </c>
      <c r="F87" s="46" t="str">
        <f t="shared" ca="1" si="44"/>
        <v>EXPIRADO</v>
      </c>
      <c r="G87" s="70" t="s">
        <v>422</v>
      </c>
      <c r="H87" s="29" t="s">
        <v>423</v>
      </c>
      <c r="I87" s="4">
        <v>2000</v>
      </c>
      <c r="J87" s="4"/>
      <c r="K87" s="4">
        <f t="shared" si="47"/>
        <v>24000</v>
      </c>
      <c r="L87" s="56">
        <v>1000</v>
      </c>
      <c r="M87" s="56" t="s">
        <v>424</v>
      </c>
      <c r="N87" s="4">
        <v>23000</v>
      </c>
      <c r="O87" s="89"/>
      <c r="P87" s="2">
        <v>1000</v>
      </c>
      <c r="Q87" s="3">
        <f t="shared" si="45"/>
        <v>1000</v>
      </c>
      <c r="R87" s="4">
        <v>1000</v>
      </c>
      <c r="S87" s="4">
        <f>I87</f>
        <v>2000</v>
      </c>
      <c r="T87" s="4">
        <f>I87</f>
        <v>2000</v>
      </c>
      <c r="U87" s="4">
        <f>I87</f>
        <v>2000</v>
      </c>
      <c r="V87" s="4">
        <f>I87</f>
        <v>2000</v>
      </c>
      <c r="W87" s="4">
        <f>I87</f>
        <v>2000</v>
      </c>
      <c r="X87" s="4">
        <f>I87</f>
        <v>2000</v>
      </c>
      <c r="Y87" s="4">
        <f>I87</f>
        <v>2000</v>
      </c>
      <c r="Z87" s="4">
        <f>I87</f>
        <v>2000</v>
      </c>
      <c r="AA87" s="4">
        <f>I87</f>
        <v>2000</v>
      </c>
      <c r="AB87" s="4">
        <f>I87</f>
        <v>2000</v>
      </c>
      <c r="AC87" s="4">
        <f>I87</f>
        <v>2000</v>
      </c>
      <c r="AD87" s="35">
        <f t="shared" si="46"/>
        <v>23000</v>
      </c>
      <c r="AE87" s="36"/>
      <c r="AG87" s="37"/>
      <c r="AH87" s="37"/>
      <c r="AI87" s="37"/>
      <c r="AJ87" s="37"/>
    </row>
    <row r="88" spans="1:36" ht="69" customHeight="1">
      <c r="A88" s="69" t="s">
        <v>425</v>
      </c>
      <c r="B88" s="63" t="s">
        <v>426</v>
      </c>
      <c r="C88" s="38" t="s">
        <v>427</v>
      </c>
      <c r="D88" s="29" t="s">
        <v>428</v>
      </c>
      <c r="E88" s="51">
        <v>45638</v>
      </c>
      <c r="F88" s="46" t="str">
        <f t="shared" ca="1" si="44"/>
        <v>EXPIRADO</v>
      </c>
      <c r="G88" s="70" t="s">
        <v>430</v>
      </c>
      <c r="H88" s="61" t="s">
        <v>431</v>
      </c>
      <c r="I88" s="4">
        <v>33000</v>
      </c>
      <c r="J88" s="4"/>
      <c r="K88" s="4">
        <f t="shared" si="47"/>
        <v>396000</v>
      </c>
      <c r="L88" s="56">
        <v>1000</v>
      </c>
      <c r="M88" s="56"/>
      <c r="N88" s="4"/>
      <c r="O88" s="4"/>
      <c r="P88" s="2">
        <v>4308.4799999999996</v>
      </c>
      <c r="Q88" s="3">
        <f t="shared" si="45"/>
        <v>4308.4799999999996</v>
      </c>
      <c r="R88" s="4">
        <f>I88-Q88</f>
        <v>28691.52</v>
      </c>
      <c r="S88" s="4">
        <f>I88</f>
        <v>33000</v>
      </c>
      <c r="T88" s="4">
        <f>I88</f>
        <v>33000</v>
      </c>
      <c r="U88" s="4">
        <f>I88</f>
        <v>33000</v>
      </c>
      <c r="V88" s="4">
        <f>I88</f>
        <v>33000</v>
      </c>
      <c r="W88" s="4">
        <f>I88</f>
        <v>33000</v>
      </c>
      <c r="X88" s="4">
        <f>I88</f>
        <v>33000</v>
      </c>
      <c r="Y88" s="4">
        <f>I88</f>
        <v>33000</v>
      </c>
      <c r="Z88" s="4">
        <f>I88</f>
        <v>33000</v>
      </c>
      <c r="AA88" s="4">
        <f>I88</f>
        <v>33000</v>
      </c>
      <c r="AB88" s="4">
        <f>I88</f>
        <v>33000</v>
      </c>
      <c r="AC88" s="4">
        <f>I88</f>
        <v>33000</v>
      </c>
      <c r="AD88" s="35">
        <f t="shared" si="46"/>
        <v>391691.52000000002</v>
      </c>
      <c r="AE88" s="36"/>
      <c r="AG88" s="37"/>
      <c r="AH88" s="37"/>
      <c r="AI88" s="37"/>
      <c r="AJ88" s="37"/>
    </row>
    <row r="89" spans="1:36" ht="56.25" customHeight="1">
      <c r="A89" s="63" t="s">
        <v>432</v>
      </c>
      <c r="B89" s="63" t="s">
        <v>426</v>
      </c>
      <c r="C89" s="38" t="s">
        <v>427</v>
      </c>
      <c r="D89" s="38" t="s">
        <v>433</v>
      </c>
      <c r="E89" s="51">
        <v>46311</v>
      </c>
      <c r="F89" s="46" t="str">
        <f t="shared" ca="1" si="44"/>
        <v>NO PRAZO</v>
      </c>
      <c r="G89" s="29"/>
      <c r="H89" s="122" t="s">
        <v>435</v>
      </c>
      <c r="I89" s="32">
        <v>10500</v>
      </c>
      <c r="J89" s="32"/>
      <c r="K89" s="32">
        <f t="shared" si="47"/>
        <v>126000</v>
      </c>
      <c r="L89" s="56">
        <v>1000</v>
      </c>
      <c r="M89" s="185"/>
      <c r="N89" s="32"/>
      <c r="O89" s="68"/>
      <c r="P89" s="39">
        <v>4486.28</v>
      </c>
      <c r="Q89" s="3">
        <f t="shared" si="45"/>
        <v>4486.28</v>
      </c>
      <c r="R89" s="4">
        <f>I89-Q89</f>
        <v>6013.72</v>
      </c>
      <c r="S89" s="4">
        <f>I89</f>
        <v>10500</v>
      </c>
      <c r="T89" s="4">
        <f>I89</f>
        <v>10500</v>
      </c>
      <c r="U89" s="4">
        <f>I89</f>
        <v>10500</v>
      </c>
      <c r="V89" s="4">
        <f>I89</f>
        <v>10500</v>
      </c>
      <c r="W89" s="4">
        <f>I89</f>
        <v>10500</v>
      </c>
      <c r="X89" s="4">
        <f>I89</f>
        <v>10500</v>
      </c>
      <c r="Y89" s="4">
        <f>I89</f>
        <v>10500</v>
      </c>
      <c r="Z89" s="4">
        <f>I89</f>
        <v>10500</v>
      </c>
      <c r="AA89" s="48">
        <f>I89</f>
        <v>10500</v>
      </c>
      <c r="AB89" s="4">
        <f>I89</f>
        <v>10500</v>
      </c>
      <c r="AC89" s="4">
        <f>I89</f>
        <v>10500</v>
      </c>
      <c r="AD89" s="35">
        <f t="shared" si="46"/>
        <v>121513.72</v>
      </c>
      <c r="AE89" s="36"/>
      <c r="AG89" s="37"/>
      <c r="AH89" s="37"/>
      <c r="AI89" s="37"/>
      <c r="AJ89" s="37"/>
    </row>
    <row r="90" spans="1:36" ht="27" customHeight="1">
      <c r="A90" s="63" t="s">
        <v>436</v>
      </c>
      <c r="B90" s="63" t="s">
        <v>426</v>
      </c>
      <c r="C90" s="38" t="s">
        <v>437</v>
      </c>
      <c r="D90" s="43" t="s">
        <v>438</v>
      </c>
      <c r="E90" s="51">
        <v>46136</v>
      </c>
      <c r="F90" s="46" t="str">
        <f t="shared" ca="1" si="44"/>
        <v>NO PRAZO</v>
      </c>
      <c r="G90" s="46"/>
      <c r="H90" s="123" t="s">
        <v>440</v>
      </c>
      <c r="I90" s="32">
        <v>500</v>
      </c>
      <c r="J90" s="32"/>
      <c r="K90" s="32">
        <f t="shared" si="47"/>
        <v>6000</v>
      </c>
      <c r="L90" s="56">
        <v>1000</v>
      </c>
      <c r="M90" s="185"/>
      <c r="N90" s="32"/>
      <c r="O90" s="2"/>
      <c r="P90" s="2">
        <v>9675</v>
      </c>
      <c r="Q90" s="3">
        <f t="shared" si="45"/>
        <v>9675</v>
      </c>
      <c r="R90" s="34"/>
      <c r="S90" s="34"/>
      <c r="T90" s="34"/>
      <c r="U90" s="48"/>
      <c r="V90" s="34"/>
      <c r="W90" s="34"/>
      <c r="X90" s="34"/>
      <c r="Y90" s="34"/>
      <c r="Z90" s="34"/>
      <c r="AA90" s="34"/>
      <c r="AB90" s="34"/>
      <c r="AC90" s="34"/>
      <c r="AD90" s="34"/>
      <c r="AE90" s="36"/>
      <c r="AG90" s="37"/>
      <c r="AH90" s="37"/>
      <c r="AI90" s="37"/>
      <c r="AJ90" s="37"/>
    </row>
    <row r="91" spans="1:36" ht="54.75" customHeight="1">
      <c r="A91" s="53" t="s">
        <v>441</v>
      </c>
      <c r="B91" s="28" t="s">
        <v>442</v>
      </c>
      <c r="C91" s="38" t="s">
        <v>443</v>
      </c>
      <c r="D91" s="57" t="s">
        <v>444</v>
      </c>
      <c r="E91" s="51">
        <v>46268</v>
      </c>
      <c r="F91" s="46" t="str">
        <f t="shared" ca="1" si="44"/>
        <v>NO PRAZO</v>
      </c>
      <c r="G91" s="29"/>
      <c r="H91" s="52" t="s">
        <v>446</v>
      </c>
      <c r="I91" s="32">
        <f>62000*104.4%</f>
        <v>64728</v>
      </c>
      <c r="J91" s="32"/>
      <c r="K91" s="32">
        <f t="shared" si="47"/>
        <v>776736</v>
      </c>
      <c r="L91" s="56">
        <v>1000</v>
      </c>
      <c r="M91" s="185"/>
      <c r="N91" s="32"/>
      <c r="O91" s="2"/>
      <c r="P91" s="2">
        <v>40015.43</v>
      </c>
      <c r="Q91" s="3">
        <f t="shared" si="45"/>
        <v>40015.43</v>
      </c>
      <c r="R91" s="4">
        <f>I91-Q91</f>
        <v>24712.57</v>
      </c>
      <c r="S91" s="4">
        <f>I91</f>
        <v>64728</v>
      </c>
      <c r="T91" s="4">
        <f>I91</f>
        <v>64728</v>
      </c>
      <c r="U91" s="4">
        <f>I91</f>
        <v>64728</v>
      </c>
      <c r="V91" s="4">
        <f>I91</f>
        <v>64728</v>
      </c>
      <c r="W91" s="4">
        <f>I91</f>
        <v>64728</v>
      </c>
      <c r="X91" s="4">
        <f>I91</f>
        <v>64728</v>
      </c>
      <c r="Y91" s="4">
        <f>I91</f>
        <v>64728</v>
      </c>
      <c r="Z91" s="48">
        <f>I91</f>
        <v>64728</v>
      </c>
      <c r="AA91" s="4">
        <f>I91</f>
        <v>64728</v>
      </c>
      <c r="AB91" s="4">
        <f>I91</f>
        <v>64728</v>
      </c>
      <c r="AC91" s="4">
        <f>I91</f>
        <v>64728</v>
      </c>
      <c r="AD91" s="35">
        <f>SUM(R91:AC91)</f>
        <v>736720.57000000007</v>
      </c>
      <c r="AE91" s="36"/>
      <c r="AG91" s="37"/>
      <c r="AH91" s="37"/>
      <c r="AI91" s="37"/>
      <c r="AJ91" s="37"/>
    </row>
    <row r="92" spans="1:36" ht="14.25" customHeight="1">
      <c r="A92" s="124"/>
      <c r="B92" s="124"/>
      <c r="C92" s="124"/>
      <c r="D92" s="124"/>
      <c r="E92" s="124"/>
      <c r="F92" s="124"/>
      <c r="G92" s="124"/>
      <c r="H92" s="124"/>
      <c r="I92" s="126"/>
      <c r="J92" s="127"/>
      <c r="K92" s="126"/>
      <c r="L92" s="125"/>
      <c r="M92" s="125"/>
      <c r="N92" s="126"/>
      <c r="O92" s="126"/>
      <c r="P92" s="124"/>
      <c r="Q92" s="128"/>
      <c r="X92" s="129"/>
      <c r="AD92" s="130"/>
      <c r="AE92" s="9"/>
      <c r="AG92" s="37"/>
      <c r="AH92" s="96"/>
      <c r="AI92" s="37"/>
      <c r="AJ92" s="37"/>
    </row>
    <row r="93" spans="1:36" ht="14.25" customHeight="1">
      <c r="A93" s="131" t="s">
        <v>447</v>
      </c>
      <c r="B93" s="131"/>
      <c r="C93" s="131"/>
      <c r="D93" s="131"/>
      <c r="E93" s="131"/>
      <c r="F93" s="131"/>
      <c r="G93" s="131"/>
      <c r="H93" s="131"/>
      <c r="I93" s="133">
        <f>SUM(I4:I91)</f>
        <v>12117900.164166667</v>
      </c>
      <c r="J93" s="134">
        <f>SUM(J4:J91)</f>
        <v>7456970.6359999999</v>
      </c>
      <c r="K93" s="133">
        <f>SUM(K4:K91)</f>
        <v>243616264.49199998</v>
      </c>
      <c r="L93" s="187"/>
      <c r="M93" s="187"/>
      <c r="N93" s="133"/>
      <c r="O93" s="133">
        <f t="shared" ref="O93:AD93" si="48">SUM(O4:O91)</f>
        <v>3258686.5</v>
      </c>
      <c r="P93" s="133">
        <f t="shared" si="48"/>
        <v>25050862.050000008</v>
      </c>
      <c r="Q93" s="133">
        <f t="shared" si="48"/>
        <v>28309548.550000004</v>
      </c>
      <c r="R93" s="133">
        <f t="shared" si="48"/>
        <v>8509456.2125000022</v>
      </c>
      <c r="S93" s="133">
        <f t="shared" si="48"/>
        <v>13269379.113499999</v>
      </c>
      <c r="T93" s="133">
        <f t="shared" si="48"/>
        <v>14791692.903500002</v>
      </c>
      <c r="U93" s="133">
        <f t="shared" si="48"/>
        <v>14989309.64016667</v>
      </c>
      <c r="V93" s="133">
        <f t="shared" si="48"/>
        <v>17316051.740166668</v>
      </c>
      <c r="W93" s="133">
        <f t="shared" si="48"/>
        <v>17122302.670166668</v>
      </c>
      <c r="X93" s="133">
        <f t="shared" si="48"/>
        <v>18738855.220166668</v>
      </c>
      <c r="Y93" s="133">
        <f t="shared" si="48"/>
        <v>18949433.330166668</v>
      </c>
      <c r="Z93" s="133">
        <f t="shared" si="48"/>
        <v>18916772.330166668</v>
      </c>
      <c r="AA93" s="133">
        <f t="shared" si="48"/>
        <v>19497459.580166668</v>
      </c>
      <c r="AB93" s="133">
        <f t="shared" si="48"/>
        <v>19540622.895166665</v>
      </c>
      <c r="AC93" s="133">
        <f t="shared" si="48"/>
        <v>19540622.895166665</v>
      </c>
      <c r="AD93" s="133">
        <f t="shared" si="48"/>
        <v>201666160.68100002</v>
      </c>
      <c r="AE93" s="135"/>
      <c r="AF93" s="135"/>
      <c r="AG93" s="135"/>
      <c r="AH93" s="135"/>
      <c r="AI93" s="37"/>
      <c r="AJ93" s="37"/>
    </row>
    <row r="94" spans="1:36" ht="14.25" customHeight="1">
      <c r="L94" s="6"/>
      <c r="AE94" s="9"/>
    </row>
    <row r="95" spans="1:36" ht="14.25" customHeight="1">
      <c r="L95" s="6"/>
      <c r="Q95" s="179"/>
      <c r="AE95" s="9"/>
      <c r="AI95" s="13"/>
      <c r="AJ95" s="13"/>
    </row>
    <row r="96" spans="1:36" ht="15" customHeight="1">
      <c r="L96" s="6"/>
    </row>
  </sheetData>
  <autoFilter ref="A3:Q91" xr:uid="{00000000-0009-0000-0000-000000000000}"/>
  <mergeCells count="4">
    <mergeCell ref="I60:I61"/>
    <mergeCell ref="Q60:Q61"/>
    <mergeCell ref="AF60:AF61"/>
    <mergeCell ref="AG60:AG61"/>
  </mergeCells>
  <conditionalFormatting sqref="F13:G91">
    <cfRule type="cellIs" dxfId="27" priority="2" operator="equal">
      <formula>"EXPIRADO"</formula>
    </cfRule>
    <cfRule type="cellIs" dxfId="26" priority="3" operator="equal">
      <formula>"NO PRAZO"</formula>
    </cfRule>
    <cfRule type="cellIs" dxfId="25" priority="4" operator="equal">
      <formula>"EM BREVE"</formula>
    </cfRule>
    <cfRule type="cellIs" dxfId="24" priority="5" operator="equal">
      <formula>0</formula>
    </cfRule>
  </conditionalFormatting>
  <conditionalFormatting sqref="H66">
    <cfRule type="cellIs" dxfId="23" priority="6" operator="equal">
      <formula>"EXPIRADO"</formula>
    </cfRule>
    <cfRule type="cellIs" dxfId="22" priority="7" operator="equal">
      <formula>"NO PRAZO"</formula>
    </cfRule>
    <cfRule type="cellIs" dxfId="21" priority="8" operator="equal">
      <formula>"EM BREVE"</formula>
    </cfRule>
    <cfRule type="cellIs" dxfId="20" priority="9" operator="equal">
      <formula>0</formula>
    </cfRule>
  </conditionalFormatting>
  <conditionalFormatting sqref="H49">
    <cfRule type="cellIs" dxfId="19" priority="10" operator="equal">
      <formula>"EXPIRADO"</formula>
    </cfRule>
    <cfRule type="cellIs" dxfId="18" priority="11" operator="equal">
      <formula>"NO PRAZO"</formula>
    </cfRule>
    <cfRule type="cellIs" dxfId="17" priority="12" operator="equal">
      <formula>"EM BREVE"</formula>
    </cfRule>
    <cfRule type="cellIs" dxfId="16" priority="13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8D30-05AD-474E-ACCF-91B9904AC7CA}">
  <sheetPr>
    <tabColor rgb="FFD99694"/>
  </sheetPr>
  <dimension ref="A1:XDL20"/>
  <sheetViews>
    <sheetView zoomScale="85" zoomScaleNormal="85" workbookViewId="0">
      <pane xSplit="3" ySplit="3" topLeftCell="D5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ColWidth="9.1640625" defaultRowHeight="15" customHeight="1"/>
  <cols>
    <col min="1" max="1" width="46.6640625" style="5" customWidth="1"/>
    <col min="2" max="2" width="14" style="6" customWidth="1"/>
    <col min="3" max="3" width="18.1640625" style="6" customWidth="1"/>
    <col min="4" max="4" width="22.6640625" style="6" customWidth="1"/>
    <col min="5" max="5" width="25.83203125" style="6" hidden="1" customWidth="1"/>
    <col min="6" max="6" width="13.6640625" style="6" hidden="1" customWidth="1"/>
    <col min="7" max="7" width="12" style="6" hidden="1" customWidth="1"/>
    <col min="8" max="8" width="16.5" style="6" hidden="1" customWidth="1"/>
    <col min="9" max="9" width="12.33203125" style="6" customWidth="1"/>
    <col min="10" max="10" width="17.5" style="6" bestFit="1" customWidth="1"/>
    <col min="11" max="11" width="13.6640625" style="7" customWidth="1"/>
    <col min="12" max="12" width="13.6640625" style="7" hidden="1" customWidth="1"/>
    <col min="13" max="13" width="13.6640625" style="5" hidden="1" customWidth="1"/>
    <col min="14" max="14" width="13.5" style="5" hidden="1" customWidth="1"/>
    <col min="15" max="16" width="12.6640625" style="5" hidden="1" customWidth="1"/>
    <col min="17" max="20" width="12.6640625" style="9" hidden="1" customWidth="1"/>
    <col min="21" max="21" width="12.6640625" style="10" hidden="1" customWidth="1"/>
    <col min="22" max="26" width="12.6640625" style="9" hidden="1" customWidth="1"/>
    <col min="27" max="27" width="16.6640625" style="11" customWidth="1"/>
    <col min="28" max="29" width="16.5" style="13" customWidth="1"/>
    <col min="30" max="33" width="16.5" style="5" customWidth="1"/>
    <col min="34" max="16340" width="9.1640625" style="5"/>
    <col min="16341" max="16384" width="11.5" customWidth="1"/>
  </cols>
  <sheetData>
    <row r="1" spans="1:32" ht="17.25" customHeight="1">
      <c r="A1" s="14" t="s">
        <v>0</v>
      </c>
      <c r="B1" s="189"/>
      <c r="C1" s="15"/>
      <c r="J1" s="184"/>
      <c r="K1" s="17"/>
      <c r="L1" s="18"/>
      <c r="M1" s="19"/>
      <c r="R1" s="13"/>
      <c r="S1" s="13"/>
      <c r="AF1" s="13"/>
    </row>
    <row r="2" spans="1:32" ht="18.75" customHeight="1">
      <c r="A2" s="5" t="s">
        <v>1</v>
      </c>
      <c r="B2" s="189"/>
      <c r="J2" s="184"/>
      <c r="K2" s="17"/>
      <c r="O2" s="13"/>
      <c r="AF2" s="13"/>
    </row>
    <row r="3" spans="1:32" ht="41.25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4" t="s">
        <v>14</v>
      </c>
      <c r="K3" s="24" t="s">
        <v>15</v>
      </c>
      <c r="L3" s="24" t="s">
        <v>17</v>
      </c>
      <c r="M3" s="24" t="s">
        <v>18</v>
      </c>
      <c r="N3" s="25" t="s">
        <v>19</v>
      </c>
      <c r="O3" s="24">
        <v>46023</v>
      </c>
      <c r="P3" s="24">
        <v>46054</v>
      </c>
      <c r="Q3" s="24">
        <v>46082</v>
      </c>
      <c r="R3" s="24">
        <v>46113</v>
      </c>
      <c r="S3" s="24">
        <v>46143</v>
      </c>
      <c r="T3" s="24">
        <v>46174</v>
      </c>
      <c r="U3" s="24">
        <v>46204</v>
      </c>
      <c r="V3" s="24">
        <v>46235</v>
      </c>
      <c r="W3" s="24">
        <v>46266</v>
      </c>
      <c r="X3" s="24">
        <v>46296</v>
      </c>
      <c r="Y3" s="24">
        <v>46327</v>
      </c>
      <c r="Z3" s="24">
        <v>46357</v>
      </c>
      <c r="AA3" s="24" t="s">
        <v>450</v>
      </c>
      <c r="AB3" s="26"/>
      <c r="AC3" s="26"/>
      <c r="AD3" s="26"/>
      <c r="AE3" s="27"/>
      <c r="AF3" s="27"/>
    </row>
    <row r="4" spans="1:32" ht="54.75" customHeight="1">
      <c r="A4" s="28" t="s">
        <v>38</v>
      </c>
      <c r="B4" s="190"/>
      <c r="C4" s="29" t="s">
        <v>39</v>
      </c>
      <c r="D4" s="38"/>
      <c r="E4" s="38"/>
      <c r="F4" s="40"/>
      <c r="G4" s="31"/>
      <c r="H4" s="31"/>
      <c r="I4" s="38"/>
      <c r="J4" s="185" t="s">
        <v>40</v>
      </c>
      <c r="K4" s="32">
        <v>150000</v>
      </c>
      <c r="L4" s="2"/>
      <c r="M4" s="2"/>
      <c r="N4" s="3"/>
      <c r="O4" s="182">
        <v>50000</v>
      </c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35">
        <f>SUM(O4:Z4)</f>
        <v>50000</v>
      </c>
      <c r="AF4" s="37"/>
    </row>
    <row r="5" spans="1:32" ht="57.75" customHeight="1">
      <c r="A5" s="63" t="s">
        <v>130</v>
      </c>
      <c r="B5" s="142" t="s">
        <v>114</v>
      </c>
      <c r="C5" s="38" t="s">
        <v>131</v>
      </c>
      <c r="D5" s="43" t="s">
        <v>132</v>
      </c>
      <c r="E5" s="29" t="s">
        <v>133</v>
      </c>
      <c r="F5" s="45">
        <v>46270</v>
      </c>
      <c r="G5" s="46" t="str">
        <f t="shared" ref="G5:G11" ca="1" si="0">IF((F5-TODAY())&lt;0,"EXPIRADO", IF((F5-TODAY())&lt;=60,"EM BREVE","NO PRAZO"))</f>
        <v>NO PRAZO</v>
      </c>
      <c r="H5" s="29"/>
      <c r="I5" s="29" t="s">
        <v>134</v>
      </c>
      <c r="J5" s="56" t="s">
        <v>135</v>
      </c>
      <c r="K5" s="4">
        <v>336351.44</v>
      </c>
      <c r="L5" s="68"/>
      <c r="M5" s="39">
        <v>143648.56</v>
      </c>
      <c r="N5" s="3">
        <f t="shared" ref="N5:N16" si="1">SUM(L5:M5)</f>
        <v>143648.56</v>
      </c>
      <c r="O5" s="182">
        <v>120000</v>
      </c>
      <c r="P5" s="182"/>
      <c r="Q5" s="182"/>
      <c r="R5" s="182"/>
      <c r="S5" s="182"/>
      <c r="T5" s="182"/>
      <c r="U5" s="182"/>
      <c r="V5" s="182"/>
      <c r="W5" s="48"/>
      <c r="X5" s="4"/>
      <c r="Y5" s="4"/>
      <c r="Z5" s="4"/>
      <c r="AA5" s="35">
        <f>SUM(O5:Z5)</f>
        <v>120000</v>
      </c>
      <c r="AC5" s="37"/>
      <c r="AD5" s="37"/>
      <c r="AE5" s="37"/>
      <c r="AF5" s="37"/>
    </row>
    <row r="6" spans="1:32" ht="36" customHeight="1">
      <c r="A6" s="63" t="s">
        <v>148</v>
      </c>
      <c r="B6" s="142" t="s">
        <v>114</v>
      </c>
      <c r="C6" s="59" t="s">
        <v>149</v>
      </c>
      <c r="D6" s="59" t="s">
        <v>150</v>
      </c>
      <c r="E6" s="59" t="s">
        <v>151</v>
      </c>
      <c r="F6" s="51">
        <v>46062</v>
      </c>
      <c r="G6" s="46" t="str">
        <f t="shared" ca="1" si="0"/>
        <v>EM BREVE</v>
      </c>
      <c r="H6" s="29" t="s">
        <v>152</v>
      </c>
      <c r="I6" s="74" t="s">
        <v>153</v>
      </c>
      <c r="J6" s="56"/>
      <c r="K6" s="4"/>
      <c r="L6" s="68"/>
      <c r="M6" s="2">
        <v>27998</v>
      </c>
      <c r="N6" s="3">
        <f t="shared" si="1"/>
        <v>27998</v>
      </c>
      <c r="O6" s="182">
        <v>125000</v>
      </c>
      <c r="P6" s="48"/>
      <c r="Q6" s="4"/>
      <c r="R6" s="4"/>
      <c r="S6" s="4"/>
      <c r="T6" s="4"/>
      <c r="U6" s="4"/>
      <c r="V6" s="4"/>
      <c r="W6" s="4"/>
      <c r="X6" s="4"/>
      <c r="Y6" s="4"/>
      <c r="Z6" s="4"/>
      <c r="AA6" s="35">
        <f>SUM(O6:Z6)</f>
        <v>125000</v>
      </c>
      <c r="AC6" s="37"/>
      <c r="AD6" s="37"/>
      <c r="AE6" s="37"/>
      <c r="AF6" s="37"/>
    </row>
    <row r="7" spans="1:32" ht="54.75" customHeight="1">
      <c r="A7" s="63" t="s">
        <v>154</v>
      </c>
      <c r="B7" s="142" t="s">
        <v>114</v>
      </c>
      <c r="C7" s="38" t="s">
        <v>155</v>
      </c>
      <c r="D7" s="75">
        <v>12859652000165</v>
      </c>
      <c r="E7" s="59" t="s">
        <v>156</v>
      </c>
      <c r="F7" s="51">
        <v>46123</v>
      </c>
      <c r="G7" s="46" t="str">
        <f t="shared" ca="1" si="0"/>
        <v>NO PRAZO</v>
      </c>
      <c r="H7" s="46"/>
      <c r="I7" s="74" t="s">
        <v>157</v>
      </c>
      <c r="J7" s="56" t="s">
        <v>147</v>
      </c>
      <c r="K7" s="4">
        <v>234826.16</v>
      </c>
      <c r="L7" s="68">
        <v>999.9</v>
      </c>
      <c r="M7" s="39">
        <v>50173.84</v>
      </c>
      <c r="N7" s="3">
        <f t="shared" si="1"/>
        <v>51173.74</v>
      </c>
      <c r="O7" s="182">
        <v>50000</v>
      </c>
      <c r="P7" s="4"/>
      <c r="Q7" s="4"/>
      <c r="R7" s="48"/>
      <c r="S7" s="4"/>
      <c r="T7" s="4"/>
      <c r="U7" s="4"/>
      <c r="V7" s="4"/>
      <c r="W7" s="4"/>
      <c r="X7" s="4"/>
      <c r="Y7" s="4"/>
      <c r="Z7" s="4"/>
      <c r="AA7" s="35">
        <f>SUM(O7:Z7)</f>
        <v>50000</v>
      </c>
      <c r="AC7" s="37"/>
      <c r="AD7" s="37"/>
      <c r="AE7" s="37"/>
      <c r="AF7" s="37"/>
    </row>
    <row r="8" spans="1:32">
      <c r="A8" s="63" t="s">
        <v>158</v>
      </c>
      <c r="B8" s="191" t="s">
        <v>114</v>
      </c>
      <c r="C8" s="71" t="s">
        <v>159</v>
      </c>
      <c r="D8" s="57" t="s">
        <v>160</v>
      </c>
      <c r="E8" s="59" t="s">
        <v>161</v>
      </c>
      <c r="F8" s="51">
        <v>46094</v>
      </c>
      <c r="G8" s="46" t="str">
        <f t="shared" ca="1" si="0"/>
        <v>EM BREVE</v>
      </c>
      <c r="H8" s="76"/>
      <c r="I8" s="51" t="s">
        <v>162</v>
      </c>
      <c r="J8" s="56"/>
      <c r="K8" s="4"/>
      <c r="L8" s="62"/>
      <c r="M8" s="2">
        <v>4960</v>
      </c>
      <c r="N8" s="3">
        <f t="shared" si="1"/>
        <v>4960</v>
      </c>
      <c r="O8" s="182">
        <v>10000</v>
      </c>
      <c r="P8" s="182"/>
      <c r="Q8" s="48"/>
      <c r="R8" s="4"/>
      <c r="S8" s="4"/>
      <c r="T8" s="4"/>
      <c r="U8" s="4"/>
      <c r="V8" s="4"/>
      <c r="W8" s="4"/>
      <c r="X8" s="4"/>
      <c r="Y8" s="4"/>
      <c r="Z8" s="4"/>
      <c r="AA8" s="35">
        <f>SUM(O8:Z8)</f>
        <v>10000</v>
      </c>
      <c r="AC8" s="37"/>
      <c r="AD8" s="37"/>
      <c r="AE8" s="37"/>
      <c r="AF8" s="37"/>
    </row>
    <row r="9" spans="1:32" ht="41.25" customHeight="1">
      <c r="A9" s="63" t="s">
        <v>220</v>
      </c>
      <c r="B9" s="191" t="s">
        <v>108</v>
      </c>
      <c r="C9" s="71" t="s">
        <v>221</v>
      </c>
      <c r="D9" s="57" t="s">
        <v>222</v>
      </c>
      <c r="E9" s="83" t="s">
        <v>223</v>
      </c>
      <c r="F9" s="51">
        <v>46097</v>
      </c>
      <c r="G9" s="46" t="str">
        <f t="shared" ca="1" si="0"/>
        <v>EM BREVE</v>
      </c>
      <c r="H9" s="29"/>
      <c r="I9" s="59" t="s">
        <v>224</v>
      </c>
      <c r="J9" s="56" t="s">
        <v>225</v>
      </c>
      <c r="K9" s="32">
        <v>2942345.63</v>
      </c>
      <c r="L9" s="78"/>
      <c r="M9" s="2">
        <v>489777.05</v>
      </c>
      <c r="N9" s="3">
        <f t="shared" si="1"/>
        <v>489777.05</v>
      </c>
      <c r="O9" s="4" t="e">
        <f>#REF!-N9</f>
        <v>#REF!</v>
      </c>
      <c r="P9" s="4"/>
      <c r="Q9" s="48"/>
      <c r="R9" s="4"/>
      <c r="S9" s="4"/>
      <c r="T9" s="4"/>
      <c r="U9" s="4"/>
      <c r="V9" s="4"/>
      <c r="W9" s="4"/>
      <c r="X9" s="4"/>
      <c r="Y9" s="4"/>
      <c r="Z9" s="4"/>
      <c r="AA9" s="35">
        <v>1226284.29</v>
      </c>
      <c r="AC9" s="37"/>
      <c r="AD9" s="37"/>
      <c r="AE9" s="37"/>
      <c r="AF9" s="37"/>
    </row>
    <row r="10" spans="1:32" ht="41.25" customHeight="1">
      <c r="A10" s="53" t="s">
        <v>226</v>
      </c>
      <c r="B10" s="191" t="s">
        <v>108</v>
      </c>
      <c r="C10" s="71" t="s">
        <v>227</v>
      </c>
      <c r="D10" s="57" t="s">
        <v>228</v>
      </c>
      <c r="E10" s="59" t="s">
        <v>229</v>
      </c>
      <c r="F10" s="51">
        <v>46628</v>
      </c>
      <c r="G10" s="46" t="str">
        <f t="shared" ca="1" si="0"/>
        <v>NO PRAZO</v>
      </c>
      <c r="H10" s="29"/>
      <c r="I10" s="59" t="s">
        <v>230</v>
      </c>
      <c r="J10" s="56" t="s">
        <v>231</v>
      </c>
      <c r="K10" s="32">
        <v>16946534.879999999</v>
      </c>
      <c r="L10" s="2"/>
      <c r="M10" s="2">
        <v>14976.16</v>
      </c>
      <c r="N10" s="3">
        <f t="shared" si="1"/>
        <v>14976.16</v>
      </c>
      <c r="O10" s="4">
        <v>1500000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5">
        <f>SUM(O10:Z10)</f>
        <v>1500000</v>
      </c>
      <c r="AC10" s="37"/>
      <c r="AD10" s="37"/>
      <c r="AE10" s="37"/>
      <c r="AF10" s="37"/>
    </row>
    <row r="11" spans="1:32" ht="14.25" customHeight="1">
      <c r="A11" s="90" t="s">
        <v>300</v>
      </c>
      <c r="B11" s="192" t="s">
        <v>294</v>
      </c>
      <c r="C11" s="92" t="s">
        <v>301</v>
      </c>
      <c r="D11" s="92" t="s">
        <v>302</v>
      </c>
      <c r="E11" s="59" t="s">
        <v>303</v>
      </c>
      <c r="F11" s="51">
        <v>46462</v>
      </c>
      <c r="G11" s="46" t="str">
        <f t="shared" ca="1" si="0"/>
        <v>NO PRAZO</v>
      </c>
      <c r="H11" s="46"/>
      <c r="I11" s="93" t="s">
        <v>304</v>
      </c>
      <c r="J11" s="56" t="s">
        <v>305</v>
      </c>
      <c r="K11" s="4">
        <v>2150358.63</v>
      </c>
      <c r="L11" s="2"/>
      <c r="M11" s="2">
        <v>175526.61</v>
      </c>
      <c r="N11" s="3">
        <f t="shared" si="1"/>
        <v>175526.61</v>
      </c>
      <c r="O11" s="4">
        <v>230000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35">
        <f>SUM(O11:Z11)</f>
        <v>230000</v>
      </c>
      <c r="AC11" s="37"/>
      <c r="AD11" s="37"/>
      <c r="AE11" s="37"/>
      <c r="AF11" s="37"/>
    </row>
    <row r="12" spans="1:32" ht="30">
      <c r="A12" s="101" t="s">
        <v>338</v>
      </c>
      <c r="B12" s="192" t="s">
        <v>294</v>
      </c>
      <c r="C12" s="92" t="s">
        <v>339</v>
      </c>
      <c r="D12" s="92" t="s">
        <v>340</v>
      </c>
      <c r="E12" s="29"/>
      <c r="F12" s="29"/>
      <c r="G12" s="46"/>
      <c r="H12" s="46"/>
      <c r="I12" s="29"/>
      <c r="J12" s="56" t="s">
        <v>341</v>
      </c>
      <c r="K12" s="4">
        <v>468161.73</v>
      </c>
      <c r="L12" s="33"/>
      <c r="M12" s="33">
        <v>11838.27</v>
      </c>
      <c r="N12" s="3">
        <f t="shared" si="1"/>
        <v>11838.27</v>
      </c>
      <c r="O12" s="4">
        <v>70000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5">
        <f>SUM(O12:Z12)</f>
        <v>70000</v>
      </c>
      <c r="AC12" s="37"/>
      <c r="AD12" s="37"/>
      <c r="AE12" s="37"/>
      <c r="AF12" s="37"/>
    </row>
    <row r="13" spans="1:32" ht="14.25" customHeight="1">
      <c r="A13" s="101" t="s">
        <v>342</v>
      </c>
      <c r="B13" s="192" t="s">
        <v>294</v>
      </c>
      <c r="C13" s="92" t="s">
        <v>343</v>
      </c>
      <c r="D13" s="92" t="s">
        <v>344</v>
      </c>
      <c r="E13" s="29"/>
      <c r="F13" s="29"/>
      <c r="G13" s="46"/>
      <c r="H13" s="46"/>
      <c r="I13" s="29"/>
      <c r="J13" s="56" t="s">
        <v>345</v>
      </c>
      <c r="K13" s="4">
        <v>1626686.32</v>
      </c>
      <c r="L13" s="2"/>
      <c r="M13" s="2">
        <v>9513.68</v>
      </c>
      <c r="N13" s="3">
        <f t="shared" si="1"/>
        <v>9513.68</v>
      </c>
      <c r="O13" s="4">
        <v>270000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35">
        <f>SUM(O13:Z13)</f>
        <v>270000</v>
      </c>
      <c r="AC13" s="37"/>
      <c r="AD13" s="37"/>
      <c r="AE13" s="37"/>
      <c r="AF13" s="37"/>
    </row>
    <row r="14" spans="1:32" ht="14.25" customHeight="1">
      <c r="A14" s="101" t="s">
        <v>346</v>
      </c>
      <c r="B14" s="192" t="s">
        <v>294</v>
      </c>
      <c r="C14" s="92" t="s">
        <v>347</v>
      </c>
      <c r="D14" s="92"/>
      <c r="E14" s="29" t="s">
        <v>348</v>
      </c>
      <c r="F14" s="29"/>
      <c r="G14" s="46"/>
      <c r="H14" s="46"/>
      <c r="I14" s="29"/>
      <c r="J14" s="56" t="s">
        <v>349</v>
      </c>
      <c r="K14" s="4">
        <v>2673965.34</v>
      </c>
      <c r="L14" s="2"/>
      <c r="M14" s="2">
        <v>21882.91</v>
      </c>
      <c r="N14" s="3">
        <f t="shared" si="1"/>
        <v>21882.91</v>
      </c>
      <c r="O14" s="182">
        <v>470000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5">
        <f>SUM(O14:Z14)</f>
        <v>470000</v>
      </c>
      <c r="AC14" s="37"/>
      <c r="AD14" s="37"/>
      <c r="AE14" s="37"/>
      <c r="AF14" s="37"/>
    </row>
    <row r="15" spans="1:32" ht="33.75" customHeight="1">
      <c r="A15" s="119" t="s">
        <v>419</v>
      </c>
      <c r="B15" s="193" t="s">
        <v>414</v>
      </c>
      <c r="C15" s="38" t="s">
        <v>420</v>
      </c>
      <c r="D15" s="38"/>
      <c r="E15" s="29" t="s">
        <v>421</v>
      </c>
      <c r="F15" s="45">
        <v>46001</v>
      </c>
      <c r="G15" s="46" t="str">
        <f ca="1">IF((F15-TODAY())&lt;0,"EXPIRADO", IF((F15-TODAY())&lt;=60,"EM BREVE","NO PRAZO"))</f>
        <v>EXPIRADO</v>
      </c>
      <c r="H15" s="70" t="s">
        <v>422</v>
      </c>
      <c r="I15" s="29" t="s">
        <v>423</v>
      </c>
      <c r="J15" s="56" t="s">
        <v>424</v>
      </c>
      <c r="K15" s="4">
        <v>23000</v>
      </c>
      <c r="L15" s="89"/>
      <c r="M15" s="2">
        <v>1000</v>
      </c>
      <c r="N15" s="3">
        <f t="shared" si="1"/>
        <v>1000</v>
      </c>
      <c r="O15" s="4">
        <v>23000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5">
        <v>23000</v>
      </c>
      <c r="AC15" s="37"/>
      <c r="AD15" s="37"/>
      <c r="AE15" s="37"/>
      <c r="AF15" s="37"/>
    </row>
    <row r="16" spans="1:32" ht="54.75" customHeight="1">
      <c r="A16" s="53" t="s">
        <v>441</v>
      </c>
      <c r="B16" s="190" t="s">
        <v>451</v>
      </c>
      <c r="C16" s="38" t="s">
        <v>443</v>
      </c>
      <c r="D16" s="57" t="s">
        <v>444</v>
      </c>
      <c r="E16" s="50" t="s">
        <v>445</v>
      </c>
      <c r="F16" s="51">
        <v>46268</v>
      </c>
      <c r="G16" s="46" t="str">
        <f ca="1">IF((F16-TODAY())&lt;0,"EXPIRADO", IF((F16-TODAY())&lt;=60,"EM BREVE","NO PRAZO"))</f>
        <v>NO PRAZO</v>
      </c>
      <c r="H16" s="29"/>
      <c r="I16" s="52" t="s">
        <v>446</v>
      </c>
      <c r="J16" s="185"/>
      <c r="K16" s="32"/>
      <c r="L16" s="2"/>
      <c r="M16" s="2">
        <v>40015.43</v>
      </c>
      <c r="N16" s="3">
        <f t="shared" si="1"/>
        <v>40015.43</v>
      </c>
      <c r="O16" s="4">
        <v>200000</v>
      </c>
      <c r="P16" s="4"/>
      <c r="Q16" s="4"/>
      <c r="R16" s="4"/>
      <c r="S16" s="4"/>
      <c r="T16" s="4"/>
      <c r="U16" s="4"/>
      <c r="V16" s="4"/>
      <c r="W16" s="48"/>
      <c r="X16" s="4"/>
      <c r="Y16" s="4"/>
      <c r="Z16" s="4"/>
      <c r="AA16" s="35">
        <f>SUM(O16:Z16)</f>
        <v>200000</v>
      </c>
      <c r="AC16" s="37"/>
      <c r="AD16" s="37"/>
      <c r="AE16" s="37"/>
      <c r="AF16" s="37"/>
    </row>
    <row r="17" spans="1:32" ht="14.25" customHeight="1">
      <c r="A17" s="124"/>
      <c r="B17" s="125"/>
      <c r="C17" s="124"/>
      <c r="D17" s="124"/>
      <c r="E17" s="125"/>
      <c r="F17" s="124"/>
      <c r="G17" s="124"/>
      <c r="H17" s="124"/>
      <c r="I17" s="124"/>
      <c r="J17" s="125"/>
      <c r="K17" s="126"/>
      <c r="L17" s="126"/>
      <c r="M17" s="124"/>
      <c r="N17" s="128"/>
      <c r="U17" s="129"/>
      <c r="AA17" s="130"/>
      <c r="AC17" s="37"/>
      <c r="AD17" s="96"/>
      <c r="AE17" s="37"/>
      <c r="AF17" s="37"/>
    </row>
    <row r="18" spans="1:32" ht="14.25" customHeight="1">
      <c r="A18" s="131" t="s">
        <v>447</v>
      </c>
      <c r="B18" s="132"/>
      <c r="C18" s="131"/>
      <c r="D18" s="131"/>
      <c r="E18" s="132"/>
      <c r="F18" s="131"/>
      <c r="G18" s="131"/>
      <c r="H18" s="131"/>
      <c r="I18" s="131"/>
      <c r="J18" s="187"/>
      <c r="K18" s="133"/>
      <c r="L18" s="133">
        <f t="shared" ref="L18:AA18" si="2">SUM(L4:L16)</f>
        <v>999.9</v>
      </c>
      <c r="M18" s="133">
        <f t="shared" si="2"/>
        <v>991310.51000000013</v>
      </c>
      <c r="N18" s="133">
        <f t="shared" si="2"/>
        <v>992310.41000000015</v>
      </c>
      <c r="O18" s="133" t="e">
        <f t="shared" si="2"/>
        <v>#REF!</v>
      </c>
      <c r="P18" s="133">
        <f t="shared" si="2"/>
        <v>0</v>
      </c>
      <c r="Q18" s="133">
        <f t="shared" si="2"/>
        <v>0</v>
      </c>
      <c r="R18" s="133">
        <f t="shared" si="2"/>
        <v>0</v>
      </c>
      <c r="S18" s="133">
        <f t="shared" si="2"/>
        <v>0</v>
      </c>
      <c r="T18" s="133">
        <f t="shared" si="2"/>
        <v>0</v>
      </c>
      <c r="U18" s="133">
        <f t="shared" si="2"/>
        <v>0</v>
      </c>
      <c r="V18" s="133">
        <f t="shared" si="2"/>
        <v>0</v>
      </c>
      <c r="W18" s="133">
        <f t="shared" si="2"/>
        <v>0</v>
      </c>
      <c r="X18" s="133">
        <f t="shared" si="2"/>
        <v>0</v>
      </c>
      <c r="Y18" s="133">
        <f t="shared" si="2"/>
        <v>0</v>
      </c>
      <c r="Z18" s="133">
        <f t="shared" si="2"/>
        <v>0</v>
      </c>
      <c r="AA18" s="133">
        <f t="shared" si="2"/>
        <v>4344284.29</v>
      </c>
      <c r="AB18" s="135"/>
      <c r="AC18" s="135"/>
      <c r="AD18" s="135"/>
      <c r="AE18" s="37"/>
      <c r="AF18" s="37"/>
    </row>
    <row r="19" spans="1:32" ht="14.25" customHeight="1"/>
    <row r="20" spans="1:32" ht="14.25" customHeight="1">
      <c r="N20" s="179"/>
      <c r="AE20" s="13"/>
      <c r="AF20" s="13"/>
    </row>
  </sheetData>
  <autoFilter ref="A3:N16" xr:uid="{00000000-0009-0000-0000-000000000000}"/>
  <conditionalFormatting sqref="G5:H16">
    <cfRule type="cellIs" dxfId="15" priority="1" operator="equal">
      <formula>"EXPIRADO"</formula>
    </cfRule>
    <cfRule type="cellIs" dxfId="14" priority="2" operator="equal">
      <formula>"NO PRAZO"</formula>
    </cfRule>
    <cfRule type="cellIs" dxfId="13" priority="3" operator="equal">
      <formula>"EM BREVE"</formula>
    </cfRule>
    <cfRule type="cellIs" dxfId="12" priority="4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9694"/>
  </sheetPr>
  <dimension ref="A1:XCQ20"/>
  <sheetViews>
    <sheetView zoomScale="85" zoomScaleNormal="85" workbookViewId="0">
      <pane xSplit="3" ySplit="3" topLeftCell="D10" activePane="bottomRight" state="frozen"/>
      <selection pane="topRight" activeCell="O1" sqref="O1"/>
      <selection pane="bottomLeft" activeCell="A4" sqref="A4"/>
      <selection pane="bottomRight" activeCell="D10" sqref="D10"/>
    </sheetView>
  </sheetViews>
  <sheetFormatPr baseColWidth="10" defaultColWidth="9.1640625" defaultRowHeight="15" customHeight="1"/>
  <cols>
    <col min="1" max="1" width="46.6640625" style="5" customWidth="1"/>
    <col min="2" max="2" width="14" style="5" customWidth="1"/>
    <col min="3" max="3" width="18.1640625" style="6" customWidth="1"/>
    <col min="4" max="4" width="22.6640625" style="6" customWidth="1"/>
    <col min="5" max="5" width="12.33203125" style="6" customWidth="1"/>
    <col min="6" max="6" width="16.6640625" style="11" customWidth="1"/>
    <col min="7" max="8" width="16.5" style="13" customWidth="1"/>
    <col min="9" max="12" width="16.5" style="5" customWidth="1"/>
    <col min="13" max="16319" width="9.1640625" style="5"/>
    <col min="16320" max="16384" width="11.5" customWidth="1"/>
  </cols>
  <sheetData>
    <row r="1" spans="1:11" ht="17.25" customHeight="1">
      <c r="A1" s="14" t="s">
        <v>0</v>
      </c>
      <c r="B1" s="15"/>
      <c r="C1" s="15"/>
      <c r="K1" s="13"/>
    </row>
    <row r="2" spans="1:11" ht="18.75" customHeight="1">
      <c r="A2" s="5" t="s">
        <v>452</v>
      </c>
      <c r="B2" s="15"/>
      <c r="K2" s="13"/>
    </row>
    <row r="3" spans="1:11" ht="41.25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10</v>
      </c>
      <c r="F3" s="24" t="s">
        <v>20</v>
      </c>
      <c r="G3" s="26"/>
      <c r="H3" s="26"/>
      <c r="I3" s="26"/>
      <c r="J3" s="27"/>
      <c r="K3" s="27"/>
    </row>
    <row r="4" spans="1:11">
      <c r="A4" s="28" t="s">
        <v>25</v>
      </c>
      <c r="B4" s="28" t="s">
        <v>22</v>
      </c>
      <c r="C4" s="176" t="s">
        <v>26</v>
      </c>
      <c r="D4" s="29"/>
      <c r="E4" s="110"/>
      <c r="F4" s="177">
        <v>252771.47</v>
      </c>
      <c r="H4" s="37"/>
      <c r="I4" s="37"/>
      <c r="J4" s="37"/>
      <c r="K4" s="37"/>
    </row>
    <row r="5" spans="1:11" ht="14.25" customHeight="1">
      <c r="A5" s="28" t="s">
        <v>28</v>
      </c>
      <c r="B5" s="28" t="s">
        <v>29</v>
      </c>
      <c r="C5" s="176" t="s">
        <v>30</v>
      </c>
      <c r="D5" s="29"/>
      <c r="E5" s="110"/>
      <c r="F5" s="177">
        <v>100000</v>
      </c>
      <c r="H5" s="37"/>
      <c r="I5" s="37"/>
      <c r="J5" s="37"/>
      <c r="K5" s="37"/>
    </row>
    <row r="6" spans="1:11" ht="27" customHeight="1">
      <c r="A6" s="28" t="s">
        <v>32</v>
      </c>
      <c r="B6" s="28" t="s">
        <v>22</v>
      </c>
      <c r="C6" s="176" t="s">
        <v>453</v>
      </c>
      <c r="D6" s="29"/>
      <c r="E6" s="110"/>
      <c r="F6" s="177">
        <v>1000000</v>
      </c>
      <c r="H6" s="37"/>
      <c r="I6" s="37"/>
      <c r="J6" s="37"/>
      <c r="K6" s="37"/>
    </row>
    <row r="7" spans="1:11" ht="27" customHeight="1">
      <c r="A7" s="53" t="s">
        <v>66</v>
      </c>
      <c r="B7" s="53" t="s">
        <v>56</v>
      </c>
      <c r="C7" s="176" t="s">
        <v>67</v>
      </c>
      <c r="D7" s="54" t="s">
        <v>68</v>
      </c>
      <c r="E7" s="56" t="s">
        <v>70</v>
      </c>
      <c r="F7" s="177">
        <v>681798.39</v>
      </c>
      <c r="H7" s="37"/>
      <c r="I7" s="37"/>
      <c r="J7" s="37"/>
      <c r="K7" s="37"/>
    </row>
    <row r="8" spans="1:11" ht="54.75" customHeight="1">
      <c r="A8" s="63" t="s">
        <v>181</v>
      </c>
      <c r="B8" s="63" t="s">
        <v>108</v>
      </c>
      <c r="C8" s="176" t="s">
        <v>182</v>
      </c>
      <c r="D8" s="29" t="s">
        <v>183</v>
      </c>
      <c r="E8" s="73" t="s">
        <v>185</v>
      </c>
      <c r="F8" s="177">
        <v>37922.31</v>
      </c>
      <c r="H8" s="37"/>
      <c r="I8" s="37"/>
      <c r="J8" s="37"/>
      <c r="K8" s="37"/>
    </row>
    <row r="9" spans="1:11" ht="54.75" customHeight="1">
      <c r="A9" s="53" t="s">
        <v>186</v>
      </c>
      <c r="B9" s="67" t="s">
        <v>108</v>
      </c>
      <c r="C9" s="176" t="s">
        <v>187</v>
      </c>
      <c r="D9" s="54" t="s">
        <v>188</v>
      </c>
      <c r="E9" s="59" t="s">
        <v>190</v>
      </c>
      <c r="F9" s="177">
        <v>114673.31</v>
      </c>
      <c r="H9" s="37"/>
      <c r="I9" s="37"/>
      <c r="J9" s="37"/>
      <c r="K9" s="37"/>
    </row>
    <row r="10" spans="1:11" ht="30" customHeight="1">
      <c r="A10" s="53" t="s">
        <v>192</v>
      </c>
      <c r="B10" s="67" t="s">
        <v>108</v>
      </c>
      <c r="C10" s="176" t="s">
        <v>193</v>
      </c>
      <c r="D10" s="29" t="s">
        <v>194</v>
      </c>
      <c r="E10" s="59" t="s">
        <v>196</v>
      </c>
      <c r="F10" s="177">
        <v>51544.4</v>
      </c>
      <c r="H10" s="37"/>
      <c r="I10" s="37"/>
      <c r="J10" s="37"/>
      <c r="K10" s="37"/>
    </row>
    <row r="11" spans="1:11" ht="41.25" customHeight="1">
      <c r="A11" s="63" t="s">
        <v>272</v>
      </c>
      <c r="B11" s="67" t="s">
        <v>46</v>
      </c>
      <c r="C11" s="176" t="s">
        <v>273</v>
      </c>
      <c r="D11" s="54" t="s">
        <v>274</v>
      </c>
      <c r="E11" s="59" t="s">
        <v>276</v>
      </c>
      <c r="F11" s="177">
        <v>33674.730000000003</v>
      </c>
      <c r="H11" s="37"/>
      <c r="I11" s="37"/>
      <c r="J11" s="37"/>
      <c r="K11" s="37"/>
    </row>
    <row r="12" spans="1:11" ht="38.25" customHeight="1">
      <c r="A12" s="63" t="s">
        <v>277</v>
      </c>
      <c r="B12" s="67" t="s">
        <v>46</v>
      </c>
      <c r="C12" s="176" t="s">
        <v>278</v>
      </c>
      <c r="D12" s="54" t="s">
        <v>279</v>
      </c>
      <c r="E12" s="59" t="s">
        <v>281</v>
      </c>
      <c r="F12" s="177">
        <v>211069.98</v>
      </c>
      <c r="H12" s="37"/>
      <c r="I12" s="37"/>
      <c r="J12" s="37"/>
      <c r="K12" s="37"/>
    </row>
    <row r="13" spans="1:11" ht="41.25" customHeight="1">
      <c r="A13" s="63" t="s">
        <v>282</v>
      </c>
      <c r="B13" s="67" t="s">
        <v>46</v>
      </c>
      <c r="C13" s="176" t="s">
        <v>283</v>
      </c>
      <c r="D13" s="54" t="s">
        <v>284</v>
      </c>
      <c r="E13" s="59" t="s">
        <v>286</v>
      </c>
      <c r="F13" s="177">
        <v>36456.25</v>
      </c>
      <c r="H13" s="37"/>
      <c r="I13" s="37"/>
      <c r="J13" s="37"/>
      <c r="K13" s="37"/>
    </row>
    <row r="14" spans="1:11" ht="41.25" customHeight="1">
      <c r="A14" s="63" t="s">
        <v>395</v>
      </c>
      <c r="B14" s="63" t="s">
        <v>358</v>
      </c>
      <c r="C14" s="176" t="s">
        <v>396</v>
      </c>
      <c r="D14" s="29" t="s">
        <v>397</v>
      </c>
      <c r="E14" s="61" t="s">
        <v>399</v>
      </c>
      <c r="F14" s="177">
        <v>170000</v>
      </c>
      <c r="H14" s="37"/>
      <c r="I14" s="37"/>
      <c r="J14" s="37"/>
      <c r="K14" s="37"/>
    </row>
    <row r="15" spans="1:11" ht="27" customHeight="1">
      <c r="A15" s="116" t="s">
        <v>406</v>
      </c>
      <c r="B15" s="63" t="s">
        <v>358</v>
      </c>
      <c r="C15" s="176" t="s">
        <v>407</v>
      </c>
      <c r="D15" s="117">
        <v>27072369000166</v>
      </c>
      <c r="E15" s="61" t="s">
        <v>409</v>
      </c>
      <c r="F15" s="177">
        <v>53111.475000000006</v>
      </c>
      <c r="H15" s="37"/>
      <c r="I15" s="37"/>
      <c r="J15" s="37"/>
      <c r="K15" s="37"/>
    </row>
    <row r="16" spans="1:11" ht="35.25" customHeight="1">
      <c r="A16" s="119" t="s">
        <v>413</v>
      </c>
      <c r="B16" s="119" t="s">
        <v>414</v>
      </c>
      <c r="C16" s="176" t="s">
        <v>415</v>
      </c>
      <c r="D16" s="29" t="s">
        <v>416</v>
      </c>
      <c r="E16" s="121" t="s">
        <v>418</v>
      </c>
      <c r="F16" s="177">
        <v>27000</v>
      </c>
      <c r="H16" s="37"/>
      <c r="I16" s="37"/>
      <c r="J16" s="37"/>
      <c r="K16" s="37"/>
    </row>
    <row r="17" spans="1:11" ht="14.25" customHeight="1">
      <c r="A17" s="202" t="s">
        <v>447</v>
      </c>
      <c r="B17" s="203"/>
      <c r="C17" s="203"/>
      <c r="D17" s="203"/>
      <c r="E17" s="204"/>
      <c r="F17" s="175">
        <v>2770022.3149999999</v>
      </c>
      <c r="G17" s="135"/>
      <c r="H17" s="135"/>
      <c r="I17" s="135"/>
      <c r="J17" s="37"/>
      <c r="K17" s="37"/>
    </row>
    <row r="18" spans="1:11" ht="14.25" customHeight="1"/>
    <row r="19" spans="1:11" ht="14.25" customHeight="1">
      <c r="J19" s="13"/>
      <c r="K19" s="13"/>
    </row>
    <row r="20" spans="1:11">
      <c r="F20" s="11">
        <f>F17-1100000</f>
        <v>1670022.3149999999</v>
      </c>
    </row>
  </sheetData>
  <autoFilter ref="A3:E16" xr:uid="{00000000-0009-0000-0000-000001000000}"/>
  <mergeCells count="1">
    <mergeCell ref="A17:E1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I89"/>
  <sheetViews>
    <sheetView zoomScale="85" zoomScaleNormal="85" workbookViewId="0">
      <selection activeCell="G14" sqref="G14"/>
    </sheetView>
  </sheetViews>
  <sheetFormatPr baseColWidth="10" defaultColWidth="8.6640625" defaultRowHeight="15"/>
  <cols>
    <col min="5" max="5" width="17.83203125" customWidth="1"/>
    <col min="6" max="6" width="1.6640625" customWidth="1"/>
    <col min="7" max="7" width="15.83203125" customWidth="1"/>
    <col min="9" max="9" width="31" customWidth="1"/>
  </cols>
  <sheetData>
    <row r="2" spans="5:9">
      <c r="E2" s="29" t="s">
        <v>23</v>
      </c>
      <c r="F2" t="s">
        <v>454</v>
      </c>
      <c r="G2" t="str">
        <f t="shared" ref="G2:G33" si="0">CONCATENATE(E2,F2)</f>
        <v>VGM01N01N2N;</v>
      </c>
      <c r="I2" t="str">
        <f>G2</f>
        <v>VGM01N01N2N;</v>
      </c>
    </row>
    <row r="3" spans="5:9">
      <c r="E3" s="29" t="s">
        <v>26</v>
      </c>
      <c r="F3" t="s">
        <v>454</v>
      </c>
      <c r="G3" t="str">
        <f t="shared" si="0"/>
        <v>VGM01N01N7N;</v>
      </c>
      <c r="I3" t="str">
        <f t="shared" ref="I3:I34" si="1">I2&amp;G3</f>
        <v>VGM01N01N2N;VGM01N01N7N;</v>
      </c>
    </row>
    <row r="4" spans="5:9">
      <c r="E4" s="38" t="s">
        <v>30</v>
      </c>
      <c r="F4" t="s">
        <v>454</v>
      </c>
      <c r="G4" t="str">
        <f t="shared" si="0"/>
        <v>VGM01N01N1N;</v>
      </c>
      <c r="I4" t="str">
        <f t="shared" si="1"/>
        <v>VGM01N01N2N;VGM01N01N7N;VGM01N01N1N;</v>
      </c>
    </row>
    <row r="5" spans="5:9">
      <c r="E5" s="29" t="s">
        <v>30</v>
      </c>
      <c r="F5" t="s">
        <v>454</v>
      </c>
      <c r="G5" t="str">
        <f t="shared" si="0"/>
        <v>VGM01N01N1N;</v>
      </c>
      <c r="I5" t="str">
        <f t="shared" si="1"/>
        <v>VGM01N01N2N;VGM01N01N7N;VGM01N01N1N;VGM01N01N1N;</v>
      </c>
    </row>
    <row r="6" spans="5:9">
      <c r="E6" s="29" t="s">
        <v>36</v>
      </c>
      <c r="F6" t="s">
        <v>454</v>
      </c>
      <c r="G6" t="str">
        <f t="shared" si="0"/>
        <v>VGM01N01I2N;</v>
      </c>
      <c r="I6" t="str">
        <f t="shared" si="1"/>
        <v>VGM01N01N2N;VGM01N01N7N;VGM01N01N1N;VGM01N01N1N;VGM01N01I2N;</v>
      </c>
    </row>
    <row r="7" spans="5:9">
      <c r="E7" s="29" t="s">
        <v>343</v>
      </c>
      <c r="F7" t="s">
        <v>454</v>
      </c>
      <c r="G7" t="str">
        <f t="shared" si="0"/>
        <v>VGM01N01I3N;</v>
      </c>
      <c r="I7" t="str">
        <f t="shared" si="1"/>
        <v>VGM01N01N2N;VGM01N01N7N;VGM01N01N1N;VGM01N01N1N;VGM01N01I2N;VGM01N01I3N;</v>
      </c>
    </row>
    <row r="8" spans="5:9">
      <c r="E8" s="29" t="s">
        <v>343</v>
      </c>
      <c r="F8" t="s">
        <v>454</v>
      </c>
      <c r="G8" t="str">
        <f t="shared" si="0"/>
        <v>VGM01N01I3N;</v>
      </c>
      <c r="I8" t="str">
        <f t="shared" si="1"/>
        <v>VGM01N01N2N;VGM01N01N7N;VGM01N01N1N;VGM01N01N1N;VGM01N01I2N;VGM01N01I3N;VGM01N01I3N;</v>
      </c>
    </row>
    <row r="9" spans="5:9">
      <c r="E9" s="38" t="s">
        <v>36</v>
      </c>
      <c r="F9" t="s">
        <v>454</v>
      </c>
      <c r="G9" t="str">
        <f t="shared" si="0"/>
        <v>VGM01N01I2N;</v>
      </c>
      <c r="I9" t="str">
        <f t="shared" si="1"/>
        <v>VGM01N01N2N;VGM01N01N7N;VGM01N01N1N;VGM01N01N1N;VGM01N01I2N;VGM01N01I3N;VGM01N01I3N;VGM01N01I2N;</v>
      </c>
    </row>
    <row r="10" spans="5:9">
      <c r="E10" s="38" t="s">
        <v>57</v>
      </c>
      <c r="F10" t="s">
        <v>454</v>
      </c>
      <c r="G10" t="str">
        <f t="shared" si="0"/>
        <v>VGM01N01I4N;</v>
      </c>
      <c r="I10" t="str">
        <f t="shared" si="1"/>
        <v>VGM01N01N2N;VGM01N01N7N;VGM01N01N1N;VGM01N01N1N;VGM01N01I2N;VGM01N01I3N;VGM01N01I3N;VGM01N01I2N;VGM01N01I4N;</v>
      </c>
    </row>
    <row r="11" spans="5:9">
      <c r="E11" s="38" t="s">
        <v>63</v>
      </c>
      <c r="F11" t="s">
        <v>454</v>
      </c>
      <c r="G11" t="str">
        <f t="shared" si="0"/>
        <v>VGM01N01A2N;</v>
      </c>
      <c r="I11" t="str">
        <f t="shared" si="1"/>
        <v>VGM01N01N2N;VGM01N01N7N;VGM01N01N1N;VGM01N01N1N;VGM01N01I2N;VGM01N01I3N;VGM01N01I3N;VGM01N01I2N;VGM01N01I4N;VGM01N01A2N;</v>
      </c>
    </row>
    <row r="12" spans="5:9">
      <c r="E12" s="57" t="s">
        <v>67</v>
      </c>
      <c r="F12" t="s">
        <v>454</v>
      </c>
      <c r="G12" t="str">
        <f t="shared" si="0"/>
        <v>VGM01N01A3N;</v>
      </c>
      <c r="I12" t="str">
        <f t="shared" si="1"/>
        <v>VGM01N01N2N;VGM01N01N7N;VGM01N01N1N;VGM01N01N1N;VGM01N01I2N;VGM01N01I3N;VGM01N01I3N;VGM01N01I2N;VGM01N01I4N;VGM01N01A2N;VGM01N01A3N;</v>
      </c>
    </row>
    <row r="13" spans="5:9">
      <c r="E13" s="54" t="s">
        <v>67</v>
      </c>
      <c r="F13" t="s">
        <v>454</v>
      </c>
      <c r="G13" t="str">
        <f t="shared" si="0"/>
        <v>VGM01N01A3N;</v>
      </c>
      <c r="I13" t="str">
        <f t="shared" si="1"/>
        <v>VGM01N01N2N;VGM01N01N7N;VGM01N01N1N;VGM01N01N1N;VGM01N01I2N;VGM01N01I3N;VGM01N01I3N;VGM01N01I2N;VGM01N01I4N;VGM01N01A2N;VGM01N01A3N;VGM01N01A3N;</v>
      </c>
    </row>
    <row r="14" spans="5:9">
      <c r="E14" s="57" t="s">
        <v>73</v>
      </c>
      <c r="F14" t="s">
        <v>454</v>
      </c>
      <c r="G14" t="str">
        <f t="shared" si="0"/>
        <v>VGM01N01K8N;</v>
      </c>
      <c r="I14" t="str">
        <f t="shared" si="1"/>
        <v>VGM01N01N2N;VGM01N01N7N;VGM01N01N1N;VGM01N01N1N;VGM01N01I2N;VGM01N01I3N;VGM01N01I3N;VGM01N01I2N;VGM01N01I4N;VGM01N01A2N;VGM01N01A3N;VGM01N01A3N;VGM01N01K8N;</v>
      </c>
    </row>
    <row r="15" spans="5:9">
      <c r="E15" s="57" t="s">
        <v>76</v>
      </c>
      <c r="F15" t="s">
        <v>454</v>
      </c>
      <c r="G15" t="str">
        <f t="shared" si="0"/>
        <v>VGM01N01Q4N;</v>
      </c>
      <c r="I15" t="str">
        <f t="shared" si="1"/>
        <v>VGM01N01N2N;VGM01N01N7N;VGM01N01N1N;VGM01N01N1N;VGM01N01I2N;VGM01N01I3N;VGM01N01I3N;VGM01N01I2N;VGM01N01I4N;VGM01N01A2N;VGM01N01A3N;VGM01N01A3N;VGM01N01K8N;VGM01N01Q4N;</v>
      </c>
    </row>
    <row r="16" spans="5:9">
      <c r="E16" s="29" t="s">
        <v>83</v>
      </c>
      <c r="F16" t="s">
        <v>454</v>
      </c>
      <c r="G16" t="str">
        <f t="shared" si="0"/>
        <v>VGM01N01L3N;</v>
      </c>
      <c r="I16" t="str">
        <f t="shared" si="1"/>
        <v>VGM01N01N2N;VGM01N01N7N;VGM01N01N1N;VGM01N01N1N;VGM01N01I2N;VGM01N01I3N;VGM01N01I3N;VGM01N01I2N;VGM01N01I4N;VGM01N01A2N;VGM01N01A3N;VGM01N01A3N;VGM01N01K8N;VGM01N01Q4N;VGM01N01L3N;</v>
      </c>
    </row>
    <row r="17" spans="5:9">
      <c r="E17" s="29" t="s">
        <v>83</v>
      </c>
      <c r="F17" t="s">
        <v>454</v>
      </c>
      <c r="G17" t="str">
        <f t="shared" si="0"/>
        <v>VGM01N01L3N;</v>
      </c>
      <c r="I17" t="str">
        <f t="shared" si="1"/>
        <v>VGM01N01N2N;VGM01N01N7N;VGM01N01N1N;VGM01N01N1N;VGM01N01I2N;VGM01N01I3N;VGM01N01I3N;VGM01N01I2N;VGM01N01I4N;VGM01N01A2N;VGM01N01A3N;VGM01N01A3N;VGM01N01K8N;VGM01N01Q4N;VGM01N01L3N;VGM01N01L3N;</v>
      </c>
    </row>
    <row r="18" spans="5:9">
      <c r="E18" s="38" t="s">
        <v>83</v>
      </c>
      <c r="F18" t="s">
        <v>454</v>
      </c>
      <c r="G18" t="str">
        <f t="shared" si="0"/>
        <v>VGM01N01L3N;</v>
      </c>
      <c r="I18" t="str">
        <f t="shared" si="1"/>
        <v>VGM01N01N2N;VGM01N01N7N;VGM01N01N1N;VGM01N01N1N;VGM01N01I2N;VGM01N01I3N;VGM01N01I3N;VGM01N01I2N;VGM01N01I4N;VGM01N01A2N;VGM01N01A3N;VGM01N01A3N;VGM01N01K8N;VGM01N01Q4N;VGM01N01L3N;VGM01N01L3N;VGM01N01L3N;</v>
      </c>
    </row>
    <row r="19" spans="5:9">
      <c r="E19" s="38" t="s">
        <v>83</v>
      </c>
      <c r="F19" t="s">
        <v>454</v>
      </c>
      <c r="G19" t="str">
        <f t="shared" si="0"/>
        <v>VGM01N01L3N;</v>
      </c>
      <c r="I19" t="str">
        <f t="shared" si="1"/>
        <v>VGM01N01N2N;VGM01N01N7N;VGM01N01N1N;VGM01N01N1N;VGM01N01I2N;VGM01N01I3N;VGM01N01I3N;VGM01N01I2N;VGM01N01I4N;VGM01N01A2N;VGM01N01A3N;VGM01N01A3N;VGM01N01K8N;VGM01N01Q4N;VGM01N01L3N;VGM01N01L3N;VGM01N01L3N;VGM01N01L3N;</v>
      </c>
    </row>
    <row r="20" spans="5:9">
      <c r="E20" s="38" t="s">
        <v>97</v>
      </c>
      <c r="F20" t="s">
        <v>454</v>
      </c>
      <c r="G20" t="str">
        <f t="shared" si="0"/>
        <v>VGM01N01P2N;</v>
      </c>
      <c r="I20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</v>
      </c>
    </row>
    <row r="21" spans="5:9">
      <c r="E21" s="38" t="s">
        <v>26</v>
      </c>
      <c r="F21" t="s">
        <v>454</v>
      </c>
      <c r="G21" t="str">
        <f t="shared" si="0"/>
        <v>VGM01N01N7N;</v>
      </c>
      <c r="I21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</v>
      </c>
    </row>
    <row r="22" spans="5:9">
      <c r="E22" s="71" t="s">
        <v>109</v>
      </c>
      <c r="F22" t="s">
        <v>454</v>
      </c>
      <c r="G22" t="str">
        <f t="shared" si="0"/>
        <v>VGM01N01E4N;</v>
      </c>
      <c r="I22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</v>
      </c>
    </row>
    <row r="23" spans="5:9">
      <c r="E23" s="38" t="s">
        <v>109</v>
      </c>
      <c r="F23" t="s">
        <v>454</v>
      </c>
      <c r="G23" t="str">
        <f t="shared" si="0"/>
        <v>VGM01N01E4N;</v>
      </c>
      <c r="I23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</v>
      </c>
    </row>
    <row r="24" spans="5:9">
      <c r="E24" s="38" t="s">
        <v>126</v>
      </c>
      <c r="F24" t="s">
        <v>454</v>
      </c>
      <c r="G24" t="str">
        <f t="shared" si="0"/>
        <v>VGM01N01I6N;</v>
      </c>
      <c r="I24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</v>
      </c>
    </row>
    <row r="25" spans="5:9">
      <c r="E25" s="38" t="s">
        <v>131</v>
      </c>
      <c r="F25" t="s">
        <v>454</v>
      </c>
      <c r="G25" t="str">
        <f t="shared" si="0"/>
        <v>VGM01N01I5N;</v>
      </c>
      <c r="I25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</v>
      </c>
    </row>
    <row r="26" spans="5:9">
      <c r="E26" s="38" t="s">
        <v>137</v>
      </c>
      <c r="F26" t="s">
        <v>454</v>
      </c>
      <c r="G26" t="str">
        <f t="shared" si="0"/>
        <v>VGM01N01D3N;</v>
      </c>
      <c r="I26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</v>
      </c>
    </row>
    <row r="27" spans="5:9">
      <c r="E27" s="38" t="s">
        <v>143</v>
      </c>
      <c r="F27" t="s">
        <v>454</v>
      </c>
      <c r="G27" t="str">
        <f t="shared" si="0"/>
        <v>VGM01N01A5N;</v>
      </c>
      <c r="I27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</v>
      </c>
    </row>
    <row r="28" spans="5:9">
      <c r="E28" s="59" t="s">
        <v>149</v>
      </c>
      <c r="F28" t="s">
        <v>454</v>
      </c>
      <c r="G28" t="str">
        <f t="shared" si="0"/>
        <v>VGM01N01K1N;</v>
      </c>
      <c r="I28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</v>
      </c>
    </row>
    <row r="29" spans="5:9">
      <c r="E29" s="38" t="s">
        <v>155</v>
      </c>
      <c r="F29" t="s">
        <v>454</v>
      </c>
      <c r="G29" t="str">
        <f t="shared" si="0"/>
        <v>VGM01N01F1N;</v>
      </c>
      <c r="I29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</v>
      </c>
    </row>
    <row r="30" spans="5:9">
      <c r="E30" s="71" t="s">
        <v>159</v>
      </c>
      <c r="F30" t="s">
        <v>454</v>
      </c>
      <c r="G30" t="str">
        <f t="shared" si="0"/>
        <v>VGM01N01A4N;</v>
      </c>
      <c r="I30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</v>
      </c>
    </row>
    <row r="31" spans="5:9">
      <c r="E31" s="57" t="s">
        <v>164</v>
      </c>
      <c r="F31" t="s">
        <v>454</v>
      </c>
      <c r="G31" t="str">
        <f t="shared" si="0"/>
        <v>VGM01N01O7N;</v>
      </c>
      <c r="I31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</v>
      </c>
    </row>
    <row r="32" spans="5:9">
      <c r="E32" s="57" t="s">
        <v>169</v>
      </c>
      <c r="F32" t="s">
        <v>454</v>
      </c>
      <c r="G32" t="str">
        <f t="shared" si="0"/>
        <v>VGM01N01P6N;</v>
      </c>
      <c r="I32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</v>
      </c>
    </row>
    <row r="33" spans="5:9">
      <c r="E33" s="54" t="s">
        <v>179</v>
      </c>
      <c r="F33" t="s">
        <v>454</v>
      </c>
      <c r="G33" t="str">
        <f t="shared" si="0"/>
        <v>VGM01N01B8;</v>
      </c>
      <c r="I33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</v>
      </c>
    </row>
    <row r="34" spans="5:9">
      <c r="E34" s="38" t="s">
        <v>182</v>
      </c>
      <c r="F34" t="s">
        <v>454</v>
      </c>
      <c r="G34" t="str">
        <f t="shared" ref="G34:G65" si="2">CONCATENATE(E34,F34)</f>
        <v>VGM01N01P4N;</v>
      </c>
      <c r="I34" t="str">
        <f t="shared" si="1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</v>
      </c>
    </row>
    <row r="35" spans="5:9">
      <c r="E35" s="71" t="s">
        <v>109</v>
      </c>
      <c r="F35" t="s">
        <v>454</v>
      </c>
      <c r="G35" t="str">
        <f t="shared" si="2"/>
        <v>VGM01N01E4N;</v>
      </c>
      <c r="I35" t="str">
        <f t="shared" ref="I35:I66" si="3">I34&amp;G35</f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</v>
      </c>
    </row>
    <row r="36" spans="5:9">
      <c r="E36" s="79" t="s">
        <v>193</v>
      </c>
      <c r="F36" t="s">
        <v>454</v>
      </c>
      <c r="G36" t="str">
        <f t="shared" si="2"/>
        <v>VGM01N01D5N;</v>
      </c>
      <c r="I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</v>
      </c>
    </row>
    <row r="37" spans="5:9">
      <c r="E37" s="79" t="s">
        <v>198</v>
      </c>
      <c r="F37" t="s">
        <v>454</v>
      </c>
      <c r="G37" t="str">
        <f t="shared" si="2"/>
        <v>VGM01N01O2N;</v>
      </c>
      <c r="I37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</v>
      </c>
    </row>
    <row r="38" spans="5:9">
      <c r="E38" s="79" t="s">
        <v>198</v>
      </c>
      <c r="F38" t="s">
        <v>454</v>
      </c>
      <c r="G38" t="str">
        <f t="shared" si="2"/>
        <v>VGM01N01O2N;</v>
      </c>
      <c r="I38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</v>
      </c>
    </row>
    <row r="39" spans="5:9">
      <c r="E39" s="79" t="s">
        <v>204</v>
      </c>
      <c r="F39" t="s">
        <v>454</v>
      </c>
      <c r="G39" t="str">
        <f t="shared" si="2"/>
        <v>VGM01N01B7N;</v>
      </c>
      <c r="I39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</v>
      </c>
    </row>
    <row r="40" spans="5:9">
      <c r="E40" s="79" t="s">
        <v>204</v>
      </c>
      <c r="F40" t="s">
        <v>454</v>
      </c>
      <c r="G40" t="str">
        <f t="shared" si="2"/>
        <v>VGM01N01B7N;</v>
      </c>
      <c r="I40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</v>
      </c>
    </row>
    <row r="41" spans="5:9">
      <c r="E41" s="50" t="s">
        <v>209</v>
      </c>
      <c r="F41" t="s">
        <v>454</v>
      </c>
      <c r="G41" t="str">
        <f t="shared" si="2"/>
        <v>VGM01N01F7N;</v>
      </c>
      <c r="I41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</v>
      </c>
    </row>
    <row r="42" spans="5:9">
      <c r="E42" s="71" t="s">
        <v>455</v>
      </c>
      <c r="F42" t="s">
        <v>454</v>
      </c>
      <c r="G42" t="str">
        <f t="shared" si="2"/>
        <v>VGM01N01A7N;</v>
      </c>
      <c r="I42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</v>
      </c>
    </row>
    <row r="43" spans="5:9">
      <c r="E43" s="71" t="s">
        <v>221</v>
      </c>
      <c r="F43" t="s">
        <v>454</v>
      </c>
      <c r="G43" t="str">
        <f t="shared" si="2"/>
        <v>VGM01N01A8N;</v>
      </c>
      <c r="I43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</v>
      </c>
    </row>
    <row r="44" spans="5:9">
      <c r="E44" s="71" t="s">
        <v>227</v>
      </c>
      <c r="F44" t="s">
        <v>454</v>
      </c>
      <c r="G44" t="str">
        <f t="shared" si="2"/>
        <v>VGM01N01A9N;</v>
      </c>
      <c r="I44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</v>
      </c>
    </row>
    <row r="45" spans="5:9">
      <c r="E45" s="71" t="s">
        <v>233</v>
      </c>
      <c r="F45" t="s">
        <v>454</v>
      </c>
      <c r="G45" t="str">
        <f t="shared" si="2"/>
        <v>VGM01N01P5N;</v>
      </c>
      <c r="I45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</v>
      </c>
    </row>
    <row r="46" spans="5:9">
      <c r="E46" s="85" t="s">
        <v>238</v>
      </c>
      <c r="F46" t="s">
        <v>454</v>
      </c>
      <c r="G46" t="str">
        <f t="shared" si="2"/>
        <v>VGM01N01B3N;</v>
      </c>
      <c r="I4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</v>
      </c>
    </row>
    <row r="47" spans="5:9">
      <c r="E47" s="71" t="s">
        <v>244</v>
      </c>
      <c r="F47" t="s">
        <v>454</v>
      </c>
      <c r="G47" t="str">
        <f t="shared" si="2"/>
        <v>VGM01N01H3N;</v>
      </c>
      <c r="I47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</v>
      </c>
    </row>
    <row r="48" spans="5:9">
      <c r="E48" s="71" t="s">
        <v>249</v>
      </c>
      <c r="F48" t="s">
        <v>454</v>
      </c>
      <c r="G48" t="str">
        <f t="shared" si="2"/>
        <v>VGA02N43E3N;</v>
      </c>
      <c r="I48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</v>
      </c>
    </row>
    <row r="49" spans="5:9">
      <c r="E49" s="71" t="s">
        <v>244</v>
      </c>
      <c r="F49" t="s">
        <v>454</v>
      </c>
      <c r="G49" t="str">
        <f t="shared" si="2"/>
        <v>VGM01N01H3N;</v>
      </c>
      <c r="I49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</v>
      </c>
    </row>
    <row r="50" spans="5:9">
      <c r="E50" s="57" t="s">
        <v>258</v>
      </c>
      <c r="F50" t="s">
        <v>454</v>
      </c>
      <c r="G50" t="str">
        <f t="shared" si="2"/>
        <v>VGM01N01C5N;</v>
      </c>
      <c r="I50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</v>
      </c>
    </row>
    <row r="51" spans="5:9">
      <c r="E51" s="29" t="s">
        <v>264</v>
      </c>
      <c r="F51" t="s">
        <v>454</v>
      </c>
      <c r="G51" t="str">
        <f t="shared" si="2"/>
        <v>VGM01N01Q1N;</v>
      </c>
      <c r="I51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</v>
      </c>
    </row>
    <row r="52" spans="5:9">
      <c r="E52" s="29" t="s">
        <v>264</v>
      </c>
      <c r="F52" t="s">
        <v>454</v>
      </c>
      <c r="G52" t="str">
        <f t="shared" si="2"/>
        <v>VGM01N01Q1N;</v>
      </c>
      <c r="I52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</v>
      </c>
    </row>
    <row r="53" spans="5:9" ht="380">
      <c r="E53" s="57" t="s">
        <v>456</v>
      </c>
      <c r="F53" t="s">
        <v>454</v>
      </c>
      <c r="G53" s="136" t="str">
        <f t="shared" si="2"/>
        <v>VGM01N01A7N
;</v>
      </c>
      <c r="I53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</v>
      </c>
    </row>
    <row r="54" spans="5:9" ht="380">
      <c r="E54" s="71" t="s">
        <v>221</v>
      </c>
      <c r="F54" t="s">
        <v>454</v>
      </c>
      <c r="G54" t="str">
        <f t="shared" si="2"/>
        <v>VGM01N01A8N;</v>
      </c>
      <c r="I54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</v>
      </c>
    </row>
    <row r="55" spans="5:9" ht="380">
      <c r="E55" s="57" t="s">
        <v>143</v>
      </c>
      <c r="F55" t="s">
        <v>454</v>
      </c>
      <c r="G55" t="str">
        <f t="shared" si="2"/>
        <v>VGM01N01A5N;</v>
      </c>
      <c r="I55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</v>
      </c>
    </row>
    <row r="56" spans="5:9" ht="395">
      <c r="E56" s="57" t="s">
        <v>238</v>
      </c>
      <c r="F56" t="s">
        <v>454</v>
      </c>
      <c r="G56" t="str">
        <f t="shared" si="2"/>
        <v>VGM01N01B3N;</v>
      </c>
      <c r="I56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</v>
      </c>
    </row>
    <row r="57" spans="5:9" ht="395">
      <c r="E57" s="92" t="s">
        <v>295</v>
      </c>
      <c r="F57" t="s">
        <v>454</v>
      </c>
      <c r="G57" t="str">
        <f t="shared" si="2"/>
        <v>VGM01N01E8N;</v>
      </c>
      <c r="I57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</v>
      </c>
    </row>
    <row r="58" spans="5:9" ht="409.6">
      <c r="E58" s="92" t="s">
        <v>301</v>
      </c>
      <c r="F58" t="s">
        <v>454</v>
      </c>
      <c r="G58" t="str">
        <f t="shared" si="2"/>
        <v>VGM01N01E9N;</v>
      </c>
      <c r="I58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</v>
      </c>
    </row>
    <row r="59" spans="5:9" ht="409.6">
      <c r="E59" s="92" t="s">
        <v>457</v>
      </c>
      <c r="F59" t="s">
        <v>454</v>
      </c>
      <c r="G59" t="str">
        <f t="shared" si="2"/>
        <v>VGM01N01D4N;</v>
      </c>
      <c r="I59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</v>
      </c>
    </row>
    <row r="60" spans="5:9" ht="409.6">
      <c r="E60" s="92" t="s">
        <v>457</v>
      </c>
      <c r="F60" t="s">
        <v>454</v>
      </c>
      <c r="G60" t="str">
        <f t="shared" si="2"/>
        <v>VGM01N01D4N;</v>
      </c>
      <c r="I60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</v>
      </c>
    </row>
    <row r="61" spans="5:9" ht="409.6">
      <c r="E61" s="99" t="s">
        <v>315</v>
      </c>
      <c r="F61" t="s">
        <v>454</v>
      </c>
      <c r="G61" t="str">
        <f t="shared" si="2"/>
        <v>VGM01N01D2N;</v>
      </c>
      <c r="I61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</v>
      </c>
    </row>
    <row r="62" spans="5:9" ht="409.6">
      <c r="E62" s="92" t="s">
        <v>320</v>
      </c>
      <c r="F62" t="s">
        <v>454</v>
      </c>
      <c r="G62" t="str">
        <f t="shared" si="2"/>
        <v>VGM01N01Q7N;</v>
      </c>
      <c r="I62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</v>
      </c>
    </row>
    <row r="63" spans="5:9" ht="409.6">
      <c r="E63" s="92" t="s">
        <v>320</v>
      </c>
      <c r="F63" t="s">
        <v>454</v>
      </c>
      <c r="G63" t="str">
        <f t="shared" si="2"/>
        <v>VGM01N01Q7N;</v>
      </c>
      <c r="I63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</v>
      </c>
    </row>
    <row r="64" spans="5:9" ht="409.6">
      <c r="E64" s="92" t="s">
        <v>330</v>
      </c>
      <c r="F64" t="s">
        <v>454</v>
      </c>
      <c r="G64" t="str">
        <f t="shared" si="2"/>
        <v>VGM01N01I7N;</v>
      </c>
      <c r="I64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</v>
      </c>
    </row>
    <row r="65" spans="5:9" ht="409.6">
      <c r="E65" s="29" t="s">
        <v>330</v>
      </c>
      <c r="F65" t="s">
        <v>454</v>
      </c>
      <c r="G65" t="str">
        <f t="shared" si="2"/>
        <v>VGM01N01I7N;</v>
      </c>
      <c r="I65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</v>
      </c>
    </row>
    <row r="66" spans="5:9" ht="409.6">
      <c r="E66" s="92" t="s">
        <v>36</v>
      </c>
      <c r="F66" t="s">
        <v>454</v>
      </c>
      <c r="G66" t="str">
        <f t="shared" ref="G66:G89" si="4">CONCATENATE(E66,F66)</f>
        <v>VGM01N01I2N;</v>
      </c>
      <c r="I66" s="136" t="str">
        <f t="shared" si="3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</v>
      </c>
    </row>
    <row r="67" spans="5:9" ht="409.6">
      <c r="E67" s="92" t="s">
        <v>343</v>
      </c>
      <c r="F67" t="s">
        <v>454</v>
      </c>
      <c r="G67" t="str">
        <f t="shared" si="4"/>
        <v>VGM01N01I3N;</v>
      </c>
      <c r="I67" s="136" t="str">
        <f t="shared" ref="I67:I89" si="5">I66&amp;G67</f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</v>
      </c>
    </row>
    <row r="68" spans="5:9" ht="409.6">
      <c r="E68" s="92" t="s">
        <v>347</v>
      </c>
      <c r="F68" t="s">
        <v>454</v>
      </c>
      <c r="G68" t="str">
        <f t="shared" si="4"/>
        <v>VGM01N01K6N;</v>
      </c>
      <c r="I68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</v>
      </c>
    </row>
    <row r="69" spans="5:9" ht="409.6">
      <c r="E69" s="38" t="s">
        <v>352</v>
      </c>
      <c r="F69" t="s">
        <v>454</v>
      </c>
      <c r="G69" t="str">
        <f t="shared" si="4"/>
        <v>VGM01N01B5N;</v>
      </c>
      <c r="I69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</v>
      </c>
    </row>
    <row r="70" spans="5:9" ht="409.6">
      <c r="E70" s="29" t="s">
        <v>359</v>
      </c>
      <c r="F70" t="s">
        <v>454</v>
      </c>
      <c r="G70" t="str">
        <f t="shared" si="4"/>
        <v>VGM01N01N5N;</v>
      </c>
      <c r="I70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</v>
      </c>
    </row>
    <row r="71" spans="5:9" ht="409.6">
      <c r="E71" s="29" t="s">
        <v>361</v>
      </c>
      <c r="F71" t="s">
        <v>454</v>
      </c>
      <c r="G71" t="str">
        <f t="shared" si="4"/>
        <v>VEP01S19A1N;</v>
      </c>
      <c r="I71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</v>
      </c>
    </row>
    <row r="72" spans="5:9" ht="409.6">
      <c r="E72" s="29" t="s">
        <v>364</v>
      </c>
      <c r="F72" t="s">
        <v>454</v>
      </c>
      <c r="G72" t="str">
        <f t="shared" si="4"/>
        <v>VGH01N0112N;</v>
      </c>
      <c r="I72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</v>
      </c>
    </row>
    <row r="73" spans="5:9" ht="409.6">
      <c r="E73" s="29" t="s">
        <v>364</v>
      </c>
      <c r="F73" t="s">
        <v>454</v>
      </c>
      <c r="G73" t="str">
        <f t="shared" si="4"/>
        <v>VGH01N0112N;</v>
      </c>
      <c r="I73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</v>
      </c>
    </row>
    <row r="74" spans="5:9" ht="409.6">
      <c r="E74" s="29" t="s">
        <v>364</v>
      </c>
      <c r="F74" t="s">
        <v>454</v>
      </c>
      <c r="G74" t="str">
        <f t="shared" si="4"/>
        <v>VGH01N0112N;</v>
      </c>
      <c r="I74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</v>
      </c>
    </row>
    <row r="75" spans="5:9" ht="409.6">
      <c r="E75" s="111" t="s">
        <v>376</v>
      </c>
      <c r="F75" t="s">
        <v>454</v>
      </c>
      <c r="G75" t="str">
        <f t="shared" si="4"/>
        <v>VGH01N0111N;</v>
      </c>
      <c r="I75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</v>
      </c>
    </row>
    <row r="76" spans="5:9" ht="409.6">
      <c r="E76" s="38" t="s">
        <v>379</v>
      </c>
      <c r="F76" t="s">
        <v>454</v>
      </c>
      <c r="G76" t="str">
        <f t="shared" si="4"/>
        <v>VGR02N01A1N;</v>
      </c>
      <c r="I76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</v>
      </c>
    </row>
    <row r="77" spans="5:9" ht="409.6">
      <c r="E77" s="29" t="s">
        <v>383</v>
      </c>
      <c r="F77" t="s">
        <v>454</v>
      </c>
      <c r="G77" t="str">
        <f t="shared" si="4"/>
        <v>VGR02N01A2N;</v>
      </c>
      <c r="I77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</v>
      </c>
    </row>
    <row r="78" spans="5:9" ht="409.6">
      <c r="E78" s="38" t="s">
        <v>387</v>
      </c>
      <c r="F78" t="s">
        <v>454</v>
      </c>
      <c r="G78" t="str">
        <f t="shared" si="4"/>
        <v>VGM01N01J5N;</v>
      </c>
      <c r="I78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</v>
      </c>
    </row>
    <row r="79" spans="5:9" ht="409.6">
      <c r="E79" s="38" t="s">
        <v>396</v>
      </c>
      <c r="F79" t="s">
        <v>454</v>
      </c>
      <c r="G79" t="str">
        <f t="shared" si="4"/>
        <v>VGM01N01P1N;</v>
      </c>
      <c r="I79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</v>
      </c>
    </row>
    <row r="80" spans="5:9" ht="409.6">
      <c r="E80" s="29" t="s">
        <v>401</v>
      </c>
      <c r="F80" t="s">
        <v>454</v>
      </c>
      <c r="G80" t="str">
        <f t="shared" si="4"/>
        <v>VGM01N01L7N;</v>
      </c>
      <c r="I80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</v>
      </c>
    </row>
    <row r="81" spans="5:9" ht="409.6">
      <c r="E81" s="54" t="s">
        <v>407</v>
      </c>
      <c r="F81" t="s">
        <v>454</v>
      </c>
      <c r="G81" t="str">
        <f t="shared" si="4"/>
        <v>VGM01N01E2N;</v>
      </c>
      <c r="I81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</v>
      </c>
    </row>
    <row r="82" spans="5:9" ht="409.6">
      <c r="E82" s="54" t="s">
        <v>407</v>
      </c>
      <c r="F82" t="s">
        <v>454</v>
      </c>
      <c r="G82" t="str">
        <f t="shared" si="4"/>
        <v>VGM01N01E2N;</v>
      </c>
      <c r="I82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</v>
      </c>
    </row>
    <row r="83" spans="5:9" ht="409.6">
      <c r="E83" s="29" t="s">
        <v>23</v>
      </c>
      <c r="F83" t="s">
        <v>454</v>
      </c>
      <c r="G83" t="str">
        <f t="shared" si="4"/>
        <v>VGM01N01N2N;</v>
      </c>
      <c r="I83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</v>
      </c>
    </row>
    <row r="84" spans="5:9" ht="409.6">
      <c r="E84" s="29" t="s">
        <v>26</v>
      </c>
      <c r="F84" t="s">
        <v>454</v>
      </c>
      <c r="G84" t="str">
        <f t="shared" si="4"/>
        <v>VGM01N01N7N;</v>
      </c>
      <c r="I84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</v>
      </c>
    </row>
    <row r="85" spans="5:9" ht="409.6">
      <c r="E85" s="38" t="s">
        <v>30</v>
      </c>
      <c r="F85" t="s">
        <v>454</v>
      </c>
      <c r="G85" t="str">
        <f t="shared" si="4"/>
        <v>VGM01N01N1N;</v>
      </c>
      <c r="I85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VGM01N01N1N;</v>
      </c>
    </row>
    <row r="86" spans="5:9" ht="409.6">
      <c r="E86" s="29" t="s">
        <v>30</v>
      </c>
      <c r="F86" t="s">
        <v>454</v>
      </c>
      <c r="G86" t="str">
        <f t="shared" si="4"/>
        <v>VGM01N01N1N;</v>
      </c>
      <c r="I86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VGM01N01N1N;VGM01N01N1N;</v>
      </c>
    </row>
    <row r="87" spans="5:9" ht="409.6">
      <c r="E87" s="29" t="s">
        <v>36</v>
      </c>
      <c r="F87" t="s">
        <v>454</v>
      </c>
      <c r="G87" t="str">
        <f t="shared" si="4"/>
        <v>VGM01N01I2N;</v>
      </c>
      <c r="I87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VGM01N01N1N;VGM01N01N1N;VGM01N01I2N;</v>
      </c>
    </row>
    <row r="88" spans="5:9" ht="409.6">
      <c r="E88" s="29" t="s">
        <v>343</v>
      </c>
      <c r="F88" t="s">
        <v>454</v>
      </c>
      <c r="G88" t="str">
        <f t="shared" si="4"/>
        <v>VGM01N01I3N;</v>
      </c>
      <c r="I88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VGM01N01N1N;VGM01N01N1N;VGM01N01I2N;VGM01N01I3N;</v>
      </c>
    </row>
    <row r="89" spans="5:9" ht="409.6">
      <c r="E89" s="29" t="s">
        <v>343</v>
      </c>
      <c r="G89" t="str">
        <f t="shared" si="4"/>
        <v>VGM01N01I3N</v>
      </c>
      <c r="I89" s="136" t="str">
        <f t="shared" si="5"/>
        <v>VGM01N01N2N;VGM01N01N7N;VGM01N01N1N;VGM01N01N1N;VGM01N01I2N;VGM01N01I3N;VGM01N01I3N;VGM01N01I2N;VGM01N01I4N;VGM01N01A2N;VGM01N01A3N;VGM01N01A3N;VGM01N01K8N;VGM01N01Q4N;VGM01N01L3N;VGM01N01L3N;VGM01N01L3N;VGM01N01L3N;VGM01N01P2N;VGM01N01N7N;VGM01N01E4N;VGM01N01E4N;VGM01N01I6N;VGM01N01I5N;VGM01N01D3N;VGM01N01A5N;VGM01N01K1N;VGM01N01F1N;VGM01N01A4N;VGM01N01O7N;VGM01N01P6N;VGM01N01B8;VGM01N01P4N;VGM01N01E4N;VGM01N01D5N;VGM01N01O2N;VGM01N01O2N;VGM01N01B7N;VGM01N01B7N;VGM01N01F7N;VGM01N01A7N;VGM01N01A8N;VGM01N01A9N;VGM01N01P5N;VGM01N01B3N;VGM01N01H3N;VGA02N43E3N;VGM01N01H3N;VGM01N01C5N;VGM01N01Q1N;VGM01N01Q1N;VGM01N01A7N
;VGM01N01A8N;VGM01N01A5N;VGM01N01B3N;VGM01N01E8N;VGM01N01E9N;VGM01N01D4N;VGM01N01D4N;VGM01N01D2N;VGM01N01Q7N;VGM01N01Q7N;VGM01N01I7N;VGM01N01I7N;VGM01N01I2N;VGM01N01I3N;VGM01N01K6N;VGM01N01B5N;VGM01N01N5N;VEP01S19A1N;VGH01N0112N;VGH01N0112N;VGH01N0112N;VGH01N0111N;VGR02N01A1N;VGR02N01A2N;VGM01N01J5N;VGM01N01P1N;VGM01N01L7N;VGM01N01E2N;VGM01N01E2N;VGM01N01N2N;VGM01N01N7N;VGM01N01N1N;VGM01N01N1N;VGM01N01I2N;VGM01N01I3N;VGM01N01I3N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4"/>
  <sheetViews>
    <sheetView zoomScale="85" zoomScaleNormal="85" workbookViewId="0">
      <selection activeCell="G24" sqref="G24"/>
    </sheetView>
  </sheetViews>
  <sheetFormatPr baseColWidth="10" defaultColWidth="8.6640625" defaultRowHeight="15"/>
  <cols>
    <col min="1" max="1" width="46" customWidth="1"/>
    <col min="2" max="2" width="13.83203125" customWidth="1"/>
    <col min="3" max="3" width="16.33203125" customWidth="1"/>
    <col min="4" max="4" width="17.1640625" customWidth="1"/>
    <col min="5" max="5" width="14.5" customWidth="1"/>
  </cols>
  <sheetData>
    <row r="2" spans="1:5" s="5" customFormat="1" ht="45">
      <c r="A2" s="21" t="s">
        <v>2</v>
      </c>
      <c r="B2" s="21" t="s">
        <v>458</v>
      </c>
      <c r="C2" s="21" t="s">
        <v>459</v>
      </c>
      <c r="D2" s="24" t="s">
        <v>460</v>
      </c>
      <c r="E2" s="24" t="s">
        <v>461</v>
      </c>
    </row>
    <row r="3" spans="1:5" s="5" customFormat="1">
      <c r="A3" s="63" t="s">
        <v>462</v>
      </c>
      <c r="B3" s="137"/>
      <c r="C3" s="29" t="s">
        <v>463</v>
      </c>
      <c r="D3" s="138"/>
      <c r="E3" s="138">
        <v>27120.73</v>
      </c>
    </row>
    <row r="4" spans="1:5" s="5" customFormat="1">
      <c r="A4" s="63" t="s">
        <v>462</v>
      </c>
      <c r="B4" s="137"/>
      <c r="C4" s="139" t="s">
        <v>464</v>
      </c>
      <c r="D4" s="138"/>
      <c r="E4" s="138">
        <v>221425</v>
      </c>
    </row>
    <row r="5" spans="1:5" s="5" customFormat="1">
      <c r="A5" s="63" t="s">
        <v>465</v>
      </c>
      <c r="B5" s="137"/>
      <c r="C5" s="29" t="s">
        <v>466</v>
      </c>
      <c r="D5" s="138"/>
      <c r="E5" s="2">
        <v>102600</v>
      </c>
    </row>
    <row r="6" spans="1:5" s="5" customFormat="1">
      <c r="A6" s="63" t="s">
        <v>465</v>
      </c>
      <c r="B6" s="137"/>
      <c r="C6" s="139" t="s">
        <v>464</v>
      </c>
      <c r="D6" s="138"/>
      <c r="E6" s="138">
        <v>43231.76</v>
      </c>
    </row>
    <row r="7" spans="1:5" s="5" customFormat="1">
      <c r="A7" s="63" t="s">
        <v>467</v>
      </c>
      <c r="B7" s="137"/>
      <c r="C7" s="29" t="s">
        <v>468</v>
      </c>
      <c r="D7" s="2"/>
      <c r="E7" s="138">
        <v>54466.67</v>
      </c>
    </row>
    <row r="8" spans="1:5" s="5" customFormat="1">
      <c r="A8" s="63" t="s">
        <v>467</v>
      </c>
      <c r="B8" s="137"/>
      <c r="C8" s="139" t="s">
        <v>464</v>
      </c>
      <c r="D8" s="2"/>
      <c r="E8" s="2"/>
    </row>
    <row r="9" spans="1:5" s="5" customFormat="1">
      <c r="A9" s="63" t="s">
        <v>469</v>
      </c>
      <c r="B9" s="137"/>
      <c r="C9" s="29" t="s">
        <v>470</v>
      </c>
      <c r="D9" s="2"/>
      <c r="E9" s="138">
        <v>68700</v>
      </c>
    </row>
    <row r="10" spans="1:5" s="5" customFormat="1">
      <c r="A10" s="63" t="s">
        <v>469</v>
      </c>
      <c r="B10" s="137"/>
      <c r="C10" s="139" t="s">
        <v>464</v>
      </c>
      <c r="D10" s="140"/>
      <c r="E10" s="140">
        <v>2431.98</v>
      </c>
    </row>
    <row r="11" spans="1:5" s="5" customFormat="1">
      <c r="A11" s="63" t="s">
        <v>471</v>
      </c>
      <c r="B11" s="137"/>
      <c r="C11" s="29" t="s">
        <v>472</v>
      </c>
      <c r="D11" s="2"/>
      <c r="E11" s="138"/>
    </row>
    <row r="12" spans="1:5" s="5" customFormat="1">
      <c r="A12" s="63" t="s">
        <v>473</v>
      </c>
      <c r="B12" s="137"/>
      <c r="C12" s="29" t="s">
        <v>474</v>
      </c>
      <c r="D12" s="2"/>
      <c r="E12" s="138">
        <v>102850</v>
      </c>
    </row>
    <row r="13" spans="1:5" s="5" customFormat="1" ht="30">
      <c r="A13" s="67" t="s">
        <v>475</v>
      </c>
      <c r="B13" s="137"/>
      <c r="C13" s="141" t="s">
        <v>476</v>
      </c>
      <c r="D13" s="2"/>
      <c r="E13" s="2"/>
    </row>
    <row r="14" spans="1:5" s="5" customFormat="1">
      <c r="A14" s="67" t="s">
        <v>477</v>
      </c>
      <c r="B14" s="137"/>
      <c r="C14" s="29" t="s">
        <v>478</v>
      </c>
      <c r="D14" s="138"/>
      <c r="E14" s="2">
        <v>700</v>
      </c>
    </row>
    <row r="15" spans="1:5" s="5" customFormat="1">
      <c r="A15" s="67" t="s">
        <v>479</v>
      </c>
      <c r="B15" s="137"/>
      <c r="C15" s="29" t="s">
        <v>480</v>
      </c>
      <c r="D15" s="205"/>
      <c r="E15" s="205">
        <v>22332.26</v>
      </c>
    </row>
    <row r="16" spans="1:5" s="5" customFormat="1">
      <c r="A16" s="67" t="s">
        <v>481</v>
      </c>
      <c r="B16" s="137"/>
      <c r="C16" s="29" t="s">
        <v>480</v>
      </c>
      <c r="D16" s="205"/>
      <c r="E16" s="205"/>
    </row>
    <row r="17" spans="1:5" s="5" customFormat="1">
      <c r="A17" s="67" t="s">
        <v>482</v>
      </c>
      <c r="B17" s="137"/>
      <c r="C17" s="29" t="s">
        <v>480</v>
      </c>
      <c r="D17" s="205"/>
      <c r="E17" s="205"/>
    </row>
    <row r="18" spans="1:5" s="5" customFormat="1">
      <c r="A18" s="67" t="s">
        <v>483</v>
      </c>
      <c r="B18" s="137"/>
      <c r="C18" s="29" t="s">
        <v>484</v>
      </c>
      <c r="D18" s="4"/>
      <c r="E18" s="4"/>
    </row>
    <row r="19" spans="1:5" s="5" customFormat="1">
      <c r="A19" s="67" t="s">
        <v>485</v>
      </c>
      <c r="B19" s="137"/>
      <c r="C19" s="29" t="s">
        <v>486</v>
      </c>
      <c r="D19" s="4"/>
      <c r="E19" s="4"/>
    </row>
    <row r="20" spans="1:5" s="5" customFormat="1">
      <c r="A20" s="67" t="s">
        <v>487</v>
      </c>
      <c r="B20" s="137"/>
      <c r="C20" s="29" t="s">
        <v>488</v>
      </c>
      <c r="D20" s="140"/>
      <c r="E20" s="140">
        <v>687600.42</v>
      </c>
    </row>
    <row r="21" spans="1:5" s="5" customFormat="1" ht="30">
      <c r="A21" s="67" t="s">
        <v>489</v>
      </c>
      <c r="B21" s="137"/>
      <c r="C21" s="29" t="s">
        <v>490</v>
      </c>
      <c r="D21" s="4"/>
      <c r="E21" s="4"/>
    </row>
    <row r="22" spans="1:5" s="5" customFormat="1" ht="30">
      <c r="A22" s="67" t="s">
        <v>491</v>
      </c>
      <c r="B22" s="142"/>
      <c r="C22" s="29" t="s">
        <v>492</v>
      </c>
      <c r="D22" s="4"/>
      <c r="E22" s="4"/>
    </row>
    <row r="23" spans="1:5" s="5" customFormat="1">
      <c r="A23" s="67" t="s">
        <v>487</v>
      </c>
      <c r="B23" s="142"/>
      <c r="C23" s="139" t="s">
        <v>464</v>
      </c>
      <c r="D23" s="4"/>
      <c r="E23" s="4"/>
    </row>
    <row r="24" spans="1:5" s="5" customFormat="1">
      <c r="A24" s="67" t="s">
        <v>493</v>
      </c>
      <c r="B24" s="142"/>
      <c r="C24" s="139" t="s">
        <v>464</v>
      </c>
      <c r="D24" s="4"/>
      <c r="E24" s="4"/>
    </row>
  </sheetData>
  <mergeCells count="2">
    <mergeCell ref="D15:D17"/>
    <mergeCell ref="E15:E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9694"/>
  </sheetPr>
  <dimension ref="A1:AKZ19"/>
  <sheetViews>
    <sheetView zoomScale="85" zoomScaleNormal="85" workbookViewId="0">
      <selection activeCell="J5" sqref="J5"/>
    </sheetView>
  </sheetViews>
  <sheetFormatPr baseColWidth="10" defaultColWidth="11.5" defaultRowHeight="16"/>
  <cols>
    <col min="1" max="2" width="16.1640625" style="143" customWidth="1"/>
    <col min="3" max="3" width="17.6640625" style="143" customWidth="1"/>
    <col min="4" max="4" width="17.1640625" style="143" customWidth="1"/>
    <col min="5" max="5" width="14.33203125" style="143" customWidth="1"/>
    <col min="6" max="6" width="13.5" style="143" customWidth="1"/>
    <col min="7" max="7" width="19.5" style="143" customWidth="1"/>
    <col min="8" max="9" width="13.5" style="143" customWidth="1"/>
    <col min="10" max="10" width="19.83203125" style="143" customWidth="1"/>
    <col min="11" max="988" width="9.1640625" style="143" customWidth="1"/>
  </cols>
  <sheetData>
    <row r="1" spans="1:10" ht="66.75" customHeight="1"/>
    <row r="2" spans="1:10" s="143" customFormat="1">
      <c r="A2" s="144"/>
    </row>
    <row r="3" spans="1:10" s="143" customFormat="1" ht="24.75" customHeight="1">
      <c r="A3" s="145" t="s">
        <v>494</v>
      </c>
      <c r="B3" s="206" t="s">
        <v>495</v>
      </c>
      <c r="C3" s="206"/>
      <c r="D3" s="206"/>
      <c r="E3" s="207" t="s">
        <v>496</v>
      </c>
      <c r="F3" s="207"/>
      <c r="G3" s="207"/>
      <c r="H3" s="207" t="s">
        <v>497</v>
      </c>
      <c r="I3" s="207"/>
      <c r="J3" s="207"/>
    </row>
    <row r="4" spans="1:10" s="143" customFormat="1" ht="15.75" customHeight="1">
      <c r="A4" s="146" t="s">
        <v>498</v>
      </c>
      <c r="B4" s="147" t="s">
        <v>499</v>
      </c>
      <c r="C4" s="147" t="s">
        <v>500</v>
      </c>
      <c r="D4" s="147" t="s">
        <v>501</v>
      </c>
      <c r="E4" s="147" t="s">
        <v>499</v>
      </c>
      <c r="F4" s="147" t="s">
        <v>500</v>
      </c>
      <c r="G4" s="147" t="s">
        <v>501</v>
      </c>
      <c r="H4" s="147" t="s">
        <v>499</v>
      </c>
      <c r="I4" s="147" t="s">
        <v>500</v>
      </c>
      <c r="J4" s="147" t="s">
        <v>501</v>
      </c>
    </row>
    <row r="5" spans="1:10" s="143" customFormat="1" ht="15.75" customHeight="1">
      <c r="A5" s="148" t="s">
        <v>502</v>
      </c>
      <c r="B5" s="149">
        <v>1998066.9</v>
      </c>
      <c r="C5" s="149">
        <v>1042993.8</v>
      </c>
      <c r="D5" s="150">
        <v>955073.1</v>
      </c>
      <c r="E5" s="151">
        <v>603489.69999999995</v>
      </c>
      <c r="F5" s="151">
        <v>327591.56</v>
      </c>
      <c r="G5" s="151">
        <v>275898.14</v>
      </c>
      <c r="H5" s="152">
        <v>3138620.64</v>
      </c>
      <c r="I5" s="152">
        <v>1632082.73</v>
      </c>
      <c r="J5" s="152">
        <v>1506537.91</v>
      </c>
    </row>
    <row r="6" spans="1:10" s="143" customFormat="1" ht="15.75" customHeight="1">
      <c r="A6" s="148" t="s">
        <v>503</v>
      </c>
      <c r="B6" s="149">
        <v>3350142.75</v>
      </c>
      <c r="C6" s="149">
        <v>1790331</v>
      </c>
      <c r="D6" s="150">
        <v>1559811.75</v>
      </c>
      <c r="E6" s="151">
        <v>803325.7</v>
      </c>
      <c r="F6" s="151">
        <v>430456.32000000001</v>
      </c>
      <c r="G6" s="151">
        <v>372869.38</v>
      </c>
      <c r="H6" s="152">
        <v>3138620.64</v>
      </c>
      <c r="I6" s="152">
        <v>1632082.73</v>
      </c>
      <c r="J6" s="152">
        <v>1506537.91</v>
      </c>
    </row>
    <row r="7" spans="1:10" s="143" customFormat="1" ht="15.75" customHeight="1">
      <c r="A7" s="148" t="s">
        <v>504</v>
      </c>
      <c r="B7" s="153">
        <v>531345.05000000005</v>
      </c>
      <c r="C7" s="153">
        <v>279922.8</v>
      </c>
      <c r="D7" s="154">
        <v>251422.25</v>
      </c>
      <c r="E7" s="151">
        <v>653606.42000000004</v>
      </c>
      <c r="F7" s="151">
        <v>329534.21999999997</v>
      </c>
      <c r="G7" s="151">
        <v>324072.2</v>
      </c>
      <c r="H7" s="155">
        <v>1288635.46</v>
      </c>
      <c r="I7" s="156">
        <v>670090.43999999994</v>
      </c>
      <c r="J7" s="157">
        <v>618545.02</v>
      </c>
    </row>
    <row r="8" spans="1:10" s="143" customFormat="1" ht="15.75" customHeight="1">
      <c r="A8" s="148" t="s">
        <v>505</v>
      </c>
      <c r="B8" s="150">
        <v>2569853.4</v>
      </c>
      <c r="C8" s="150">
        <v>1316619.6000000001</v>
      </c>
      <c r="D8" s="150">
        <v>1253233.8</v>
      </c>
      <c r="E8" s="151">
        <v>3697714.61</v>
      </c>
      <c r="F8" s="151">
        <v>1840953.18</v>
      </c>
      <c r="G8" s="151">
        <v>1856761.43</v>
      </c>
      <c r="H8" s="158">
        <v>3731930.95</v>
      </c>
      <c r="I8" s="159">
        <v>1940604.1</v>
      </c>
      <c r="J8" s="160">
        <v>1791326.86</v>
      </c>
    </row>
    <row r="9" spans="1:10" s="143" customFormat="1">
      <c r="A9" s="148" t="s">
        <v>506</v>
      </c>
      <c r="B9" s="150">
        <v>3362285.38</v>
      </c>
      <c r="C9" s="150">
        <v>1801003.8</v>
      </c>
      <c r="D9" s="150">
        <v>1561281.58</v>
      </c>
      <c r="E9" s="151">
        <v>2081002.87</v>
      </c>
      <c r="F9" s="151">
        <v>1035624.66</v>
      </c>
      <c r="G9" s="151">
        <v>1045378.21</v>
      </c>
      <c r="H9" s="158">
        <v>3731930.95</v>
      </c>
      <c r="I9" s="159">
        <v>1940604.1</v>
      </c>
      <c r="J9" s="160">
        <v>1791326.86</v>
      </c>
    </row>
    <row r="10" spans="1:10" s="143" customFormat="1" ht="15.75" customHeight="1">
      <c r="A10" s="148" t="s">
        <v>507</v>
      </c>
      <c r="B10" s="150">
        <v>3515177.45</v>
      </c>
      <c r="C10" s="150">
        <v>1852738.2</v>
      </c>
      <c r="D10" s="150">
        <v>1662439.25</v>
      </c>
      <c r="E10" s="151">
        <v>1764715.09</v>
      </c>
      <c r="F10" s="151">
        <v>856938.44</v>
      </c>
      <c r="G10" s="151">
        <v>907776.65</v>
      </c>
      <c r="H10" s="158">
        <v>3731930.95</v>
      </c>
      <c r="I10" s="159">
        <v>1940604.1</v>
      </c>
      <c r="J10" s="160">
        <v>1791326.86</v>
      </c>
    </row>
    <row r="11" spans="1:10" s="143" customFormat="1" ht="15.75" customHeight="1">
      <c r="A11" s="148" t="s">
        <v>508</v>
      </c>
      <c r="B11" s="150">
        <v>3119864.5</v>
      </c>
      <c r="C11" s="150">
        <v>1648166.4</v>
      </c>
      <c r="D11" s="150">
        <v>1471698.1</v>
      </c>
      <c r="E11" s="151">
        <v>2545342.2799999998</v>
      </c>
      <c r="F11" s="151">
        <v>1263642.46</v>
      </c>
      <c r="G11" s="151">
        <v>1281699.82</v>
      </c>
      <c r="H11" s="161">
        <v>3138620.64</v>
      </c>
      <c r="I11" s="152">
        <v>1632082.73</v>
      </c>
      <c r="J11" s="152">
        <v>1506537.91</v>
      </c>
    </row>
    <row r="12" spans="1:10" s="143" customFormat="1" ht="15.75" customHeight="1">
      <c r="A12" s="148" t="s">
        <v>509</v>
      </c>
      <c r="B12" s="162">
        <v>985048.4</v>
      </c>
      <c r="C12" s="162">
        <v>472462.2</v>
      </c>
      <c r="D12" s="162">
        <v>512586.2</v>
      </c>
      <c r="E12" s="151">
        <v>2736213.12</v>
      </c>
      <c r="F12" s="151">
        <v>1449386.86</v>
      </c>
      <c r="G12" s="151">
        <v>1286826.26</v>
      </c>
      <c r="H12" s="155">
        <v>1288635.46</v>
      </c>
      <c r="I12" s="156">
        <v>670090.43999999994</v>
      </c>
      <c r="J12" s="157">
        <v>618545.02</v>
      </c>
    </row>
    <row r="13" spans="1:10" s="143" customFormat="1" ht="15.75" customHeight="1">
      <c r="A13" s="148" t="s">
        <v>510</v>
      </c>
      <c r="B13" s="150">
        <v>2756000.3</v>
      </c>
      <c r="C13" s="150">
        <v>1372165.34</v>
      </c>
      <c r="D13" s="150">
        <v>1383834.96</v>
      </c>
      <c r="E13" s="151">
        <v>2068371.49</v>
      </c>
      <c r="F13" s="151">
        <v>1078941.6000000001</v>
      </c>
      <c r="G13" s="151">
        <v>989429.89</v>
      </c>
      <c r="H13" s="158">
        <v>3731930.95</v>
      </c>
      <c r="I13" s="159">
        <v>1940604.1</v>
      </c>
      <c r="J13" s="160">
        <v>1791326.86</v>
      </c>
    </row>
    <row r="14" spans="1:10">
      <c r="A14" s="148" t="s">
        <v>511</v>
      </c>
      <c r="B14" s="150">
        <v>2967447.75</v>
      </c>
      <c r="C14" s="150">
        <v>1514874.92</v>
      </c>
      <c r="D14" s="150">
        <v>1452572.83</v>
      </c>
      <c r="E14" s="163">
        <v>3562297.73</v>
      </c>
      <c r="F14" s="163">
        <v>1852394.82</v>
      </c>
      <c r="G14" s="163">
        <v>1709902.91</v>
      </c>
      <c r="H14" s="158">
        <v>3731930.95</v>
      </c>
      <c r="I14" s="159">
        <v>1940604.1</v>
      </c>
      <c r="J14" s="160">
        <v>1791326.86</v>
      </c>
    </row>
    <row r="15" spans="1:10">
      <c r="A15" s="148" t="s">
        <v>512</v>
      </c>
      <c r="B15" s="150">
        <v>3343052.43</v>
      </c>
      <c r="C15" s="150">
        <v>1742763.24</v>
      </c>
      <c r="D15" s="150">
        <v>1600289.19</v>
      </c>
      <c r="E15" s="163">
        <v>3562297.73</v>
      </c>
      <c r="F15" s="163">
        <v>1852394.82</v>
      </c>
      <c r="G15" s="163">
        <v>1709902.91</v>
      </c>
      <c r="H15" s="158">
        <v>3731930.95</v>
      </c>
      <c r="I15" s="159">
        <v>1940604.1</v>
      </c>
      <c r="J15" s="160">
        <v>1791326.86</v>
      </c>
    </row>
    <row r="16" spans="1:10">
      <c r="A16" s="148" t="s">
        <v>513</v>
      </c>
      <c r="B16" s="150">
        <v>3161670.13</v>
      </c>
      <c r="C16" s="150">
        <v>1665462.28</v>
      </c>
      <c r="D16" s="150">
        <v>1496207.85</v>
      </c>
      <c r="E16" s="164">
        <v>3279126.89</v>
      </c>
      <c r="F16" s="164">
        <v>1705145.98</v>
      </c>
      <c r="G16" s="164">
        <v>1573980.91</v>
      </c>
      <c r="H16" s="161">
        <v>3138620.64</v>
      </c>
      <c r="I16" s="152">
        <v>1632082.73</v>
      </c>
      <c r="J16" s="152">
        <v>1506537.91</v>
      </c>
    </row>
    <row r="17" spans="1:10">
      <c r="A17" s="165" t="s">
        <v>514</v>
      </c>
      <c r="B17" s="166">
        <v>31659954.440000001</v>
      </c>
      <c r="C17" s="166">
        <v>16499503.58</v>
      </c>
      <c r="D17" s="166">
        <v>15160450.859999999</v>
      </c>
      <c r="E17" s="167">
        <v>27357503.629999999</v>
      </c>
      <c r="F17" s="168">
        <v>14023004.92</v>
      </c>
      <c r="G17" s="168">
        <v>13334498.710000001</v>
      </c>
      <c r="H17" s="167">
        <v>37523339.18</v>
      </c>
      <c r="I17" s="168">
        <v>19512136.379999999</v>
      </c>
      <c r="J17" s="168">
        <v>18011202.809999999</v>
      </c>
    </row>
    <row r="19" spans="1:10">
      <c r="G19" s="169">
        <f>G17/12</f>
        <v>1111208.2258333333</v>
      </c>
      <c r="J19" s="169">
        <f>J17/12</f>
        <v>1500933.5674999999</v>
      </c>
    </row>
  </sheetData>
  <mergeCells count="3">
    <mergeCell ref="B3:D3"/>
    <mergeCell ref="E3:G3"/>
    <mergeCell ref="H3:J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zoomScale="85" zoomScaleNormal="85" workbookViewId="0">
      <selection activeCell="C36" sqref="C36"/>
    </sheetView>
  </sheetViews>
  <sheetFormatPr baseColWidth="10" defaultColWidth="8.6640625" defaultRowHeight="15"/>
  <cols>
    <col min="1" max="1" width="23.83203125" customWidth="1"/>
    <col min="2" max="2" width="12.33203125" style="170" customWidth="1"/>
    <col min="3" max="3" width="11" style="171" customWidth="1"/>
  </cols>
  <sheetData>
    <row r="1" spans="1:2">
      <c r="A1" s="208" t="s">
        <v>515</v>
      </c>
      <c r="B1" s="208"/>
    </row>
    <row r="2" spans="1:2">
      <c r="A2" s="172"/>
      <c r="B2" s="173"/>
    </row>
    <row r="3" spans="1:2">
      <c r="A3" s="172"/>
      <c r="B3" s="173"/>
    </row>
    <row r="4" spans="1:2">
      <c r="A4" s="172"/>
      <c r="B4" s="173"/>
    </row>
    <row r="5" spans="1:2">
      <c r="A5" s="172"/>
      <c r="B5" s="173"/>
    </row>
    <row r="6" spans="1:2">
      <c r="A6" s="172"/>
      <c r="B6" s="173"/>
    </row>
    <row r="7" spans="1:2">
      <c r="A7" s="172"/>
      <c r="B7" s="173"/>
    </row>
    <row r="8" spans="1:2">
      <c r="A8" s="172"/>
      <c r="B8" s="173"/>
    </row>
    <row r="9" spans="1:2">
      <c r="A9" s="172"/>
      <c r="B9" s="173"/>
    </row>
    <row r="10" spans="1:2">
      <c r="A10" s="172"/>
      <c r="B10" s="173"/>
    </row>
    <row r="11" spans="1:2">
      <c r="A11" s="172"/>
      <c r="B11" s="173"/>
    </row>
    <row r="12" spans="1:2">
      <c r="A12" s="172"/>
      <c r="B12" s="173"/>
    </row>
    <row r="13" spans="1:2">
      <c r="A13" s="172"/>
      <c r="B13" s="173"/>
    </row>
    <row r="14" spans="1:2">
      <c r="A14" s="172"/>
      <c r="B14" s="173"/>
    </row>
    <row r="15" spans="1:2">
      <c r="A15" s="172"/>
      <c r="B15" s="173"/>
    </row>
    <row r="16" spans="1:2">
      <c r="A16" s="172"/>
      <c r="B16" s="173"/>
    </row>
    <row r="17" spans="1:2">
      <c r="A17" s="172"/>
      <c r="B17" s="173"/>
    </row>
    <row r="18" spans="1:2">
      <c r="A18" s="172"/>
      <c r="B18" s="173"/>
    </row>
    <row r="19" spans="1:2">
      <c r="A19" s="172"/>
      <c r="B19" s="173"/>
    </row>
    <row r="20" spans="1:2">
      <c r="A20" s="1" t="s">
        <v>516</v>
      </c>
      <c r="B20" s="174">
        <f>SUM(B1:B19)</f>
        <v>0</v>
      </c>
    </row>
  </sheetData>
  <mergeCells count="1">
    <mergeCell ref="A1:B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5964-47BF-48AF-BDAC-59051D9F347F}">
  <sheetPr>
    <tabColor rgb="FFD99694"/>
  </sheetPr>
  <dimension ref="A1:XDQ96"/>
  <sheetViews>
    <sheetView zoomScale="85" zoomScaleNormal="85" workbookViewId="0">
      <pane xSplit="3" ySplit="3" topLeftCell="M71" activePane="bottomRight" state="frozen"/>
      <selection pane="topRight" activeCell="D1" sqref="D1"/>
      <selection pane="bottomLeft" activeCell="A4" sqref="A4"/>
      <selection pane="bottomRight" activeCell="M72" sqref="M72"/>
    </sheetView>
  </sheetViews>
  <sheetFormatPr baseColWidth="10" defaultColWidth="9.1640625" defaultRowHeight="15" customHeight="1"/>
  <cols>
    <col min="1" max="1" width="46.6640625" style="5" customWidth="1"/>
    <col min="2" max="2" width="14" style="5" customWidth="1"/>
    <col min="3" max="3" width="18.1640625" style="6" customWidth="1"/>
    <col min="4" max="4" width="22.6640625" style="6" customWidth="1"/>
    <col min="5" max="5" width="25.83203125" style="6" customWidth="1"/>
    <col min="6" max="6" width="13.6640625" style="6" customWidth="1"/>
    <col min="7" max="7" width="12" style="6" customWidth="1"/>
    <col min="8" max="8" width="16.5" style="6" customWidth="1"/>
    <col min="9" max="9" width="12.33203125" style="6" customWidth="1"/>
    <col min="10" max="10" width="13.6640625" style="7" customWidth="1"/>
    <col min="11" max="11" width="13.6640625" style="8" customWidth="1"/>
    <col min="12" max="12" width="13.6640625" style="7" customWidth="1"/>
    <col min="13" max="13" width="17.5" style="6" bestFit="1" customWidth="1"/>
    <col min="14" max="14" width="13.6640625" style="7" customWidth="1"/>
    <col min="15" max="15" width="13.6640625" style="6" customWidth="1"/>
    <col min="16" max="16" width="13.6640625" style="7" customWidth="1"/>
    <col min="17" max="17" width="13.6640625" style="5" customWidth="1"/>
    <col min="18" max="18" width="13.5" style="5" customWidth="1"/>
    <col min="19" max="20" width="12.6640625" style="5" customWidth="1"/>
    <col min="21" max="24" width="12.6640625" style="9" customWidth="1"/>
    <col min="25" max="25" width="12.6640625" style="10" customWidth="1"/>
    <col min="26" max="30" width="12.6640625" style="9" customWidth="1"/>
    <col min="31" max="31" width="16.6640625" style="11" customWidth="1"/>
    <col min="32" max="32" width="9.5" style="12" customWidth="1"/>
    <col min="33" max="34" width="16.5" style="13" customWidth="1"/>
    <col min="35" max="38" width="16.5" style="5" customWidth="1"/>
    <col min="39" max="16345" width="9.1640625" style="5"/>
    <col min="16346" max="16384" width="11.5" customWidth="1"/>
  </cols>
  <sheetData>
    <row r="1" spans="1:37" ht="17.25" customHeight="1">
      <c r="A1" s="14" t="s">
        <v>0</v>
      </c>
      <c r="B1" s="15"/>
      <c r="C1" s="15"/>
      <c r="J1" s="16"/>
      <c r="L1" s="17"/>
      <c r="M1" s="184"/>
      <c r="N1" s="17"/>
      <c r="O1" s="184"/>
      <c r="P1" s="18"/>
      <c r="Q1" s="19"/>
      <c r="V1" s="13"/>
      <c r="W1" s="13"/>
      <c r="AF1" s="9"/>
      <c r="AK1" s="13"/>
    </row>
    <row r="2" spans="1:37" ht="18.75" customHeight="1">
      <c r="A2" s="5" t="s">
        <v>1</v>
      </c>
      <c r="B2" s="15"/>
      <c r="J2" s="16"/>
      <c r="K2" s="20"/>
      <c r="L2" s="17"/>
      <c r="M2" s="184"/>
      <c r="N2" s="17"/>
      <c r="O2" s="184"/>
      <c r="S2" s="13"/>
      <c r="AF2" s="9"/>
      <c r="AK2" s="13"/>
    </row>
    <row r="3" spans="1:37" ht="41.25" customHeight="1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2" t="s">
        <v>11</v>
      </c>
      <c r="K3" s="23" t="s">
        <v>12</v>
      </c>
      <c r="L3" s="24" t="s">
        <v>13</v>
      </c>
      <c r="M3" s="24" t="s">
        <v>14</v>
      </c>
      <c r="N3" s="24" t="s">
        <v>15</v>
      </c>
      <c r="O3" s="24" t="s">
        <v>16</v>
      </c>
      <c r="P3" s="24" t="s">
        <v>17</v>
      </c>
      <c r="Q3" s="24" t="s">
        <v>18</v>
      </c>
      <c r="R3" s="25" t="s">
        <v>19</v>
      </c>
      <c r="S3" s="24">
        <v>46023</v>
      </c>
      <c r="T3" s="24">
        <v>46054</v>
      </c>
      <c r="U3" s="24">
        <v>46082</v>
      </c>
      <c r="V3" s="24">
        <v>46113</v>
      </c>
      <c r="W3" s="24">
        <v>46143</v>
      </c>
      <c r="X3" s="24">
        <v>46174</v>
      </c>
      <c r="Y3" s="24">
        <v>46204</v>
      </c>
      <c r="Z3" s="24">
        <v>46235</v>
      </c>
      <c r="AA3" s="24">
        <v>46266</v>
      </c>
      <c r="AB3" s="24">
        <v>46296</v>
      </c>
      <c r="AC3" s="24">
        <v>46327</v>
      </c>
      <c r="AD3" s="24">
        <v>46357</v>
      </c>
      <c r="AE3" s="24" t="s">
        <v>20</v>
      </c>
      <c r="AF3" s="26"/>
      <c r="AG3" s="26"/>
      <c r="AH3" s="26"/>
      <c r="AI3" s="26"/>
      <c r="AJ3" s="27"/>
      <c r="AK3" s="27"/>
    </row>
    <row r="4" spans="1:37">
      <c r="A4" s="28" t="s">
        <v>21</v>
      </c>
      <c r="B4" s="28" t="s">
        <v>22</v>
      </c>
      <c r="C4" s="29" t="s">
        <v>23</v>
      </c>
      <c r="D4" s="29"/>
      <c r="E4" s="30"/>
      <c r="F4" s="30"/>
      <c r="G4" s="31"/>
      <c r="H4" s="31"/>
      <c r="I4" s="30"/>
      <c r="J4" s="32">
        <v>161000</v>
      </c>
      <c r="K4" s="32"/>
      <c r="L4" s="32">
        <f>J4*12</f>
        <v>1932000</v>
      </c>
      <c r="M4" s="185" t="s">
        <v>24</v>
      </c>
      <c r="N4" s="32">
        <v>1480179.9</v>
      </c>
      <c r="O4" s="185">
        <v>1000</v>
      </c>
      <c r="P4" s="33">
        <v>0</v>
      </c>
      <c r="Q4" s="33">
        <v>451820.1</v>
      </c>
      <c r="R4" s="3">
        <f>SUM(P4:Q4)</f>
        <v>451820.1</v>
      </c>
      <c r="S4" s="34"/>
      <c r="T4" s="34"/>
      <c r="U4" s="4">
        <f>J4*3-R4</f>
        <v>31179.900000000023</v>
      </c>
      <c r="V4" s="4">
        <f>J4</f>
        <v>161000</v>
      </c>
      <c r="W4" s="4">
        <f>J4</f>
        <v>161000</v>
      </c>
      <c r="X4" s="4">
        <f>J4</f>
        <v>161000</v>
      </c>
      <c r="Y4" s="4">
        <f>J4</f>
        <v>161000</v>
      </c>
      <c r="Z4" s="4">
        <f>J4</f>
        <v>161000</v>
      </c>
      <c r="AA4" s="4">
        <f>J4</f>
        <v>161000</v>
      </c>
      <c r="AB4" s="4">
        <f>J4</f>
        <v>161000</v>
      </c>
      <c r="AC4" s="4">
        <f>J4</f>
        <v>161000</v>
      </c>
      <c r="AD4" s="4">
        <f>J4</f>
        <v>161000</v>
      </c>
      <c r="AE4" s="35">
        <f t="shared" ref="AE4:AE23" si="0">SUM(S4:AD4)</f>
        <v>1480179.9</v>
      </c>
      <c r="AF4" s="36">
        <f>R4/(J4+K4)</f>
        <v>2.8063360248447204</v>
      </c>
      <c r="AH4" s="37"/>
      <c r="AI4" s="37"/>
      <c r="AJ4" s="37"/>
      <c r="AK4" s="37"/>
    </row>
    <row r="5" spans="1:37">
      <c r="A5" s="28" t="s">
        <v>25</v>
      </c>
      <c r="B5" s="28" t="s">
        <v>22</v>
      </c>
      <c r="C5" s="29" t="s">
        <v>26</v>
      </c>
      <c r="D5" s="29"/>
      <c r="E5" s="30"/>
      <c r="F5" s="30"/>
      <c r="G5" s="31"/>
      <c r="H5" s="31"/>
      <c r="I5" s="30"/>
      <c r="J5" s="32">
        <v>36375</v>
      </c>
      <c r="K5" s="32"/>
      <c r="L5" s="32">
        <f>J5*12</f>
        <v>436500</v>
      </c>
      <c r="M5" s="185" t="s">
        <v>27</v>
      </c>
      <c r="N5" s="32">
        <v>252771.47</v>
      </c>
      <c r="O5" s="185">
        <v>1000</v>
      </c>
      <c r="P5" s="33">
        <v>252771.47</v>
      </c>
      <c r="Q5" s="33">
        <v>183728.53</v>
      </c>
      <c r="R5" s="3">
        <f>SUM(P5:Q5)</f>
        <v>436500</v>
      </c>
      <c r="S5" s="34"/>
      <c r="T5" s="34"/>
      <c r="U5" s="34"/>
      <c r="V5" s="34"/>
      <c r="W5" s="34"/>
      <c r="X5" s="4">
        <f>J5*6-R5</f>
        <v>-218250</v>
      </c>
      <c r="Y5" s="4">
        <f>J5</f>
        <v>36375</v>
      </c>
      <c r="Z5" s="4">
        <f>J5</f>
        <v>36375</v>
      </c>
      <c r="AA5" s="4">
        <f>J5</f>
        <v>36375</v>
      </c>
      <c r="AB5" s="4">
        <f>J5</f>
        <v>36375</v>
      </c>
      <c r="AC5" s="4">
        <f>J5</f>
        <v>36375</v>
      </c>
      <c r="AD5" s="4">
        <f>J5</f>
        <v>36375</v>
      </c>
      <c r="AE5" s="35">
        <f t="shared" si="0"/>
        <v>0</v>
      </c>
      <c r="AF5" s="36">
        <f>R5/(J5+K5)</f>
        <v>12</v>
      </c>
      <c r="AH5" s="37"/>
      <c r="AI5" s="37"/>
      <c r="AJ5" s="37"/>
      <c r="AK5" s="37"/>
    </row>
    <row r="6" spans="1:37" ht="14.25" customHeight="1">
      <c r="A6" s="28" t="s">
        <v>28</v>
      </c>
      <c r="B6" s="28" t="s">
        <v>29</v>
      </c>
      <c r="C6" s="38" t="s">
        <v>30</v>
      </c>
      <c r="D6" s="38"/>
      <c r="E6" s="30"/>
      <c r="F6" s="30"/>
      <c r="G6" s="31"/>
      <c r="H6" s="31"/>
      <c r="I6" s="30"/>
      <c r="J6" s="32">
        <v>49000</v>
      </c>
      <c r="K6" s="32"/>
      <c r="L6" s="32">
        <f>48891*13.33</f>
        <v>651717.03</v>
      </c>
      <c r="M6" s="185" t="s">
        <v>31</v>
      </c>
      <c r="N6" s="32">
        <v>490000</v>
      </c>
      <c r="O6" s="185">
        <v>1000</v>
      </c>
      <c r="P6" s="33">
        <v>100000</v>
      </c>
      <c r="Q6" s="2">
        <v>0</v>
      </c>
      <c r="R6" s="3">
        <f>SUM(P6:Q6)</f>
        <v>100000</v>
      </c>
      <c r="S6" s="34"/>
      <c r="T6" s="34"/>
      <c r="U6" s="4">
        <f>J6</f>
        <v>49000</v>
      </c>
      <c r="V6" s="4">
        <f>J6</f>
        <v>49000</v>
      </c>
      <c r="W6" s="4">
        <f>J6</f>
        <v>49000</v>
      </c>
      <c r="X6" s="4">
        <f>J6</f>
        <v>49000</v>
      </c>
      <c r="Y6" s="4">
        <f>J6</f>
        <v>49000</v>
      </c>
      <c r="Z6" s="4">
        <f>J6</f>
        <v>49000</v>
      </c>
      <c r="AA6" s="4">
        <f>J6</f>
        <v>49000</v>
      </c>
      <c r="AB6" s="4">
        <f>J6</f>
        <v>49000</v>
      </c>
      <c r="AC6" s="4">
        <f>J6</f>
        <v>49000</v>
      </c>
      <c r="AD6" s="4">
        <f>J6</f>
        <v>49000</v>
      </c>
      <c r="AE6" s="35">
        <f t="shared" si="0"/>
        <v>490000</v>
      </c>
      <c r="AF6" s="36">
        <f>R6/(J6+K6)</f>
        <v>2.0408163265306123</v>
      </c>
      <c r="AH6" s="37"/>
      <c r="AI6" s="37"/>
      <c r="AJ6" s="37"/>
      <c r="AK6" s="37"/>
    </row>
    <row r="7" spans="1:37" ht="27" customHeight="1">
      <c r="A7" s="28" t="s">
        <v>32</v>
      </c>
      <c r="B7" s="28" t="s">
        <v>22</v>
      </c>
      <c r="C7" s="29" t="s">
        <v>453</v>
      </c>
      <c r="D7" s="38"/>
      <c r="E7" s="30"/>
      <c r="F7" s="30"/>
      <c r="G7" s="31"/>
      <c r="H7" s="31"/>
      <c r="I7" s="30"/>
      <c r="J7" s="32">
        <v>810000</v>
      </c>
      <c r="K7" s="32"/>
      <c r="L7" s="32">
        <f>J7*12</f>
        <v>9720000</v>
      </c>
      <c r="M7" s="185" t="s">
        <v>34</v>
      </c>
      <c r="N7" s="32">
        <v>8910000</v>
      </c>
      <c r="O7" s="185">
        <v>1000</v>
      </c>
      <c r="P7" s="39">
        <v>1105507</v>
      </c>
      <c r="Q7" s="39">
        <v>0</v>
      </c>
      <c r="R7" s="3">
        <f>SUM(P7:Q7)</f>
        <v>1105507</v>
      </c>
      <c r="S7" s="34"/>
      <c r="T7" s="4">
        <f>J7-295507</f>
        <v>514493</v>
      </c>
      <c r="U7" s="4">
        <f>J7</f>
        <v>810000</v>
      </c>
      <c r="V7" s="4">
        <f>J7</f>
        <v>810000</v>
      </c>
      <c r="W7" s="4">
        <f>J7</f>
        <v>810000</v>
      </c>
      <c r="X7" s="4">
        <f>J7</f>
        <v>810000</v>
      </c>
      <c r="Y7" s="4">
        <f>J7</f>
        <v>810000</v>
      </c>
      <c r="Z7" s="4">
        <f>J7</f>
        <v>810000</v>
      </c>
      <c r="AA7" s="4">
        <f>J7</f>
        <v>810000</v>
      </c>
      <c r="AB7" s="4">
        <f>J7</f>
        <v>810000</v>
      </c>
      <c r="AC7" s="4">
        <f>J7</f>
        <v>810000</v>
      </c>
      <c r="AD7" s="4">
        <f>J7</f>
        <v>810000</v>
      </c>
      <c r="AE7" s="35">
        <f t="shared" si="0"/>
        <v>8614493</v>
      </c>
      <c r="AF7" s="36">
        <f>R7/(J7+K7)</f>
        <v>1.3648234567901234</v>
      </c>
      <c r="AH7" s="37"/>
      <c r="AI7" s="37"/>
      <c r="AJ7" s="37"/>
      <c r="AK7" s="37"/>
    </row>
    <row r="8" spans="1:37" ht="54.75" customHeight="1">
      <c r="A8" s="28" t="s">
        <v>35</v>
      </c>
      <c r="B8" s="28"/>
      <c r="C8" s="29" t="s">
        <v>36</v>
      </c>
      <c r="D8" s="38" t="s">
        <v>37</v>
      </c>
      <c r="E8" s="38"/>
      <c r="F8" s="40"/>
      <c r="G8" s="31"/>
      <c r="H8" s="31"/>
      <c r="I8" s="38"/>
      <c r="J8" s="4">
        <v>1361927.55</v>
      </c>
      <c r="K8" s="32"/>
      <c r="L8" s="32">
        <f>J8*12</f>
        <v>16343130.600000001</v>
      </c>
      <c r="M8" s="185"/>
      <c r="N8" s="32"/>
      <c r="O8" s="185">
        <v>1000</v>
      </c>
      <c r="P8" s="2"/>
      <c r="Q8" s="2">
        <v>7464477</v>
      </c>
      <c r="R8" s="3">
        <f>SUM(P8:Q8)</f>
        <v>7464477</v>
      </c>
      <c r="S8" s="34"/>
      <c r="T8" s="34"/>
      <c r="U8" s="34"/>
      <c r="V8" s="34"/>
      <c r="W8" s="34"/>
      <c r="X8" s="34"/>
      <c r="Y8" s="4">
        <f>J8</f>
        <v>1361927.55</v>
      </c>
      <c r="Z8" s="4">
        <f>J8</f>
        <v>1361927.55</v>
      </c>
      <c r="AA8" s="4">
        <f>J8</f>
        <v>1361927.55</v>
      </c>
      <c r="AB8" s="4">
        <f>J8</f>
        <v>1361927.55</v>
      </c>
      <c r="AC8" s="4">
        <f>J8</f>
        <v>1361927.55</v>
      </c>
      <c r="AD8" s="4">
        <f>J8</f>
        <v>1361927.55</v>
      </c>
      <c r="AE8" s="35">
        <f t="shared" si="0"/>
        <v>8171565.2999999998</v>
      </c>
      <c r="AF8" s="36">
        <f>R8/(J8+K8)</f>
        <v>5.4808179774320589</v>
      </c>
      <c r="AK8" s="37"/>
    </row>
    <row r="9" spans="1:37" ht="54.75" customHeight="1">
      <c r="A9" s="28" t="s">
        <v>38</v>
      </c>
      <c r="B9" s="28"/>
      <c r="C9" s="29" t="s">
        <v>39</v>
      </c>
      <c r="D9" s="38"/>
      <c r="E9" s="38"/>
      <c r="F9" s="40"/>
      <c r="G9" s="31"/>
      <c r="H9" s="31"/>
      <c r="I9" s="38"/>
      <c r="J9" s="4"/>
      <c r="K9" s="32"/>
      <c r="L9" s="32"/>
      <c r="M9" s="185" t="s">
        <v>40</v>
      </c>
      <c r="N9" s="32">
        <v>150000</v>
      </c>
      <c r="O9" s="185">
        <v>1000</v>
      </c>
      <c r="P9" s="2"/>
      <c r="Q9" s="2"/>
      <c r="R9" s="3"/>
      <c r="S9" s="182">
        <f>150000/12</f>
        <v>12500</v>
      </c>
      <c r="T9" s="182">
        <f t="shared" ref="T9:AD9" si="1">150000/12</f>
        <v>12500</v>
      </c>
      <c r="U9" s="182">
        <f t="shared" si="1"/>
        <v>12500</v>
      </c>
      <c r="V9" s="182">
        <f t="shared" si="1"/>
        <v>12500</v>
      </c>
      <c r="W9" s="182">
        <f t="shared" si="1"/>
        <v>12500</v>
      </c>
      <c r="X9" s="182">
        <f t="shared" si="1"/>
        <v>12500</v>
      </c>
      <c r="Y9" s="182">
        <f t="shared" si="1"/>
        <v>12500</v>
      </c>
      <c r="Z9" s="182">
        <f t="shared" si="1"/>
        <v>12500</v>
      </c>
      <c r="AA9" s="182">
        <f t="shared" si="1"/>
        <v>12500</v>
      </c>
      <c r="AB9" s="182">
        <f t="shared" si="1"/>
        <v>12500</v>
      </c>
      <c r="AC9" s="182">
        <f t="shared" si="1"/>
        <v>12500</v>
      </c>
      <c r="AD9" s="182">
        <f t="shared" si="1"/>
        <v>12500</v>
      </c>
      <c r="AE9" s="35">
        <f t="shared" si="0"/>
        <v>150000</v>
      </c>
      <c r="AF9" s="36"/>
      <c r="AK9" s="37"/>
    </row>
    <row r="10" spans="1:37" ht="30">
      <c r="A10" s="28" t="s">
        <v>41</v>
      </c>
      <c r="B10" s="28" t="s">
        <v>42</v>
      </c>
      <c r="C10" s="29" t="s">
        <v>43</v>
      </c>
      <c r="D10" s="38" t="s">
        <v>44</v>
      </c>
      <c r="E10" s="38"/>
      <c r="F10" s="38"/>
      <c r="G10" s="31"/>
      <c r="H10" s="31"/>
      <c r="I10" s="38"/>
      <c r="J10" s="4">
        <v>700000</v>
      </c>
      <c r="K10" s="32"/>
      <c r="L10" s="32">
        <f>J10*12</f>
        <v>8400000</v>
      </c>
      <c r="M10" s="185"/>
      <c r="N10" s="32"/>
      <c r="O10" s="185">
        <v>1000</v>
      </c>
      <c r="P10" s="2"/>
      <c r="Q10" s="2">
        <v>2475958</v>
      </c>
      <c r="R10" s="3">
        <f t="shared" ref="R10:R34" si="2">SUM(P10:Q10)</f>
        <v>2475958</v>
      </c>
      <c r="S10" s="34"/>
      <c r="T10" s="34"/>
      <c r="U10" s="34"/>
      <c r="V10" s="4">
        <f>J10*4-R10</f>
        <v>324042</v>
      </c>
      <c r="W10" s="4">
        <f>J10</f>
        <v>700000</v>
      </c>
      <c r="X10" s="4">
        <f>J10</f>
        <v>700000</v>
      </c>
      <c r="Y10" s="4">
        <f>J10</f>
        <v>700000</v>
      </c>
      <c r="Z10" s="4">
        <f>J10</f>
        <v>700000</v>
      </c>
      <c r="AA10" s="4">
        <f>J10</f>
        <v>700000</v>
      </c>
      <c r="AB10" s="4">
        <f>J10</f>
        <v>700000</v>
      </c>
      <c r="AC10" s="4">
        <f>J10</f>
        <v>700000</v>
      </c>
      <c r="AD10" s="4">
        <f>J10</f>
        <v>700000</v>
      </c>
      <c r="AE10" s="35">
        <f t="shared" si="0"/>
        <v>5924042</v>
      </c>
      <c r="AF10" s="36">
        <f t="shared" ref="AF10:AF23" si="3">R10/(J10+K10)</f>
        <v>3.537082857142857</v>
      </c>
      <c r="AH10" s="37"/>
      <c r="AI10" s="37"/>
      <c r="AJ10" s="37"/>
      <c r="AK10" s="37"/>
    </row>
    <row r="11" spans="1:37" ht="27" customHeight="1">
      <c r="A11" s="41" t="s">
        <v>45</v>
      </c>
      <c r="B11" s="28" t="s">
        <v>46</v>
      </c>
      <c r="C11" s="29" t="s">
        <v>47</v>
      </c>
      <c r="D11" s="38" t="s">
        <v>48</v>
      </c>
      <c r="E11" s="38"/>
      <c r="F11" s="40"/>
      <c r="G11" s="31"/>
      <c r="H11" s="31"/>
      <c r="I11" s="38"/>
      <c r="J11" s="32">
        <v>333</v>
      </c>
      <c r="K11" s="32"/>
      <c r="L11" s="4">
        <f>J11*12</f>
        <v>3996</v>
      </c>
      <c r="M11" s="56" t="s">
        <v>49</v>
      </c>
      <c r="N11" s="4">
        <v>1665</v>
      </c>
      <c r="O11" s="185">
        <v>1000</v>
      </c>
      <c r="P11" s="33"/>
      <c r="Q11" s="33">
        <v>2331</v>
      </c>
      <c r="R11" s="3">
        <f t="shared" si="2"/>
        <v>2331</v>
      </c>
      <c r="S11" s="34"/>
      <c r="T11" s="34"/>
      <c r="U11" s="34"/>
      <c r="V11" s="34"/>
      <c r="W11" s="34"/>
      <c r="X11" s="34"/>
      <c r="Y11" s="34"/>
      <c r="Z11" s="4">
        <f>J11</f>
        <v>333</v>
      </c>
      <c r="AA11" s="4">
        <f>J11</f>
        <v>333</v>
      </c>
      <c r="AB11" s="4">
        <f>J11</f>
        <v>333</v>
      </c>
      <c r="AC11" s="4">
        <f>J11</f>
        <v>333</v>
      </c>
      <c r="AD11" s="4">
        <f>J11</f>
        <v>333</v>
      </c>
      <c r="AE11" s="35">
        <f t="shared" si="0"/>
        <v>1665</v>
      </c>
      <c r="AF11" s="36">
        <f t="shared" si="3"/>
        <v>7</v>
      </c>
      <c r="AH11" s="37"/>
      <c r="AI11" s="37"/>
      <c r="AJ11" s="37"/>
      <c r="AK11" s="37"/>
    </row>
    <row r="12" spans="1:37" ht="54.75" customHeight="1">
      <c r="A12" s="42" t="s">
        <v>50</v>
      </c>
      <c r="B12" s="28" t="s">
        <v>46</v>
      </c>
      <c r="C12" s="38" t="s">
        <v>51</v>
      </c>
      <c r="D12" s="43">
        <v>1543032000104</v>
      </c>
      <c r="E12" s="38" t="s">
        <v>52</v>
      </c>
      <c r="F12" s="40"/>
      <c r="G12" s="31"/>
      <c r="H12" s="31"/>
      <c r="I12" s="38" t="s">
        <v>53</v>
      </c>
      <c r="J12" s="32">
        <v>1585.03</v>
      </c>
      <c r="K12" s="32"/>
      <c r="L12" s="32">
        <f>J12*12</f>
        <v>19020.36</v>
      </c>
      <c r="M12" s="185" t="s">
        <v>54</v>
      </c>
      <c r="N12" s="32">
        <v>17066.89</v>
      </c>
      <c r="O12" s="185">
        <v>1000</v>
      </c>
      <c r="P12" s="39"/>
      <c r="Q12" s="39">
        <f>1856.05+97.42</f>
        <v>1953.47</v>
      </c>
      <c r="R12" s="3">
        <f t="shared" si="2"/>
        <v>1953.47</v>
      </c>
      <c r="S12" s="34"/>
      <c r="T12" s="4">
        <f>J12*2-R12</f>
        <v>1216.5899999999999</v>
      </c>
      <c r="U12" s="4">
        <f>J12</f>
        <v>1585.03</v>
      </c>
      <c r="V12" s="4">
        <f>J12</f>
        <v>1585.03</v>
      </c>
      <c r="W12" s="4">
        <f>J12</f>
        <v>1585.03</v>
      </c>
      <c r="X12" s="4">
        <f>J12</f>
        <v>1585.03</v>
      </c>
      <c r="Y12" s="4">
        <f>J12</f>
        <v>1585.03</v>
      </c>
      <c r="Z12" s="4">
        <f>J12</f>
        <v>1585.03</v>
      </c>
      <c r="AA12" s="4">
        <f>J12</f>
        <v>1585.03</v>
      </c>
      <c r="AB12" s="4">
        <f>J12</f>
        <v>1585.03</v>
      </c>
      <c r="AC12" s="4">
        <f>J12</f>
        <v>1585.03</v>
      </c>
      <c r="AD12" s="4">
        <f>J12</f>
        <v>1585.03</v>
      </c>
      <c r="AE12" s="35">
        <f t="shared" si="0"/>
        <v>17066.890000000003</v>
      </c>
      <c r="AF12" s="36">
        <f t="shared" si="3"/>
        <v>1.2324498589932051</v>
      </c>
      <c r="AH12" s="37"/>
      <c r="AI12" s="37"/>
      <c r="AJ12" s="37"/>
      <c r="AK12" s="37"/>
    </row>
    <row r="13" spans="1:37" ht="14.25" customHeight="1">
      <c r="A13" s="28" t="s">
        <v>55</v>
      </c>
      <c r="B13" s="44" t="s">
        <v>56</v>
      </c>
      <c r="C13" s="38" t="s">
        <v>57</v>
      </c>
      <c r="D13" s="38" t="s">
        <v>58</v>
      </c>
      <c r="E13" s="29" t="s">
        <v>59</v>
      </c>
      <c r="F13" s="45">
        <v>46247</v>
      </c>
      <c r="G13" s="46" t="str">
        <f ca="1">IF((F13-TODAY())&lt;0,"EXPIRADO", IF((F13-TODAY())&lt;=60,"EM BREVE","NO PRAZO"))</f>
        <v>NO PRAZO</v>
      </c>
      <c r="H13" s="29"/>
      <c r="I13" s="47" t="s">
        <v>60</v>
      </c>
      <c r="J13" s="32">
        <v>60000</v>
      </c>
      <c r="K13" s="32"/>
      <c r="L13" s="32">
        <f>J13*12</f>
        <v>720000</v>
      </c>
      <c r="M13" s="185" t="s">
        <v>61</v>
      </c>
      <c r="N13" s="32">
        <v>654196.34</v>
      </c>
      <c r="O13" s="185">
        <v>1000</v>
      </c>
      <c r="P13" s="33"/>
      <c r="Q13" s="39">
        <v>65803.66</v>
      </c>
      <c r="R13" s="3">
        <f t="shared" si="2"/>
        <v>65803.66</v>
      </c>
      <c r="S13" s="34"/>
      <c r="T13" s="4">
        <f>J13+J13-R13</f>
        <v>54196.34</v>
      </c>
      <c r="U13" s="4">
        <f>J13</f>
        <v>60000</v>
      </c>
      <c r="V13" s="4">
        <f>J13</f>
        <v>60000</v>
      </c>
      <c r="W13" s="4">
        <f>J13</f>
        <v>60000</v>
      </c>
      <c r="X13" s="4">
        <f>J13</f>
        <v>60000</v>
      </c>
      <c r="Y13" s="4">
        <f>J13</f>
        <v>60000</v>
      </c>
      <c r="Z13" s="48">
        <f>J13</f>
        <v>60000</v>
      </c>
      <c r="AA13" s="4">
        <f>J13</f>
        <v>60000</v>
      </c>
      <c r="AB13" s="4">
        <f>J13</f>
        <v>60000</v>
      </c>
      <c r="AC13" s="4">
        <f>J13</f>
        <v>60000</v>
      </c>
      <c r="AD13" s="4">
        <f>J13</f>
        <v>60000</v>
      </c>
      <c r="AE13" s="35">
        <f t="shared" si="0"/>
        <v>654196.34</v>
      </c>
      <c r="AF13" s="36">
        <f t="shared" si="3"/>
        <v>1.0967276666666668</v>
      </c>
      <c r="AH13" s="37"/>
      <c r="AI13" s="37"/>
      <c r="AJ13" s="37"/>
      <c r="AK13" s="37"/>
    </row>
    <row r="14" spans="1:37" ht="110.25" customHeight="1">
      <c r="A14" s="49" t="s">
        <v>62</v>
      </c>
      <c r="B14" s="44" t="s">
        <v>56</v>
      </c>
      <c r="C14" s="38" t="s">
        <v>63</v>
      </c>
      <c r="D14" s="38"/>
      <c r="E14" s="50" t="s">
        <v>64</v>
      </c>
      <c r="F14" s="51"/>
      <c r="G14" s="46"/>
      <c r="H14" s="29" t="s">
        <v>65</v>
      </c>
      <c r="I14" s="52"/>
      <c r="J14" s="32"/>
      <c r="K14" s="32"/>
      <c r="L14" s="32"/>
      <c r="M14" s="185"/>
      <c r="N14" s="32"/>
      <c r="O14" s="185">
        <v>1000</v>
      </c>
      <c r="P14" s="2"/>
      <c r="Q14" s="2">
        <v>17567.669999999998</v>
      </c>
      <c r="R14" s="3">
        <f t="shared" si="2"/>
        <v>17567.669999999998</v>
      </c>
      <c r="S14" s="4">
        <f>J14</f>
        <v>0</v>
      </c>
      <c r="T14" s="4">
        <f>J14</f>
        <v>0</v>
      </c>
      <c r="U14" s="4">
        <f>J14</f>
        <v>0</v>
      </c>
      <c r="V14" s="4">
        <f>J14</f>
        <v>0</v>
      </c>
      <c r="W14" s="4">
        <f>J14</f>
        <v>0</v>
      </c>
      <c r="X14" s="4">
        <f>J14</f>
        <v>0</v>
      </c>
      <c r="Y14" s="4">
        <f>J14</f>
        <v>0</v>
      </c>
      <c r="Z14" s="4">
        <f>J14</f>
        <v>0</v>
      </c>
      <c r="AA14" s="4">
        <f>J14</f>
        <v>0</v>
      </c>
      <c r="AB14" s="4">
        <f>J14</f>
        <v>0</v>
      </c>
      <c r="AC14" s="4">
        <f>J14</f>
        <v>0</v>
      </c>
      <c r="AD14" s="4">
        <f>J14</f>
        <v>0</v>
      </c>
      <c r="AE14" s="35">
        <f t="shared" si="0"/>
        <v>0</v>
      </c>
      <c r="AF14" s="36" t="e">
        <f t="shared" si="3"/>
        <v>#DIV/0!</v>
      </c>
      <c r="AH14" s="37"/>
      <c r="AI14" s="37"/>
      <c r="AJ14" s="37"/>
      <c r="AK14" s="37"/>
    </row>
    <row r="15" spans="1:37" ht="27" customHeight="1">
      <c r="A15" s="53" t="s">
        <v>66</v>
      </c>
      <c r="B15" s="53" t="s">
        <v>56</v>
      </c>
      <c r="C15" s="54" t="s">
        <v>67</v>
      </c>
      <c r="D15" s="54" t="s">
        <v>68</v>
      </c>
      <c r="E15" s="55" t="s">
        <v>69</v>
      </c>
      <c r="F15" s="51">
        <v>46147</v>
      </c>
      <c r="G15" s="46" t="str">
        <f t="shared" ref="G15:G34" ca="1" si="4">IF((F15-TODAY())&lt;0,"EXPIRADO", IF((F15-TODAY())&lt;=60,"EM BREVE","NO PRAZO"))</f>
        <v>NO PRAZO</v>
      </c>
      <c r="H15" s="29"/>
      <c r="I15" s="56" t="s">
        <v>70</v>
      </c>
      <c r="J15" s="35"/>
      <c r="K15" s="4">
        <f>L15/12</f>
        <v>182288</v>
      </c>
      <c r="L15" s="4">
        <v>2187456</v>
      </c>
      <c r="M15" s="56" t="s">
        <v>71</v>
      </c>
      <c r="N15" s="4">
        <v>2140102.39</v>
      </c>
      <c r="O15" s="185">
        <v>1000</v>
      </c>
      <c r="P15" s="2">
        <v>546864</v>
      </c>
      <c r="Q15" s="2">
        <v>47353.61</v>
      </c>
      <c r="R15" s="3">
        <f t="shared" si="2"/>
        <v>594217.61</v>
      </c>
      <c r="S15" s="34"/>
      <c r="T15" s="34"/>
      <c r="U15" s="34"/>
      <c r="V15" s="34"/>
      <c r="W15" s="48">
        <f>K15</f>
        <v>182288</v>
      </c>
      <c r="X15" s="4">
        <f>K15</f>
        <v>182288</v>
      </c>
      <c r="Y15" s="4">
        <f>K15</f>
        <v>182288</v>
      </c>
      <c r="Z15" s="4">
        <f>K15</f>
        <v>182288</v>
      </c>
      <c r="AA15" s="4">
        <f>K15</f>
        <v>182288</v>
      </c>
      <c r="AB15" s="4">
        <f>K15</f>
        <v>182288</v>
      </c>
      <c r="AC15" s="4">
        <f>K15</f>
        <v>182288</v>
      </c>
      <c r="AD15" s="4">
        <f>K15</f>
        <v>182288</v>
      </c>
      <c r="AE15" s="35">
        <f t="shared" si="0"/>
        <v>1458304</v>
      </c>
      <c r="AF15" s="36">
        <f t="shared" si="3"/>
        <v>3.2597736000175543</v>
      </c>
      <c r="AH15" s="37"/>
      <c r="AI15" s="37"/>
      <c r="AJ15" s="37"/>
      <c r="AK15" s="37"/>
    </row>
    <row r="16" spans="1:37" ht="43.5" customHeight="1">
      <c r="A16" s="44" t="s">
        <v>72</v>
      </c>
      <c r="B16" s="44" t="s">
        <v>56</v>
      </c>
      <c r="C16" s="57" t="s">
        <v>73</v>
      </c>
      <c r="D16" s="58">
        <v>30814920000104</v>
      </c>
      <c r="E16" s="59" t="s">
        <v>74</v>
      </c>
      <c r="F16" s="51">
        <v>47457</v>
      </c>
      <c r="G16" s="46" t="str">
        <f t="shared" ca="1" si="4"/>
        <v>NO PRAZO</v>
      </c>
      <c r="H16" s="29"/>
      <c r="I16" s="32"/>
      <c r="J16" s="39"/>
      <c r="K16" s="32"/>
      <c r="L16" s="32">
        <v>752926</v>
      </c>
      <c r="M16" s="185"/>
      <c r="N16" s="32"/>
      <c r="O16" s="185">
        <v>1000</v>
      </c>
      <c r="P16" s="60"/>
      <c r="Q16" s="60">
        <v>0</v>
      </c>
      <c r="R16" s="3">
        <f t="shared" si="2"/>
        <v>0</v>
      </c>
      <c r="S16" s="4">
        <f>J16</f>
        <v>0</v>
      </c>
      <c r="T16" s="4">
        <f>J16</f>
        <v>0</v>
      </c>
      <c r="U16" s="4">
        <f>J16</f>
        <v>0</v>
      </c>
      <c r="V16" s="4">
        <f t="shared" ref="V16:V23" si="5">J16</f>
        <v>0</v>
      </c>
      <c r="W16" s="4">
        <f t="shared" ref="W16:W23" si="6">J16</f>
        <v>0</v>
      </c>
      <c r="X16" s="4">
        <f t="shared" ref="X16:X23" si="7">J16</f>
        <v>0</v>
      </c>
      <c r="Y16" s="4">
        <f t="shared" ref="Y16:Y23" si="8">J16</f>
        <v>0</v>
      </c>
      <c r="Z16" s="4">
        <f t="shared" ref="Z16:Z23" si="9">J16</f>
        <v>0</v>
      </c>
      <c r="AA16" s="4">
        <f t="shared" ref="AA16:AA23" si="10">J16</f>
        <v>0</v>
      </c>
      <c r="AB16" s="4">
        <f t="shared" ref="AB16:AB23" si="11">J16</f>
        <v>0</v>
      </c>
      <c r="AC16" s="4">
        <f t="shared" ref="AC16:AC23" si="12">J16</f>
        <v>0</v>
      </c>
      <c r="AD16" s="4">
        <f t="shared" ref="AD16:AD23" si="13">J16</f>
        <v>0</v>
      </c>
      <c r="AE16" s="35">
        <f t="shared" si="0"/>
        <v>0</v>
      </c>
      <c r="AF16" s="36" t="e">
        <f t="shared" si="3"/>
        <v>#DIV/0!</v>
      </c>
      <c r="AH16" s="37"/>
      <c r="AI16" s="37"/>
      <c r="AJ16" s="37"/>
      <c r="AK16" s="37"/>
    </row>
    <row r="17" spans="1:37" ht="82.5" customHeight="1">
      <c r="A17" s="44" t="s">
        <v>75</v>
      </c>
      <c r="B17" s="44" t="s">
        <v>56</v>
      </c>
      <c r="C17" s="57" t="s">
        <v>76</v>
      </c>
      <c r="D17" s="57" t="s">
        <v>77</v>
      </c>
      <c r="E17" s="59" t="s">
        <v>78</v>
      </c>
      <c r="F17" s="51">
        <v>46082</v>
      </c>
      <c r="G17" s="46" t="str">
        <f t="shared" ca="1" si="4"/>
        <v>EM BREVE</v>
      </c>
      <c r="H17" s="46"/>
      <c r="I17" s="61" t="s">
        <v>79</v>
      </c>
      <c r="J17" s="4">
        <f>L17/12</f>
        <v>236095</v>
      </c>
      <c r="K17" s="62" t="s">
        <v>80</v>
      </c>
      <c r="L17" s="32">
        <v>2833140</v>
      </c>
      <c r="M17" s="185"/>
      <c r="N17" s="32"/>
      <c r="O17" s="185">
        <v>1000</v>
      </c>
      <c r="P17" s="33"/>
      <c r="Q17" s="33">
        <v>0</v>
      </c>
      <c r="R17" s="3">
        <f t="shared" si="2"/>
        <v>0</v>
      </c>
      <c r="S17" s="4">
        <f>J17</f>
        <v>236095</v>
      </c>
      <c r="T17" s="4">
        <f>J17</f>
        <v>236095</v>
      </c>
      <c r="U17" s="48">
        <f>J17</f>
        <v>236095</v>
      </c>
      <c r="V17" s="4">
        <f t="shared" si="5"/>
        <v>236095</v>
      </c>
      <c r="W17" s="4">
        <f t="shared" si="6"/>
        <v>236095</v>
      </c>
      <c r="X17" s="4">
        <f t="shared" si="7"/>
        <v>236095</v>
      </c>
      <c r="Y17" s="4">
        <f t="shared" si="8"/>
        <v>236095</v>
      </c>
      <c r="Z17" s="4">
        <f t="shared" si="9"/>
        <v>236095</v>
      </c>
      <c r="AA17" s="4">
        <f t="shared" si="10"/>
        <v>236095</v>
      </c>
      <c r="AB17" s="4">
        <f t="shared" si="11"/>
        <v>236095</v>
      </c>
      <c r="AC17" s="4">
        <f t="shared" si="12"/>
        <v>236095</v>
      </c>
      <c r="AD17" s="4">
        <f t="shared" si="13"/>
        <v>236095</v>
      </c>
      <c r="AE17" s="35">
        <f t="shared" si="0"/>
        <v>2833140</v>
      </c>
      <c r="AF17" s="36" t="e">
        <f t="shared" si="3"/>
        <v>#VALUE!</v>
      </c>
      <c r="AH17" s="37"/>
      <c r="AI17" s="37"/>
      <c r="AJ17" s="37"/>
      <c r="AK17" s="37"/>
    </row>
    <row r="18" spans="1:37" ht="57.75" customHeight="1">
      <c r="A18" s="63" t="s">
        <v>81</v>
      </c>
      <c r="B18" s="63" t="s">
        <v>82</v>
      </c>
      <c r="C18" s="29" t="s">
        <v>83</v>
      </c>
      <c r="D18" s="29" t="s">
        <v>84</v>
      </c>
      <c r="E18" s="59" t="s">
        <v>85</v>
      </c>
      <c r="F18" s="51">
        <v>47682</v>
      </c>
      <c r="G18" s="46" t="str">
        <f t="shared" ca="1" si="4"/>
        <v>NO PRAZO</v>
      </c>
      <c r="H18" s="29"/>
      <c r="I18" s="61" t="s">
        <v>86</v>
      </c>
      <c r="J18" s="4">
        <v>4000</v>
      </c>
      <c r="K18" s="4"/>
      <c r="L18" s="4">
        <f>J18*12</f>
        <v>48000</v>
      </c>
      <c r="M18" s="56"/>
      <c r="N18" s="4"/>
      <c r="O18" s="185">
        <v>1000</v>
      </c>
      <c r="P18" s="48"/>
      <c r="Q18" s="60">
        <v>7511.28</v>
      </c>
      <c r="R18" s="3">
        <f t="shared" si="2"/>
        <v>7511.28</v>
      </c>
      <c r="S18" s="34"/>
      <c r="T18" s="4">
        <f>J18*2-R18</f>
        <v>488.72000000000025</v>
      </c>
      <c r="U18" s="4">
        <f>J18</f>
        <v>4000</v>
      </c>
      <c r="V18" s="4">
        <f t="shared" si="5"/>
        <v>4000</v>
      </c>
      <c r="W18" s="4">
        <f t="shared" si="6"/>
        <v>4000</v>
      </c>
      <c r="X18" s="4">
        <f t="shared" si="7"/>
        <v>4000</v>
      </c>
      <c r="Y18" s="48">
        <f t="shared" si="8"/>
        <v>4000</v>
      </c>
      <c r="Z18" s="4">
        <f t="shared" si="9"/>
        <v>4000</v>
      </c>
      <c r="AA18" s="4">
        <f t="shared" si="10"/>
        <v>4000</v>
      </c>
      <c r="AB18" s="4">
        <f t="shared" si="11"/>
        <v>4000</v>
      </c>
      <c r="AC18" s="4">
        <f t="shared" si="12"/>
        <v>4000</v>
      </c>
      <c r="AD18" s="4">
        <f t="shared" si="13"/>
        <v>4000</v>
      </c>
      <c r="AE18" s="35">
        <f t="shared" si="0"/>
        <v>40488.720000000001</v>
      </c>
      <c r="AF18" s="36">
        <f t="shared" si="3"/>
        <v>1.87782</v>
      </c>
      <c r="AH18" s="37"/>
      <c r="AI18" s="37"/>
      <c r="AJ18" s="37"/>
      <c r="AK18" s="37"/>
    </row>
    <row r="19" spans="1:37" ht="57.75" customHeight="1">
      <c r="A19" s="64" t="s">
        <v>87</v>
      </c>
      <c r="B19" s="63" t="s">
        <v>88</v>
      </c>
      <c r="C19" s="38" t="s">
        <v>89</v>
      </c>
      <c r="D19" s="38" t="s">
        <v>90</v>
      </c>
      <c r="E19" s="59" t="s">
        <v>91</v>
      </c>
      <c r="F19" s="51">
        <v>45106</v>
      </c>
      <c r="G19" s="46" t="str">
        <f t="shared" ca="1" si="4"/>
        <v>EXPIRADO</v>
      </c>
      <c r="H19" s="46"/>
      <c r="I19" s="61" t="s">
        <v>92</v>
      </c>
      <c r="J19" s="4"/>
      <c r="K19" s="4"/>
      <c r="L19" s="4">
        <v>225342</v>
      </c>
      <c r="M19" s="56"/>
      <c r="N19" s="4"/>
      <c r="O19" s="185">
        <v>1000</v>
      </c>
      <c r="P19" s="48"/>
      <c r="Q19" s="65">
        <v>102.4</v>
      </c>
      <c r="R19" s="3">
        <f t="shared" si="2"/>
        <v>102.4</v>
      </c>
      <c r="S19" s="4">
        <f>J19</f>
        <v>0</v>
      </c>
      <c r="T19" s="4">
        <f>J19</f>
        <v>0</v>
      </c>
      <c r="U19" s="4">
        <f>J19</f>
        <v>0</v>
      </c>
      <c r="V19" s="4">
        <f t="shared" si="5"/>
        <v>0</v>
      </c>
      <c r="W19" s="4">
        <f t="shared" si="6"/>
        <v>0</v>
      </c>
      <c r="X19" s="4">
        <f t="shared" si="7"/>
        <v>0</v>
      </c>
      <c r="Y19" s="4">
        <f t="shared" si="8"/>
        <v>0</v>
      </c>
      <c r="Z19" s="4">
        <f t="shared" si="9"/>
        <v>0</v>
      </c>
      <c r="AA19" s="4">
        <f t="shared" si="10"/>
        <v>0</v>
      </c>
      <c r="AB19" s="4">
        <f t="shared" si="11"/>
        <v>0</v>
      </c>
      <c r="AC19" s="4">
        <f t="shared" si="12"/>
        <v>0</v>
      </c>
      <c r="AD19" s="4">
        <f t="shared" si="13"/>
        <v>0</v>
      </c>
      <c r="AE19" s="35">
        <f t="shared" si="0"/>
        <v>0</v>
      </c>
      <c r="AF19" s="36" t="e">
        <f t="shared" si="3"/>
        <v>#DIV/0!</v>
      </c>
      <c r="AH19" s="37"/>
      <c r="AI19" s="37"/>
      <c r="AJ19" s="37"/>
      <c r="AK19" s="37"/>
    </row>
    <row r="20" spans="1:37" ht="54.75" customHeight="1">
      <c r="A20" s="63" t="s">
        <v>93</v>
      </c>
      <c r="B20" s="63" t="s">
        <v>82</v>
      </c>
      <c r="C20" s="38" t="s">
        <v>89</v>
      </c>
      <c r="D20" s="38" t="s">
        <v>90</v>
      </c>
      <c r="E20" s="59" t="s">
        <v>94</v>
      </c>
      <c r="F20" s="51">
        <v>46221</v>
      </c>
      <c r="G20" s="46" t="str">
        <f t="shared" ca="1" si="4"/>
        <v>NO PRAZO</v>
      </c>
      <c r="H20" s="46"/>
      <c r="I20" s="61" t="s">
        <v>95</v>
      </c>
      <c r="J20" s="4">
        <v>4000</v>
      </c>
      <c r="K20" s="4"/>
      <c r="L20" s="4">
        <f>J20*12</f>
        <v>48000</v>
      </c>
      <c r="M20" s="56"/>
      <c r="N20" s="4"/>
      <c r="O20" s="185">
        <v>1000</v>
      </c>
      <c r="P20" s="66"/>
      <c r="Q20" s="33">
        <v>12000</v>
      </c>
      <c r="R20" s="3">
        <f t="shared" si="2"/>
        <v>12000</v>
      </c>
      <c r="S20" s="34"/>
      <c r="T20" s="34"/>
      <c r="U20" s="34"/>
      <c r="V20" s="4">
        <f t="shared" si="5"/>
        <v>4000</v>
      </c>
      <c r="W20" s="4">
        <f t="shared" si="6"/>
        <v>4000</v>
      </c>
      <c r="X20" s="4">
        <f t="shared" si="7"/>
        <v>4000</v>
      </c>
      <c r="Y20" s="48">
        <f t="shared" si="8"/>
        <v>4000</v>
      </c>
      <c r="Z20" s="4">
        <f t="shared" si="9"/>
        <v>4000</v>
      </c>
      <c r="AA20" s="4">
        <f t="shared" si="10"/>
        <v>4000</v>
      </c>
      <c r="AB20" s="4">
        <f t="shared" si="11"/>
        <v>4000</v>
      </c>
      <c r="AC20" s="4">
        <f t="shared" si="12"/>
        <v>4000</v>
      </c>
      <c r="AD20" s="4">
        <f t="shared" si="13"/>
        <v>4000</v>
      </c>
      <c r="AE20" s="35">
        <f t="shared" si="0"/>
        <v>36000</v>
      </c>
      <c r="AF20" s="36">
        <f t="shared" si="3"/>
        <v>3</v>
      </c>
      <c r="AH20" s="37"/>
      <c r="AI20" s="37"/>
      <c r="AJ20" s="37"/>
      <c r="AK20" s="37"/>
    </row>
    <row r="21" spans="1:37" ht="27" customHeight="1">
      <c r="A21" s="67" t="s">
        <v>96</v>
      </c>
      <c r="B21" s="63" t="s">
        <v>82</v>
      </c>
      <c r="C21" s="38" t="s">
        <v>97</v>
      </c>
      <c r="D21" s="38" t="s">
        <v>98</v>
      </c>
      <c r="E21" s="59" t="s">
        <v>99</v>
      </c>
      <c r="F21" s="51">
        <v>46354</v>
      </c>
      <c r="G21" s="46" t="str">
        <f t="shared" ca="1" si="4"/>
        <v>NO PRAZO</v>
      </c>
      <c r="H21" s="29"/>
      <c r="I21" s="61" t="s">
        <v>100</v>
      </c>
      <c r="J21" s="4">
        <v>500</v>
      </c>
      <c r="K21" s="4"/>
      <c r="L21" s="4">
        <f>J21*12</f>
        <v>6000</v>
      </c>
      <c r="M21" s="56"/>
      <c r="N21" s="4"/>
      <c r="O21" s="185">
        <v>1000</v>
      </c>
      <c r="P21" s="68"/>
      <c r="Q21" s="33">
        <v>1100</v>
      </c>
      <c r="R21" s="3">
        <f t="shared" si="2"/>
        <v>1100</v>
      </c>
      <c r="S21" s="34"/>
      <c r="T21" s="34"/>
      <c r="U21" s="4">
        <v>400</v>
      </c>
      <c r="V21" s="4">
        <f t="shared" si="5"/>
        <v>500</v>
      </c>
      <c r="W21" s="4">
        <f t="shared" si="6"/>
        <v>500</v>
      </c>
      <c r="X21" s="4">
        <f t="shared" si="7"/>
        <v>500</v>
      </c>
      <c r="Y21" s="4">
        <f t="shared" si="8"/>
        <v>500</v>
      </c>
      <c r="Z21" s="4">
        <f t="shared" si="9"/>
        <v>500</v>
      </c>
      <c r="AA21" s="4">
        <f t="shared" si="10"/>
        <v>500</v>
      </c>
      <c r="AB21" s="4">
        <f t="shared" si="11"/>
        <v>500</v>
      </c>
      <c r="AC21" s="48">
        <f t="shared" si="12"/>
        <v>500</v>
      </c>
      <c r="AD21" s="4">
        <f t="shared" si="13"/>
        <v>500</v>
      </c>
      <c r="AE21" s="35">
        <f t="shared" si="0"/>
        <v>4900</v>
      </c>
      <c r="AF21" s="36">
        <f t="shared" si="3"/>
        <v>2.2000000000000002</v>
      </c>
      <c r="AH21" s="37"/>
      <c r="AI21" s="37"/>
      <c r="AJ21" s="37"/>
      <c r="AK21" s="37"/>
    </row>
    <row r="22" spans="1:37" ht="27" customHeight="1">
      <c r="A22" s="69" t="s">
        <v>101</v>
      </c>
      <c r="B22" s="63" t="s">
        <v>82</v>
      </c>
      <c r="C22" s="38" t="s">
        <v>102</v>
      </c>
      <c r="D22" s="38" t="s">
        <v>103</v>
      </c>
      <c r="E22" s="59" t="s">
        <v>104</v>
      </c>
      <c r="F22" s="51">
        <v>46086</v>
      </c>
      <c r="G22" s="46" t="str">
        <f t="shared" ca="1" si="4"/>
        <v>EM BREVE</v>
      </c>
      <c r="H22" s="70" t="s">
        <v>105</v>
      </c>
      <c r="I22" s="59" t="s">
        <v>106</v>
      </c>
      <c r="J22" s="4">
        <v>3870</v>
      </c>
      <c r="K22" s="4"/>
      <c r="L22" s="4">
        <v>48000</v>
      </c>
      <c r="M22" s="56"/>
      <c r="N22" s="4"/>
      <c r="O22" s="185">
        <v>1000</v>
      </c>
      <c r="P22" s="68"/>
      <c r="Q22" s="33">
        <v>9727</v>
      </c>
      <c r="R22" s="3">
        <f t="shared" si="2"/>
        <v>9727</v>
      </c>
      <c r="S22" s="34"/>
      <c r="T22" s="34"/>
      <c r="U22" s="48">
        <f>J22</f>
        <v>3870</v>
      </c>
      <c r="V22" s="4">
        <f t="shared" si="5"/>
        <v>3870</v>
      </c>
      <c r="W22" s="4">
        <f t="shared" si="6"/>
        <v>3870</v>
      </c>
      <c r="X22" s="4">
        <f t="shared" si="7"/>
        <v>3870</v>
      </c>
      <c r="Y22" s="4">
        <f t="shared" si="8"/>
        <v>3870</v>
      </c>
      <c r="Z22" s="4">
        <f t="shared" si="9"/>
        <v>3870</v>
      </c>
      <c r="AA22" s="4">
        <f t="shared" si="10"/>
        <v>3870</v>
      </c>
      <c r="AB22" s="4">
        <f t="shared" si="11"/>
        <v>3870</v>
      </c>
      <c r="AC22" s="4">
        <f t="shared" si="12"/>
        <v>3870</v>
      </c>
      <c r="AD22" s="4">
        <f t="shared" si="13"/>
        <v>3870</v>
      </c>
      <c r="AE22" s="35">
        <f t="shared" si="0"/>
        <v>38700</v>
      </c>
      <c r="AF22" s="36">
        <f t="shared" si="3"/>
        <v>2.5134366925064597</v>
      </c>
      <c r="AH22" s="37"/>
      <c r="AI22" s="37"/>
      <c r="AJ22" s="37"/>
      <c r="AK22" s="37"/>
    </row>
    <row r="23" spans="1:37" ht="69" customHeight="1">
      <c r="A23" s="53" t="s">
        <v>107</v>
      </c>
      <c r="B23" s="67" t="s">
        <v>108</v>
      </c>
      <c r="C23" s="71" t="s">
        <v>109</v>
      </c>
      <c r="D23" s="57" t="s">
        <v>110</v>
      </c>
      <c r="E23" s="59" t="s">
        <v>111</v>
      </c>
      <c r="F23" s="51">
        <v>46404</v>
      </c>
      <c r="G23" s="46" t="str">
        <f t="shared" ca="1" si="4"/>
        <v>NO PRAZO</v>
      </c>
      <c r="H23" s="29"/>
      <c r="I23" s="59" t="s">
        <v>112</v>
      </c>
      <c r="J23" s="4">
        <v>4000</v>
      </c>
      <c r="K23" s="32"/>
      <c r="L23" s="32">
        <f>J23*12</f>
        <v>48000</v>
      </c>
      <c r="M23" s="185"/>
      <c r="N23" s="32"/>
      <c r="O23" s="185">
        <v>1000</v>
      </c>
      <c r="P23" s="2">
        <v>1000</v>
      </c>
      <c r="Q23" s="2">
        <v>0</v>
      </c>
      <c r="R23" s="3">
        <f t="shared" si="2"/>
        <v>1000</v>
      </c>
      <c r="S23" s="4">
        <v>3000</v>
      </c>
      <c r="T23" s="4">
        <f>J23</f>
        <v>4000</v>
      </c>
      <c r="U23" s="4">
        <f>J23</f>
        <v>4000</v>
      </c>
      <c r="V23" s="4">
        <f t="shared" si="5"/>
        <v>4000</v>
      </c>
      <c r="W23" s="4">
        <f t="shared" si="6"/>
        <v>4000</v>
      </c>
      <c r="X23" s="4">
        <f t="shared" si="7"/>
        <v>4000</v>
      </c>
      <c r="Y23" s="4">
        <f t="shared" si="8"/>
        <v>4000</v>
      </c>
      <c r="Z23" s="4">
        <f t="shared" si="9"/>
        <v>4000</v>
      </c>
      <c r="AA23" s="4">
        <f t="shared" si="10"/>
        <v>4000</v>
      </c>
      <c r="AB23" s="4">
        <f t="shared" si="11"/>
        <v>4000</v>
      </c>
      <c r="AC23" s="4">
        <f t="shared" si="12"/>
        <v>4000</v>
      </c>
      <c r="AD23" s="4">
        <f t="shared" si="13"/>
        <v>4000</v>
      </c>
      <c r="AE23" s="35">
        <f t="shared" si="0"/>
        <v>47000</v>
      </c>
      <c r="AF23" s="36">
        <f t="shared" si="3"/>
        <v>0.25</v>
      </c>
      <c r="AH23" s="37"/>
      <c r="AI23" s="37"/>
      <c r="AJ23" s="37"/>
      <c r="AK23" s="37"/>
    </row>
    <row r="24" spans="1:37" ht="45">
      <c r="A24" s="181" t="s">
        <v>113</v>
      </c>
      <c r="B24" s="67" t="s">
        <v>114</v>
      </c>
      <c r="C24" s="71" t="s">
        <v>115</v>
      </c>
      <c r="D24" s="57" t="s">
        <v>116</v>
      </c>
      <c r="E24" s="59" t="s">
        <v>117</v>
      </c>
      <c r="F24" s="45">
        <v>46360</v>
      </c>
      <c r="G24" s="46" t="str">
        <f t="shared" ca="1" si="4"/>
        <v>NO PRAZO</v>
      </c>
      <c r="H24" s="29" t="s">
        <v>118</v>
      </c>
      <c r="I24" s="59" t="s">
        <v>119</v>
      </c>
      <c r="J24" s="4">
        <v>153000</v>
      </c>
      <c r="K24" s="32"/>
      <c r="L24" s="32">
        <f>J24*12</f>
        <v>1836000</v>
      </c>
      <c r="M24" s="185"/>
      <c r="N24" s="32"/>
      <c r="O24" s="185">
        <v>1000</v>
      </c>
      <c r="P24" s="2">
        <v>6.29</v>
      </c>
      <c r="Q24" s="2">
        <v>206907</v>
      </c>
      <c r="R24" s="3">
        <f t="shared" si="2"/>
        <v>206913.29</v>
      </c>
      <c r="S24" s="178"/>
      <c r="T24" s="178"/>
      <c r="U24" s="4">
        <v>129000</v>
      </c>
      <c r="V24" s="4">
        <v>129000</v>
      </c>
      <c r="W24" s="4">
        <v>129000</v>
      </c>
      <c r="X24" s="4">
        <v>129000</v>
      </c>
      <c r="Y24" s="4">
        <v>129000</v>
      </c>
      <c r="Z24" s="4">
        <v>129000</v>
      </c>
      <c r="AA24" s="4">
        <v>129000</v>
      </c>
      <c r="AB24" s="4">
        <v>129000</v>
      </c>
      <c r="AC24" s="4">
        <v>129000</v>
      </c>
      <c r="AD24" s="4">
        <v>129000</v>
      </c>
      <c r="AE24" s="35">
        <f t="shared" ref="AE24:AE26" si="14">SUM(S24:AD24)</f>
        <v>1290000</v>
      </c>
      <c r="AF24" s="36"/>
      <c r="AH24" s="37"/>
      <c r="AI24" s="37"/>
      <c r="AJ24" s="37"/>
      <c r="AK24" s="37"/>
    </row>
    <row r="25" spans="1:37" ht="45">
      <c r="A25" s="181" t="s">
        <v>120</v>
      </c>
      <c r="B25" s="67" t="s">
        <v>114</v>
      </c>
      <c r="C25" s="71" t="s">
        <v>121</v>
      </c>
      <c r="D25" s="57" t="s">
        <v>122</v>
      </c>
      <c r="E25" s="59" t="s">
        <v>123</v>
      </c>
      <c r="F25" s="45">
        <v>46366</v>
      </c>
      <c r="G25" s="46" t="str">
        <f t="shared" ca="1" si="4"/>
        <v>NO PRAZO</v>
      </c>
      <c r="H25" s="29" t="s">
        <v>118</v>
      </c>
      <c r="I25" s="59" t="s">
        <v>124</v>
      </c>
      <c r="J25" s="4">
        <v>247122.88500000001</v>
      </c>
      <c r="K25" s="32"/>
      <c r="L25" s="32">
        <f>J25*12</f>
        <v>2965474.62</v>
      </c>
      <c r="M25" s="185"/>
      <c r="N25" s="32"/>
      <c r="O25" s="185">
        <v>1000</v>
      </c>
      <c r="P25" s="2"/>
      <c r="Q25" s="2">
        <v>494245.77</v>
      </c>
      <c r="R25" s="3">
        <f t="shared" si="2"/>
        <v>494245.77</v>
      </c>
      <c r="S25" s="178"/>
      <c r="T25" s="183">
        <f>500000-244246</f>
        <v>255754</v>
      </c>
      <c r="U25" s="4">
        <v>500000</v>
      </c>
      <c r="V25" s="4">
        <v>200000</v>
      </c>
      <c r="W25" s="4">
        <v>200000</v>
      </c>
      <c r="X25" s="4">
        <v>200000</v>
      </c>
      <c r="Y25" s="4">
        <v>200000</v>
      </c>
      <c r="Z25" s="4">
        <v>200000</v>
      </c>
      <c r="AA25" s="4">
        <v>200000</v>
      </c>
      <c r="AB25" s="4">
        <v>200000</v>
      </c>
      <c r="AC25" s="4">
        <v>200000</v>
      </c>
      <c r="AD25" s="4">
        <v>200000</v>
      </c>
      <c r="AE25" s="35">
        <f t="shared" si="14"/>
        <v>2555754</v>
      </c>
      <c r="AF25" s="36"/>
      <c r="AH25" s="37"/>
      <c r="AI25" s="37"/>
      <c r="AJ25" s="37"/>
      <c r="AK25" s="37"/>
    </row>
    <row r="26" spans="1:37" ht="28.5" customHeight="1">
      <c r="A26" s="72" t="s">
        <v>125</v>
      </c>
      <c r="B26" s="63" t="s">
        <v>114</v>
      </c>
      <c r="C26" s="38" t="s">
        <v>126</v>
      </c>
      <c r="D26" s="38" t="s">
        <v>127</v>
      </c>
      <c r="E26" s="29" t="s">
        <v>128</v>
      </c>
      <c r="F26" s="45">
        <v>46137</v>
      </c>
      <c r="G26" s="46" t="str">
        <f t="shared" ca="1" si="4"/>
        <v>NO PRAZO</v>
      </c>
      <c r="H26" s="29"/>
      <c r="I26" s="73" t="s">
        <v>129</v>
      </c>
      <c r="J26" s="4">
        <v>10000</v>
      </c>
      <c r="K26" s="4"/>
      <c r="L26" s="4">
        <v>187401.54</v>
      </c>
      <c r="M26" s="56"/>
      <c r="N26" s="4"/>
      <c r="O26" s="185">
        <v>1000</v>
      </c>
      <c r="P26" s="68"/>
      <c r="Q26" s="39">
        <v>171673.04</v>
      </c>
      <c r="R26" s="3">
        <f t="shared" si="2"/>
        <v>171673.04</v>
      </c>
      <c r="S26" s="178"/>
      <c r="T26" s="34"/>
      <c r="U26" s="34"/>
      <c r="V26" s="48"/>
      <c r="W26" s="34"/>
      <c r="X26" s="34"/>
      <c r="Y26" s="34"/>
      <c r="Z26" s="34"/>
      <c r="AA26" s="34"/>
      <c r="AB26" s="34"/>
      <c r="AC26" s="34"/>
      <c r="AD26" s="34"/>
      <c r="AE26" s="35">
        <f t="shared" si="14"/>
        <v>0</v>
      </c>
      <c r="AF26" s="36">
        <f t="shared" ref="AF26:AF34" si="15">R26/(J26+K26)</f>
        <v>17.167304000000001</v>
      </c>
      <c r="AH26" s="37"/>
      <c r="AI26" s="37"/>
      <c r="AJ26" s="37"/>
      <c r="AK26" s="37"/>
    </row>
    <row r="27" spans="1:37" ht="57.75" customHeight="1">
      <c r="A27" s="64" t="s">
        <v>130</v>
      </c>
      <c r="B27" s="63" t="s">
        <v>114</v>
      </c>
      <c r="C27" s="38" t="s">
        <v>131</v>
      </c>
      <c r="D27" s="43" t="s">
        <v>132</v>
      </c>
      <c r="E27" s="29" t="s">
        <v>133</v>
      </c>
      <c r="F27" s="45">
        <v>46270</v>
      </c>
      <c r="G27" s="46" t="str">
        <f t="shared" ca="1" si="4"/>
        <v>NO PRAZO</v>
      </c>
      <c r="H27" s="29"/>
      <c r="I27" s="29" t="s">
        <v>134</v>
      </c>
      <c r="J27" s="4">
        <v>80000</v>
      </c>
      <c r="K27" s="4"/>
      <c r="L27" s="4">
        <f>J27*12</f>
        <v>960000</v>
      </c>
      <c r="M27" s="56" t="s">
        <v>135</v>
      </c>
      <c r="N27" s="4">
        <v>336351.44</v>
      </c>
      <c r="O27" s="185">
        <v>1000</v>
      </c>
      <c r="P27" s="68"/>
      <c r="Q27" s="39">
        <v>143648.56</v>
      </c>
      <c r="R27" s="3">
        <f t="shared" si="2"/>
        <v>143648.56</v>
      </c>
      <c r="S27" s="34"/>
      <c r="T27" s="182">
        <f>87500-56148.56</f>
        <v>31351.440000000002</v>
      </c>
      <c r="U27" s="182">
        <v>87500</v>
      </c>
      <c r="V27" s="182">
        <v>87500</v>
      </c>
      <c r="W27" s="182">
        <v>87500</v>
      </c>
      <c r="X27" s="182">
        <v>87500</v>
      </c>
      <c r="Y27" s="182">
        <v>87500</v>
      </c>
      <c r="Z27" s="182">
        <v>87500</v>
      </c>
      <c r="AA27" s="48">
        <v>87500</v>
      </c>
      <c r="AB27" s="4">
        <v>87500</v>
      </c>
      <c r="AC27" s="4">
        <v>87500</v>
      </c>
      <c r="AD27" s="4">
        <v>87500</v>
      </c>
      <c r="AE27" s="35">
        <f t="shared" ref="AE27:AE50" si="16">SUM(S27:AD27)</f>
        <v>906351.44</v>
      </c>
      <c r="AF27" s="36">
        <f t="shared" si="15"/>
        <v>1.795607</v>
      </c>
      <c r="AH27" s="37"/>
      <c r="AI27" s="37"/>
      <c r="AJ27" s="37"/>
      <c r="AK27" s="37"/>
    </row>
    <row r="28" spans="1:37" ht="27" customHeight="1">
      <c r="A28" s="72" t="s">
        <v>136</v>
      </c>
      <c r="B28" s="63" t="s">
        <v>114</v>
      </c>
      <c r="C28" s="38" t="s">
        <v>137</v>
      </c>
      <c r="D28" s="38" t="s">
        <v>138</v>
      </c>
      <c r="E28" s="29" t="s">
        <v>139</v>
      </c>
      <c r="F28" s="51">
        <v>46710</v>
      </c>
      <c r="G28" s="46" t="str">
        <f t="shared" ca="1" si="4"/>
        <v>NO PRAZO</v>
      </c>
      <c r="H28" s="29"/>
      <c r="I28" s="38" t="s">
        <v>140</v>
      </c>
      <c r="J28" s="4">
        <f>L28/12</f>
        <v>65625.02</v>
      </c>
      <c r="K28" s="4"/>
      <c r="L28" s="4">
        <f>1575000.48/2</f>
        <v>787500.24</v>
      </c>
      <c r="M28" s="56" t="s">
        <v>141</v>
      </c>
      <c r="N28" s="4">
        <v>351439.72</v>
      </c>
      <c r="O28" s="185">
        <v>1000</v>
      </c>
      <c r="P28" s="68"/>
      <c r="Q28" s="39">
        <v>42310.400000000001</v>
      </c>
      <c r="R28" s="3">
        <f t="shared" si="2"/>
        <v>42310.400000000001</v>
      </c>
      <c r="S28" s="34"/>
      <c r="T28" s="34"/>
      <c r="U28" s="4">
        <v>22000</v>
      </c>
      <c r="V28" s="4">
        <v>22000</v>
      </c>
      <c r="W28" s="4">
        <v>22000</v>
      </c>
      <c r="X28" s="4">
        <v>22000</v>
      </c>
      <c r="Y28" s="4">
        <v>22000</v>
      </c>
      <c r="Z28" s="4">
        <v>22000</v>
      </c>
      <c r="AA28" s="4">
        <v>22000</v>
      </c>
      <c r="AB28" s="4">
        <v>22000</v>
      </c>
      <c r="AC28" s="4">
        <v>22000</v>
      </c>
      <c r="AD28" s="4">
        <v>22000</v>
      </c>
      <c r="AE28" s="35">
        <f t="shared" si="16"/>
        <v>220000</v>
      </c>
      <c r="AF28" s="36">
        <f t="shared" si="15"/>
        <v>0.64472970827285081</v>
      </c>
      <c r="AH28" s="37"/>
      <c r="AI28" s="37"/>
      <c r="AJ28" s="37"/>
      <c r="AK28" s="37"/>
    </row>
    <row r="29" spans="1:37" ht="48.75" customHeight="1">
      <c r="A29" s="64" t="s">
        <v>142</v>
      </c>
      <c r="B29" s="63" t="s">
        <v>114</v>
      </c>
      <c r="C29" s="38" t="s">
        <v>143</v>
      </c>
      <c r="D29" s="38" t="s">
        <v>144</v>
      </c>
      <c r="E29" s="59" t="s">
        <v>145</v>
      </c>
      <c r="F29" s="51">
        <v>46231</v>
      </c>
      <c r="G29" s="46" t="str">
        <f t="shared" ca="1" si="4"/>
        <v>NO PRAZO</v>
      </c>
      <c r="H29" s="29"/>
      <c r="I29" s="59" t="s">
        <v>146</v>
      </c>
      <c r="J29" s="4">
        <v>298000</v>
      </c>
      <c r="K29" s="4"/>
      <c r="L29" s="4">
        <v>3119907.74</v>
      </c>
      <c r="M29" s="56" t="s">
        <v>147</v>
      </c>
      <c r="N29" s="4">
        <v>1766298.32</v>
      </c>
      <c r="O29" s="185">
        <v>1000</v>
      </c>
      <c r="P29" s="68">
        <v>424197.77</v>
      </c>
      <c r="Q29" s="39">
        <v>21701.68</v>
      </c>
      <c r="R29" s="3">
        <f t="shared" si="2"/>
        <v>445899.45</v>
      </c>
      <c r="S29" s="34"/>
      <c r="T29" s="4">
        <v>400000</v>
      </c>
      <c r="U29" s="4">
        <v>400000</v>
      </c>
      <c r="V29" s="4">
        <v>400000</v>
      </c>
      <c r="W29" s="4">
        <v>250000</v>
      </c>
      <c r="X29" s="4">
        <v>250000</v>
      </c>
      <c r="Y29" s="48">
        <v>250000</v>
      </c>
      <c r="Z29" s="4">
        <v>250000</v>
      </c>
      <c r="AA29" s="4">
        <v>250000</v>
      </c>
      <c r="AB29" s="4">
        <v>400000</v>
      </c>
      <c r="AC29" s="4">
        <v>400000</v>
      </c>
      <c r="AD29" s="4">
        <v>400000</v>
      </c>
      <c r="AE29" s="35">
        <f t="shared" si="16"/>
        <v>3650000</v>
      </c>
      <c r="AF29" s="36">
        <f t="shared" si="15"/>
        <v>1.496306879194631</v>
      </c>
      <c r="AH29" s="37"/>
      <c r="AI29" s="37"/>
      <c r="AJ29" s="37"/>
      <c r="AK29" s="37"/>
    </row>
    <row r="30" spans="1:37" ht="36" customHeight="1">
      <c r="A30" s="64" t="s">
        <v>148</v>
      </c>
      <c r="B30" s="63" t="s">
        <v>114</v>
      </c>
      <c r="C30" s="59" t="s">
        <v>149</v>
      </c>
      <c r="D30" s="59" t="s">
        <v>150</v>
      </c>
      <c r="E30" s="59" t="s">
        <v>151</v>
      </c>
      <c r="F30" s="51">
        <v>46062</v>
      </c>
      <c r="G30" s="46" t="str">
        <f t="shared" ca="1" si="4"/>
        <v>EM BREVE</v>
      </c>
      <c r="H30" s="29" t="s">
        <v>152</v>
      </c>
      <c r="I30" s="74" t="s">
        <v>153</v>
      </c>
      <c r="J30" s="4">
        <v>90000</v>
      </c>
      <c r="K30" s="4"/>
      <c r="L30" s="4">
        <f>J30*12</f>
        <v>1080000</v>
      </c>
      <c r="M30" s="56"/>
      <c r="N30" s="4"/>
      <c r="O30" s="185">
        <v>1000</v>
      </c>
      <c r="P30" s="68"/>
      <c r="Q30" s="2">
        <v>27998</v>
      </c>
      <c r="R30" s="3">
        <f t="shared" si="2"/>
        <v>27998</v>
      </c>
      <c r="S30" s="182">
        <f>153000-27998</f>
        <v>125002</v>
      </c>
      <c r="T30" s="48">
        <v>153000</v>
      </c>
      <c r="U30" s="4">
        <v>153000</v>
      </c>
      <c r="V30" s="4">
        <v>153000</v>
      </c>
      <c r="W30" s="4">
        <v>153000</v>
      </c>
      <c r="X30" s="4">
        <v>153000</v>
      </c>
      <c r="Y30" s="4">
        <v>153000</v>
      </c>
      <c r="Z30" s="4">
        <v>153000</v>
      </c>
      <c r="AA30" s="4">
        <v>153000</v>
      </c>
      <c r="AB30" s="4">
        <v>153000</v>
      </c>
      <c r="AC30" s="4">
        <v>153000</v>
      </c>
      <c r="AD30" s="4">
        <v>153000</v>
      </c>
      <c r="AE30" s="35">
        <f t="shared" si="16"/>
        <v>1808002</v>
      </c>
      <c r="AF30" s="36">
        <f t="shared" si="15"/>
        <v>0.31108888888888891</v>
      </c>
      <c r="AH30" s="37"/>
      <c r="AI30" s="37"/>
      <c r="AJ30" s="37"/>
      <c r="AK30" s="37"/>
    </row>
    <row r="31" spans="1:37" ht="54.75" customHeight="1">
      <c r="A31" s="64" t="s">
        <v>154</v>
      </c>
      <c r="B31" s="63" t="s">
        <v>114</v>
      </c>
      <c r="C31" s="38" t="s">
        <v>155</v>
      </c>
      <c r="D31" s="75">
        <v>12859652000165</v>
      </c>
      <c r="E31" s="59" t="s">
        <v>156</v>
      </c>
      <c r="F31" s="51">
        <v>46123</v>
      </c>
      <c r="G31" s="46" t="str">
        <f t="shared" ca="1" si="4"/>
        <v>NO PRAZO</v>
      </c>
      <c r="H31" s="46"/>
      <c r="I31" s="74" t="s">
        <v>157</v>
      </c>
      <c r="J31" s="4"/>
      <c r="K31" s="4">
        <v>95000</v>
      </c>
      <c r="L31" s="4">
        <v>1173817.01</v>
      </c>
      <c r="M31" s="56" t="s">
        <v>147</v>
      </c>
      <c r="N31" s="4">
        <v>234826.16</v>
      </c>
      <c r="O31" s="185">
        <v>1000</v>
      </c>
      <c r="P31" s="68">
        <v>999.9</v>
      </c>
      <c r="Q31" s="39">
        <v>50173.84</v>
      </c>
      <c r="R31" s="3">
        <f t="shared" si="2"/>
        <v>51173.74</v>
      </c>
      <c r="S31" s="34"/>
      <c r="T31" s="4">
        <v>50000</v>
      </c>
      <c r="U31" s="4">
        <v>50000</v>
      </c>
      <c r="V31" s="48">
        <v>50000</v>
      </c>
      <c r="W31" s="4">
        <v>50000</v>
      </c>
      <c r="X31" s="4">
        <v>50000</v>
      </c>
      <c r="Y31" s="4">
        <v>50000</v>
      </c>
      <c r="Z31" s="4">
        <v>50000</v>
      </c>
      <c r="AA31" s="4">
        <v>50000</v>
      </c>
      <c r="AB31" s="4">
        <v>50000</v>
      </c>
      <c r="AC31" s="4">
        <v>50000</v>
      </c>
      <c r="AD31" s="4">
        <v>50000</v>
      </c>
      <c r="AE31" s="35">
        <f t="shared" si="16"/>
        <v>550000</v>
      </c>
      <c r="AF31" s="36">
        <f t="shared" si="15"/>
        <v>0.53867094736842103</v>
      </c>
      <c r="AH31" s="37"/>
      <c r="AI31" s="37"/>
      <c r="AJ31" s="37"/>
      <c r="AK31" s="37"/>
    </row>
    <row r="32" spans="1:37">
      <c r="A32" s="64" t="s">
        <v>158</v>
      </c>
      <c r="B32" s="67" t="s">
        <v>114</v>
      </c>
      <c r="C32" s="71" t="s">
        <v>159</v>
      </c>
      <c r="D32" s="57" t="s">
        <v>160</v>
      </c>
      <c r="E32" s="59" t="s">
        <v>161</v>
      </c>
      <c r="F32" s="51">
        <v>46094</v>
      </c>
      <c r="G32" s="46" t="str">
        <f t="shared" ca="1" si="4"/>
        <v>EM BREVE</v>
      </c>
      <c r="H32" s="76"/>
      <c r="I32" s="51" t="s">
        <v>162</v>
      </c>
      <c r="J32" s="4">
        <v>6000</v>
      </c>
      <c r="K32" s="4"/>
      <c r="L32" s="4">
        <f>J32*12</f>
        <v>72000</v>
      </c>
      <c r="M32" s="56"/>
      <c r="N32" s="4"/>
      <c r="O32" s="185">
        <v>1000</v>
      </c>
      <c r="P32" s="62"/>
      <c r="Q32" s="2">
        <v>4960</v>
      </c>
      <c r="R32" s="3">
        <f t="shared" si="2"/>
        <v>4960</v>
      </c>
      <c r="S32" s="182">
        <f>10000-4960</f>
        <v>5040</v>
      </c>
      <c r="T32" s="182">
        <v>10000</v>
      </c>
      <c r="U32" s="48">
        <v>10000</v>
      </c>
      <c r="V32" s="4">
        <v>10000</v>
      </c>
      <c r="W32" s="4">
        <v>10000</v>
      </c>
      <c r="X32" s="4">
        <v>10000</v>
      </c>
      <c r="Y32" s="4">
        <v>10000</v>
      </c>
      <c r="Z32" s="4">
        <v>10000</v>
      </c>
      <c r="AA32" s="4">
        <v>10000</v>
      </c>
      <c r="AB32" s="4">
        <v>10000</v>
      </c>
      <c r="AC32" s="4">
        <v>10000</v>
      </c>
      <c r="AD32" s="4">
        <v>10000</v>
      </c>
      <c r="AE32" s="35">
        <f t="shared" si="16"/>
        <v>115040</v>
      </c>
      <c r="AF32" s="36">
        <f t="shared" si="15"/>
        <v>0.82666666666666666</v>
      </c>
      <c r="AH32" s="37"/>
      <c r="AI32" s="37"/>
      <c r="AJ32" s="37"/>
      <c r="AK32" s="37"/>
    </row>
    <row r="33" spans="1:37" ht="30">
      <c r="A33" s="64" t="s">
        <v>163</v>
      </c>
      <c r="B33" s="67" t="s">
        <v>114</v>
      </c>
      <c r="C33" s="57" t="s">
        <v>164</v>
      </c>
      <c r="D33" s="57" t="s">
        <v>165</v>
      </c>
      <c r="E33" s="50" t="s">
        <v>166</v>
      </c>
      <c r="F33" s="74">
        <v>46224</v>
      </c>
      <c r="G33" s="46" t="str">
        <f t="shared" ca="1" si="4"/>
        <v>NO PRAZO</v>
      </c>
      <c r="H33" s="29"/>
      <c r="I33" s="50" t="s">
        <v>167</v>
      </c>
      <c r="J33" s="32">
        <v>500000</v>
      </c>
      <c r="K33" s="32"/>
      <c r="L33" s="32">
        <f>J33*12</f>
        <v>6000000</v>
      </c>
      <c r="M33" s="185"/>
      <c r="N33" s="32"/>
      <c r="O33" s="185">
        <v>1000</v>
      </c>
      <c r="P33" s="39"/>
      <c r="Q33" s="39">
        <v>543167</v>
      </c>
      <c r="R33" s="3">
        <f t="shared" si="2"/>
        <v>543167</v>
      </c>
      <c r="S33" s="34"/>
      <c r="T33" s="34"/>
      <c r="U33" s="4">
        <v>250000</v>
      </c>
      <c r="V33" s="4">
        <v>250000</v>
      </c>
      <c r="W33" s="4">
        <v>250000</v>
      </c>
      <c r="X33" s="4">
        <v>250000</v>
      </c>
      <c r="Y33" s="48">
        <v>250000</v>
      </c>
      <c r="Z33" s="4">
        <v>450000</v>
      </c>
      <c r="AA33" s="4">
        <v>450000</v>
      </c>
      <c r="AB33" s="4">
        <v>450000</v>
      </c>
      <c r="AC33" s="4">
        <v>450000</v>
      </c>
      <c r="AD33" s="4">
        <v>450000</v>
      </c>
      <c r="AE33" s="35">
        <f t="shared" si="16"/>
        <v>3500000</v>
      </c>
      <c r="AF33" s="36">
        <f t="shared" si="15"/>
        <v>1.0863339999999999</v>
      </c>
      <c r="AH33" s="37"/>
      <c r="AI33" s="37"/>
      <c r="AJ33" s="37"/>
      <c r="AK33" s="37"/>
    </row>
    <row r="34" spans="1:37" ht="41.25" customHeight="1">
      <c r="A34" s="64" t="s">
        <v>168</v>
      </c>
      <c r="B34" s="67" t="s">
        <v>114</v>
      </c>
      <c r="C34" s="57" t="s">
        <v>169</v>
      </c>
      <c r="D34" s="57" t="s">
        <v>170</v>
      </c>
      <c r="E34" s="50" t="s">
        <v>171</v>
      </c>
      <c r="F34" s="74">
        <v>46098</v>
      </c>
      <c r="G34" s="46" t="str">
        <f t="shared" ca="1" si="4"/>
        <v>EM BREVE</v>
      </c>
      <c r="H34" s="29" t="s">
        <v>172</v>
      </c>
      <c r="I34" s="50" t="s">
        <v>173</v>
      </c>
      <c r="J34" s="32"/>
      <c r="K34" s="32"/>
      <c r="L34" s="32">
        <v>11456.99</v>
      </c>
      <c r="M34" s="185"/>
      <c r="N34" s="32"/>
      <c r="O34" s="185">
        <v>1000</v>
      </c>
      <c r="P34" s="4"/>
      <c r="Q34" s="2">
        <v>0</v>
      </c>
      <c r="R34" s="3">
        <f t="shared" si="2"/>
        <v>0</v>
      </c>
      <c r="S34" s="4">
        <f>J34</f>
        <v>0</v>
      </c>
      <c r="T34" s="4">
        <f>J34</f>
        <v>0</v>
      </c>
      <c r="U34" s="48">
        <f>J34</f>
        <v>0</v>
      </c>
      <c r="V34" s="4">
        <f>J34</f>
        <v>0</v>
      </c>
      <c r="W34" s="4">
        <f>J34</f>
        <v>0</v>
      </c>
      <c r="X34" s="4">
        <f>J34</f>
        <v>0</v>
      </c>
      <c r="Y34" s="4">
        <f>J34</f>
        <v>0</v>
      </c>
      <c r="Z34" s="4">
        <f>J34</f>
        <v>0</v>
      </c>
      <c r="AA34" s="4">
        <f>J34</f>
        <v>0</v>
      </c>
      <c r="AB34" s="4">
        <f>J34</f>
        <v>0</v>
      </c>
      <c r="AC34" s="4">
        <f>J34</f>
        <v>0</v>
      </c>
      <c r="AD34" s="4">
        <f>J34</f>
        <v>0</v>
      </c>
      <c r="AE34" s="35">
        <f t="shared" si="16"/>
        <v>0</v>
      </c>
      <c r="AF34" s="36" t="e">
        <f t="shared" si="15"/>
        <v>#DIV/0!</v>
      </c>
      <c r="AH34" s="37"/>
      <c r="AI34" s="37"/>
      <c r="AJ34" s="37"/>
      <c r="AK34" s="37"/>
    </row>
    <row r="35" spans="1:37" ht="41.25" customHeight="1">
      <c r="A35" s="64" t="s">
        <v>174</v>
      </c>
      <c r="B35" s="67" t="s">
        <v>114</v>
      </c>
      <c r="C35" s="57" t="s">
        <v>175</v>
      </c>
      <c r="D35" s="188" t="s">
        <v>176</v>
      </c>
      <c r="E35" s="50" t="s">
        <v>177</v>
      </c>
      <c r="F35" s="74"/>
      <c r="G35" s="46"/>
      <c r="H35" s="29"/>
      <c r="I35" s="50"/>
      <c r="J35" s="32">
        <v>12551.75</v>
      </c>
      <c r="K35" s="32"/>
      <c r="L35" s="32">
        <f>J35*12</f>
        <v>150621</v>
      </c>
      <c r="M35" s="185"/>
      <c r="N35" s="32"/>
      <c r="O35" s="185">
        <v>1000</v>
      </c>
      <c r="P35" s="4"/>
      <c r="Q35" s="2"/>
      <c r="R35" s="3"/>
      <c r="S35" s="4">
        <v>12551.75</v>
      </c>
      <c r="T35" s="4">
        <v>12551.75</v>
      </c>
      <c r="U35" s="4">
        <v>12551.75</v>
      </c>
      <c r="V35" s="4">
        <v>12551.75</v>
      </c>
      <c r="W35" s="4">
        <v>12551.75</v>
      </c>
      <c r="X35" s="4">
        <v>12551.75</v>
      </c>
      <c r="Y35" s="4">
        <v>12551.75</v>
      </c>
      <c r="Z35" s="4">
        <v>12551.75</v>
      </c>
      <c r="AA35" s="4">
        <v>12551.75</v>
      </c>
      <c r="AB35" s="4">
        <v>12551.75</v>
      </c>
      <c r="AC35" s="4">
        <v>12551.75</v>
      </c>
      <c r="AD35" s="4">
        <v>12551.75</v>
      </c>
      <c r="AE35" s="35">
        <f t="shared" si="16"/>
        <v>150621</v>
      </c>
      <c r="AF35" s="36"/>
      <c r="AH35" s="37"/>
      <c r="AI35" s="37"/>
      <c r="AJ35" s="37"/>
      <c r="AK35" s="37"/>
    </row>
    <row r="36" spans="1:37" ht="85.5" customHeight="1">
      <c r="A36" s="63" t="s">
        <v>178</v>
      </c>
      <c r="B36" s="67"/>
      <c r="C36" s="54" t="s">
        <v>179</v>
      </c>
      <c r="D36" s="57"/>
      <c r="E36" s="50" t="s">
        <v>180</v>
      </c>
      <c r="F36" s="74"/>
      <c r="G36" s="46"/>
      <c r="H36" s="46"/>
      <c r="I36" s="50"/>
      <c r="J36" s="32"/>
      <c r="K36" s="32"/>
      <c r="L36" s="32"/>
      <c r="M36" s="185"/>
      <c r="N36" s="32"/>
      <c r="O36" s="185">
        <v>1000</v>
      </c>
      <c r="P36" s="2"/>
      <c r="Q36" s="2"/>
      <c r="R36" s="3"/>
      <c r="S36" s="4">
        <f>J36</f>
        <v>0</v>
      </c>
      <c r="T36" s="4">
        <f>J36</f>
        <v>0</v>
      </c>
      <c r="U36" s="4">
        <f>J36</f>
        <v>0</v>
      </c>
      <c r="V36" s="4">
        <f>J36</f>
        <v>0</v>
      </c>
      <c r="W36" s="4">
        <f>J36</f>
        <v>0</v>
      </c>
      <c r="X36" s="4">
        <f>J36</f>
        <v>0</v>
      </c>
      <c r="Y36" s="4">
        <f>J36</f>
        <v>0</v>
      </c>
      <c r="Z36" s="4">
        <f>J36</f>
        <v>0</v>
      </c>
      <c r="AA36" s="4">
        <f>J36</f>
        <v>0</v>
      </c>
      <c r="AB36" s="4">
        <f>J36</f>
        <v>0</v>
      </c>
      <c r="AC36" s="4">
        <f>J36</f>
        <v>0</v>
      </c>
      <c r="AD36" s="4">
        <f>J36</f>
        <v>0</v>
      </c>
      <c r="AE36" s="35">
        <f t="shared" si="16"/>
        <v>0</v>
      </c>
      <c r="AF36" s="36" t="e">
        <f t="shared" ref="AF36:AF67" si="17">R36/(J36+K36)</f>
        <v>#DIV/0!</v>
      </c>
      <c r="AH36" s="37"/>
      <c r="AI36" s="37"/>
      <c r="AJ36" s="37"/>
      <c r="AK36" s="37"/>
    </row>
    <row r="37" spans="1:37" ht="54.75" customHeight="1">
      <c r="A37" s="63" t="s">
        <v>181</v>
      </c>
      <c r="B37" s="63" t="s">
        <v>108</v>
      </c>
      <c r="C37" s="38" t="s">
        <v>182</v>
      </c>
      <c r="D37" s="38" t="s">
        <v>183</v>
      </c>
      <c r="E37" s="29" t="s">
        <v>184</v>
      </c>
      <c r="F37" s="77">
        <v>46127</v>
      </c>
      <c r="G37" s="46" t="str">
        <f t="shared" ref="G37:G66" ca="1" si="18">IF((F37-TODAY())&lt;0,"EXPIRADO", IF((F37-TODAY())&lt;=60,"EM BREVE","NO PRAZO"))</f>
        <v>NO PRAZO</v>
      </c>
      <c r="H37" s="29"/>
      <c r="I37" s="73" t="s">
        <v>185</v>
      </c>
      <c r="J37" s="4"/>
      <c r="K37" s="4">
        <f>12640.77</f>
        <v>12640.77</v>
      </c>
      <c r="L37" s="4">
        <f>K37*12</f>
        <v>151689.24</v>
      </c>
      <c r="M37" s="56"/>
      <c r="N37" s="4"/>
      <c r="O37" s="185">
        <v>1000</v>
      </c>
      <c r="P37" s="78">
        <v>37922.28</v>
      </c>
      <c r="Q37" s="2">
        <v>0</v>
      </c>
      <c r="R37" s="3">
        <f t="shared" ref="R37:R42" si="19">SUM(P37:Q37)</f>
        <v>37922.28</v>
      </c>
      <c r="S37" s="34"/>
      <c r="T37" s="34"/>
      <c r="U37" s="34"/>
      <c r="V37" s="48">
        <f>K37</f>
        <v>12640.77</v>
      </c>
      <c r="W37" s="4">
        <f>K37</f>
        <v>12640.77</v>
      </c>
      <c r="X37" s="4">
        <f t="shared" ref="X37:X47" si="20">K37</f>
        <v>12640.77</v>
      </c>
      <c r="Y37" s="4">
        <f t="shared" ref="Y37:Y47" si="21">K37</f>
        <v>12640.77</v>
      </c>
      <c r="Z37" s="4">
        <f t="shared" ref="Z37:Z47" si="22">K37</f>
        <v>12640.77</v>
      </c>
      <c r="AA37" s="4">
        <f t="shared" ref="AA37:AA47" si="23">K37</f>
        <v>12640.77</v>
      </c>
      <c r="AB37" s="4">
        <f t="shared" ref="AB37:AB47" si="24">K37</f>
        <v>12640.77</v>
      </c>
      <c r="AC37" s="4">
        <f t="shared" ref="AC37:AC47" si="25">K37</f>
        <v>12640.77</v>
      </c>
      <c r="AD37" s="4">
        <f t="shared" ref="AD37:AD47" si="26">K37</f>
        <v>12640.77</v>
      </c>
      <c r="AE37" s="35">
        <f t="shared" si="16"/>
        <v>113766.93000000002</v>
      </c>
      <c r="AF37" s="36">
        <f t="shared" si="17"/>
        <v>2.9999976267268527</v>
      </c>
      <c r="AH37" s="37"/>
      <c r="AI37" s="37"/>
      <c r="AJ37" s="37"/>
      <c r="AK37" s="37"/>
    </row>
    <row r="38" spans="1:37" ht="54.75" customHeight="1">
      <c r="A38" s="44" t="s">
        <v>186</v>
      </c>
      <c r="B38" s="67" t="s">
        <v>108</v>
      </c>
      <c r="C38" s="71" t="s">
        <v>187</v>
      </c>
      <c r="D38" s="57" t="s">
        <v>188</v>
      </c>
      <c r="E38" s="59" t="s">
        <v>189</v>
      </c>
      <c r="F38" s="51">
        <v>46219</v>
      </c>
      <c r="G38" s="46" t="str">
        <f t="shared" ca="1" si="18"/>
        <v>NO PRAZO</v>
      </c>
      <c r="H38" s="29"/>
      <c r="I38" s="59" t="s">
        <v>190</v>
      </c>
      <c r="J38" s="4"/>
      <c r="K38" s="32">
        <f>L38/12</f>
        <v>24500.929999999997</v>
      </c>
      <c r="L38" s="32">
        <v>294011.15999999997</v>
      </c>
      <c r="M38" s="185" t="s">
        <v>191</v>
      </c>
      <c r="N38" s="32">
        <v>126662.85</v>
      </c>
      <c r="O38" s="185">
        <v>1000</v>
      </c>
      <c r="P38" s="78">
        <f>114673.31+1205.15</f>
        <v>115878.45999999999</v>
      </c>
      <c r="Q38" s="2">
        <v>21342.73</v>
      </c>
      <c r="R38" s="3">
        <f t="shared" si="19"/>
        <v>137221.19</v>
      </c>
      <c r="S38" s="34"/>
      <c r="T38" s="34"/>
      <c r="U38" s="34"/>
      <c r="V38" s="34"/>
      <c r="W38" s="34"/>
      <c r="X38" s="4">
        <f t="shared" si="20"/>
        <v>24500.929999999997</v>
      </c>
      <c r="Y38" s="48">
        <f t="shared" si="21"/>
        <v>24500.929999999997</v>
      </c>
      <c r="Z38" s="4">
        <f t="shared" si="22"/>
        <v>24500.929999999997</v>
      </c>
      <c r="AA38" s="4">
        <f t="shared" si="23"/>
        <v>24500.929999999997</v>
      </c>
      <c r="AB38" s="4">
        <f t="shared" si="24"/>
        <v>24500.929999999997</v>
      </c>
      <c r="AC38" s="4">
        <f t="shared" si="25"/>
        <v>24500.929999999997</v>
      </c>
      <c r="AD38" s="4">
        <f t="shared" si="26"/>
        <v>24500.929999999997</v>
      </c>
      <c r="AE38" s="35">
        <f t="shared" si="16"/>
        <v>171506.50999999998</v>
      </c>
      <c r="AF38" s="36">
        <f t="shared" si="17"/>
        <v>5.6006523017697702</v>
      </c>
      <c r="AH38" s="37"/>
      <c r="AI38" s="37"/>
      <c r="AJ38" s="37"/>
      <c r="AK38" s="37"/>
    </row>
    <row r="39" spans="1:37" ht="30" customHeight="1">
      <c r="A39" s="53" t="s">
        <v>192</v>
      </c>
      <c r="B39" s="67" t="s">
        <v>108</v>
      </c>
      <c r="C39" s="79" t="s">
        <v>193</v>
      </c>
      <c r="D39" s="38" t="s">
        <v>194</v>
      </c>
      <c r="E39" s="59" t="s">
        <v>195</v>
      </c>
      <c r="F39" s="51">
        <v>46131</v>
      </c>
      <c r="G39" s="46" t="str">
        <f t="shared" ca="1" si="18"/>
        <v>NO PRAZO</v>
      </c>
      <c r="H39" s="29"/>
      <c r="I39" s="59" t="s">
        <v>196</v>
      </c>
      <c r="J39" s="4"/>
      <c r="K39" s="4">
        <f>L39/12</f>
        <v>25772.2</v>
      </c>
      <c r="L39" s="4">
        <v>309266.40000000002</v>
      </c>
      <c r="M39" s="56"/>
      <c r="N39" s="4"/>
      <c r="O39" s="185">
        <v>1000</v>
      </c>
      <c r="P39" s="78">
        <v>51544.4</v>
      </c>
      <c r="Q39" s="2">
        <v>26321.599999999999</v>
      </c>
      <c r="R39" s="3">
        <f t="shared" si="19"/>
        <v>77866</v>
      </c>
      <c r="S39" s="34"/>
      <c r="T39" s="34"/>
      <c r="U39" s="34"/>
      <c r="V39" s="48">
        <f>K39</f>
        <v>25772.2</v>
      </c>
      <c r="W39" s="4">
        <f t="shared" ref="W39:W47" si="27">K39</f>
        <v>25772.2</v>
      </c>
      <c r="X39" s="4">
        <f t="shared" si="20"/>
        <v>25772.2</v>
      </c>
      <c r="Y39" s="4">
        <f t="shared" si="21"/>
        <v>25772.2</v>
      </c>
      <c r="Z39" s="4">
        <f t="shared" si="22"/>
        <v>25772.2</v>
      </c>
      <c r="AA39" s="4">
        <f t="shared" si="23"/>
        <v>25772.2</v>
      </c>
      <c r="AB39" s="4">
        <f t="shared" si="24"/>
        <v>25772.2</v>
      </c>
      <c r="AC39" s="4">
        <f t="shared" si="25"/>
        <v>25772.2</v>
      </c>
      <c r="AD39" s="4">
        <f t="shared" si="26"/>
        <v>25772.2</v>
      </c>
      <c r="AE39" s="35">
        <f t="shared" si="16"/>
        <v>231949.80000000005</v>
      </c>
      <c r="AF39" s="36">
        <f t="shared" si="17"/>
        <v>3.0213175437098889</v>
      </c>
      <c r="AH39" s="37"/>
      <c r="AI39" s="37"/>
      <c r="AJ39" s="37"/>
      <c r="AK39" s="37"/>
    </row>
    <row r="40" spans="1:37" ht="76.5" customHeight="1">
      <c r="A40" s="63" t="s">
        <v>197</v>
      </c>
      <c r="B40" s="67" t="s">
        <v>108</v>
      </c>
      <c r="C40" s="79" t="s">
        <v>198</v>
      </c>
      <c r="D40" s="38" t="s">
        <v>199</v>
      </c>
      <c r="E40" s="59" t="s">
        <v>200</v>
      </c>
      <c r="F40" s="51">
        <v>46660</v>
      </c>
      <c r="G40" s="46" t="str">
        <f t="shared" ca="1" si="18"/>
        <v>NO PRAZO</v>
      </c>
      <c r="H40" s="29"/>
      <c r="I40" s="59" t="s">
        <v>201</v>
      </c>
      <c r="J40" s="4"/>
      <c r="K40" s="4">
        <v>155277.21</v>
      </c>
      <c r="L40" s="4">
        <f t="shared" ref="L40:L47" si="28">K40*12</f>
        <v>1863326.52</v>
      </c>
      <c r="M40" s="56" t="s">
        <v>202</v>
      </c>
      <c r="N40" s="4">
        <v>1552772.1</v>
      </c>
      <c r="O40" s="185">
        <v>1000</v>
      </c>
      <c r="P40" s="78"/>
      <c r="Q40" s="2">
        <v>310895.01</v>
      </c>
      <c r="R40" s="3">
        <f t="shared" si="19"/>
        <v>310895.01</v>
      </c>
      <c r="S40" s="34"/>
      <c r="T40" s="34"/>
      <c r="U40" s="4">
        <f>K40</f>
        <v>155277.21</v>
      </c>
      <c r="V40" s="4">
        <f>K40</f>
        <v>155277.21</v>
      </c>
      <c r="W40" s="4">
        <f t="shared" si="27"/>
        <v>155277.21</v>
      </c>
      <c r="X40" s="4">
        <f t="shared" si="20"/>
        <v>155277.21</v>
      </c>
      <c r="Y40" s="4">
        <f t="shared" si="21"/>
        <v>155277.21</v>
      </c>
      <c r="Z40" s="4">
        <f t="shared" si="22"/>
        <v>155277.21</v>
      </c>
      <c r="AA40" s="4">
        <f t="shared" si="23"/>
        <v>155277.21</v>
      </c>
      <c r="AB40" s="4">
        <f t="shared" si="24"/>
        <v>155277.21</v>
      </c>
      <c r="AC40" s="4">
        <f t="shared" si="25"/>
        <v>155277.21</v>
      </c>
      <c r="AD40" s="4">
        <f t="shared" si="26"/>
        <v>155277.21</v>
      </c>
      <c r="AE40" s="35">
        <f t="shared" si="16"/>
        <v>1552772.0999999999</v>
      </c>
      <c r="AF40" s="36">
        <f t="shared" si="17"/>
        <v>2.0021934319917265</v>
      </c>
      <c r="AH40" s="37"/>
      <c r="AI40" s="37"/>
      <c r="AJ40" s="37"/>
      <c r="AK40" s="37"/>
    </row>
    <row r="41" spans="1:37" ht="38.25" customHeight="1">
      <c r="A41" s="63" t="s">
        <v>203</v>
      </c>
      <c r="B41" s="67" t="s">
        <v>108</v>
      </c>
      <c r="C41" s="79" t="s">
        <v>204</v>
      </c>
      <c r="D41" s="38" t="s">
        <v>199</v>
      </c>
      <c r="E41" s="59" t="s">
        <v>205</v>
      </c>
      <c r="F41" s="51">
        <v>46660</v>
      </c>
      <c r="G41" s="46" t="str">
        <f t="shared" ca="1" si="18"/>
        <v>NO PRAZO</v>
      </c>
      <c r="H41" s="29"/>
      <c r="I41" s="59" t="s">
        <v>206</v>
      </c>
      <c r="J41" s="4"/>
      <c r="K41" s="4">
        <v>258893.8</v>
      </c>
      <c r="L41" s="4">
        <f t="shared" si="28"/>
        <v>3106725.5999999996</v>
      </c>
      <c r="M41" s="56" t="s">
        <v>207</v>
      </c>
      <c r="N41" s="4">
        <v>2588938</v>
      </c>
      <c r="O41" s="185">
        <v>1000</v>
      </c>
      <c r="P41" s="78"/>
      <c r="Q41" s="2">
        <v>362960</v>
      </c>
      <c r="R41" s="3">
        <f t="shared" si="19"/>
        <v>362960</v>
      </c>
      <c r="S41" s="34"/>
      <c r="T41" s="34"/>
      <c r="U41" s="4">
        <f>K41</f>
        <v>258893.8</v>
      </c>
      <c r="V41" s="4">
        <f>K41</f>
        <v>258893.8</v>
      </c>
      <c r="W41" s="4">
        <f t="shared" si="27"/>
        <v>258893.8</v>
      </c>
      <c r="X41" s="4">
        <f t="shared" si="20"/>
        <v>258893.8</v>
      </c>
      <c r="Y41" s="4">
        <f t="shared" si="21"/>
        <v>258893.8</v>
      </c>
      <c r="Z41" s="4">
        <f t="shared" si="22"/>
        <v>258893.8</v>
      </c>
      <c r="AA41" s="4">
        <f t="shared" si="23"/>
        <v>258893.8</v>
      </c>
      <c r="AB41" s="4">
        <f t="shared" si="24"/>
        <v>258893.8</v>
      </c>
      <c r="AC41" s="4">
        <f t="shared" si="25"/>
        <v>258893.8</v>
      </c>
      <c r="AD41" s="4">
        <f t="shared" si="26"/>
        <v>258893.8</v>
      </c>
      <c r="AE41" s="35">
        <f t="shared" si="16"/>
        <v>2588938</v>
      </c>
      <c r="AF41" s="36">
        <f t="shared" si="17"/>
        <v>1.401964821096527</v>
      </c>
      <c r="AH41" s="37"/>
      <c r="AI41" s="37"/>
      <c r="AJ41" s="37"/>
      <c r="AK41" s="37"/>
    </row>
    <row r="42" spans="1:37" ht="41.25" customHeight="1">
      <c r="A42" s="67" t="s">
        <v>208</v>
      </c>
      <c r="B42" s="63" t="s">
        <v>108</v>
      </c>
      <c r="C42" s="50" t="s">
        <v>209</v>
      </c>
      <c r="D42" s="50" t="s">
        <v>210</v>
      </c>
      <c r="E42" s="59" t="s">
        <v>211</v>
      </c>
      <c r="F42" s="77">
        <v>46267</v>
      </c>
      <c r="G42" s="46" t="str">
        <f t="shared" ca="1" si="18"/>
        <v>NO PRAZO</v>
      </c>
      <c r="H42" s="29"/>
      <c r="I42" s="59" t="s">
        <v>212</v>
      </c>
      <c r="J42" s="4"/>
      <c r="K42" s="4">
        <v>116248.37</v>
      </c>
      <c r="L42" s="4">
        <f t="shared" si="28"/>
        <v>1394980.44</v>
      </c>
      <c r="M42" s="56" t="s">
        <v>213</v>
      </c>
      <c r="N42" s="4">
        <v>713738.59</v>
      </c>
      <c r="O42" s="185">
        <v>1000</v>
      </c>
      <c r="P42" s="62"/>
      <c r="Q42" s="2">
        <v>116406.79</v>
      </c>
      <c r="R42" s="3">
        <f t="shared" si="19"/>
        <v>116406.79</v>
      </c>
      <c r="S42" s="34"/>
      <c r="T42" s="4">
        <f>K42</f>
        <v>116248.37</v>
      </c>
      <c r="U42" s="4">
        <f>K42</f>
        <v>116248.37</v>
      </c>
      <c r="V42" s="4">
        <f>K42</f>
        <v>116248.37</v>
      </c>
      <c r="W42" s="4">
        <f t="shared" si="27"/>
        <v>116248.37</v>
      </c>
      <c r="X42" s="4">
        <f t="shared" si="20"/>
        <v>116248.37</v>
      </c>
      <c r="Y42" s="4">
        <f t="shared" si="21"/>
        <v>116248.37</v>
      </c>
      <c r="Z42" s="4">
        <f t="shared" si="22"/>
        <v>116248.37</v>
      </c>
      <c r="AA42" s="48">
        <f t="shared" si="23"/>
        <v>116248.37</v>
      </c>
      <c r="AB42" s="4">
        <f t="shared" si="24"/>
        <v>116248.37</v>
      </c>
      <c r="AC42" s="4">
        <f t="shared" si="25"/>
        <v>116248.37</v>
      </c>
      <c r="AD42" s="4">
        <f t="shared" si="26"/>
        <v>116248.37</v>
      </c>
      <c r="AE42" s="35">
        <f t="shared" si="16"/>
        <v>1278732.0699999998</v>
      </c>
      <c r="AF42" s="36">
        <f t="shared" si="17"/>
        <v>1.0013627717962841</v>
      </c>
      <c r="AH42" s="37"/>
      <c r="AI42" s="37"/>
      <c r="AJ42" s="37"/>
      <c r="AK42" s="37"/>
    </row>
    <row r="43" spans="1:37" ht="30.75" customHeight="1">
      <c r="A43" s="53" t="s">
        <v>214</v>
      </c>
      <c r="B43" s="67" t="s">
        <v>108</v>
      </c>
      <c r="C43" s="71" t="s">
        <v>215</v>
      </c>
      <c r="D43" s="57" t="s">
        <v>216</v>
      </c>
      <c r="E43" s="59" t="s">
        <v>217</v>
      </c>
      <c r="F43" s="51">
        <v>46402</v>
      </c>
      <c r="G43" s="46" t="str">
        <f t="shared" ca="1" si="18"/>
        <v>NO PRAZO</v>
      </c>
      <c r="H43" s="46"/>
      <c r="I43" s="80" t="s">
        <v>218</v>
      </c>
      <c r="J43" s="4"/>
      <c r="K43" s="81">
        <v>1918496.1</v>
      </c>
      <c r="L43" s="4">
        <f t="shared" si="28"/>
        <v>23021953.200000003</v>
      </c>
      <c r="M43" s="56" t="s">
        <v>219</v>
      </c>
      <c r="N43" s="4">
        <v>18559366.199999999</v>
      </c>
      <c r="O43" s="185">
        <v>1000</v>
      </c>
      <c r="P43" s="78">
        <v>90683</v>
      </c>
      <c r="Q43" s="82">
        <v>4557159</v>
      </c>
      <c r="R43" s="3">
        <f>Q43+P43</f>
        <v>4647842</v>
      </c>
      <c r="S43" s="34"/>
      <c r="T43" s="34"/>
      <c r="U43" s="34"/>
      <c r="V43" s="34"/>
      <c r="W43" s="4">
        <f t="shared" si="27"/>
        <v>1918496.1</v>
      </c>
      <c r="X43" s="4">
        <f t="shared" si="20"/>
        <v>1918496.1</v>
      </c>
      <c r="Y43" s="4">
        <f t="shared" si="21"/>
        <v>1918496.1</v>
      </c>
      <c r="Z43" s="4">
        <f t="shared" si="22"/>
        <v>1918496.1</v>
      </c>
      <c r="AA43" s="4">
        <f t="shared" si="23"/>
        <v>1918496.1</v>
      </c>
      <c r="AB43" s="4">
        <f t="shared" si="24"/>
        <v>1918496.1</v>
      </c>
      <c r="AC43" s="4">
        <f t="shared" si="25"/>
        <v>1918496.1</v>
      </c>
      <c r="AD43" s="4">
        <f t="shared" si="26"/>
        <v>1918496.1</v>
      </c>
      <c r="AE43" s="35">
        <f t="shared" si="16"/>
        <v>15347968.799999999</v>
      </c>
      <c r="AF43" s="36">
        <f t="shared" si="17"/>
        <v>2.4226486569349812</v>
      </c>
      <c r="AH43" s="37"/>
      <c r="AI43" s="37"/>
      <c r="AJ43" s="37"/>
      <c r="AK43" s="37"/>
    </row>
    <row r="44" spans="1:37" ht="41.25" customHeight="1">
      <c r="A44" s="63" t="s">
        <v>220</v>
      </c>
      <c r="B44" s="67" t="s">
        <v>108</v>
      </c>
      <c r="C44" s="71" t="s">
        <v>221</v>
      </c>
      <c r="D44" s="57" t="s">
        <v>222</v>
      </c>
      <c r="E44" s="83" t="s">
        <v>223</v>
      </c>
      <c r="F44" s="51">
        <v>46097</v>
      </c>
      <c r="G44" s="46" t="str">
        <f t="shared" ca="1" si="18"/>
        <v>EM BREVE</v>
      </c>
      <c r="H44" s="29"/>
      <c r="I44" s="59" t="s">
        <v>224</v>
      </c>
      <c r="J44" s="4"/>
      <c r="K44" s="4">
        <v>1716061.34</v>
      </c>
      <c r="L44" s="32">
        <f t="shared" si="28"/>
        <v>20592736.080000002</v>
      </c>
      <c r="M44" s="56" t="s">
        <v>225</v>
      </c>
      <c r="N44" s="32">
        <v>2942345.63</v>
      </c>
      <c r="O44" s="185">
        <v>1000</v>
      </c>
      <c r="P44" s="78"/>
      <c r="Q44" s="2">
        <v>489777.05</v>
      </c>
      <c r="R44" s="3">
        <f t="shared" ref="R44:R59" si="29">SUM(P44:Q44)</f>
        <v>489777.05</v>
      </c>
      <c r="S44" s="4">
        <f>K44-R44</f>
        <v>1226284.29</v>
      </c>
      <c r="T44" s="4">
        <f>K44</f>
        <v>1716061.34</v>
      </c>
      <c r="U44" s="48">
        <f>K44</f>
        <v>1716061.34</v>
      </c>
      <c r="V44" s="4">
        <f>K44</f>
        <v>1716061.34</v>
      </c>
      <c r="W44" s="4">
        <f t="shared" si="27"/>
        <v>1716061.34</v>
      </c>
      <c r="X44" s="4">
        <f t="shared" si="20"/>
        <v>1716061.34</v>
      </c>
      <c r="Y44" s="4">
        <f t="shared" si="21"/>
        <v>1716061.34</v>
      </c>
      <c r="Z44" s="4">
        <f t="shared" si="22"/>
        <v>1716061.34</v>
      </c>
      <c r="AA44" s="4">
        <f t="shared" si="23"/>
        <v>1716061.34</v>
      </c>
      <c r="AB44" s="4">
        <f t="shared" si="24"/>
        <v>1716061.34</v>
      </c>
      <c r="AC44" s="4">
        <f t="shared" si="25"/>
        <v>1716061.34</v>
      </c>
      <c r="AD44" s="4">
        <f t="shared" si="26"/>
        <v>1716061.34</v>
      </c>
      <c r="AE44" s="35">
        <f t="shared" si="16"/>
        <v>20102959.030000001</v>
      </c>
      <c r="AF44" s="36">
        <f t="shared" si="17"/>
        <v>0.28540765914579719</v>
      </c>
      <c r="AH44" s="37"/>
      <c r="AI44" s="37"/>
      <c r="AJ44" s="37"/>
      <c r="AK44" s="37"/>
    </row>
    <row r="45" spans="1:37" ht="41.25" customHeight="1">
      <c r="A45" s="53" t="s">
        <v>226</v>
      </c>
      <c r="B45" s="67" t="s">
        <v>108</v>
      </c>
      <c r="C45" s="71" t="s">
        <v>227</v>
      </c>
      <c r="D45" s="57" t="s">
        <v>228</v>
      </c>
      <c r="E45" s="59" t="s">
        <v>229</v>
      </c>
      <c r="F45" s="51">
        <v>46628</v>
      </c>
      <c r="G45" s="46" t="str">
        <f t="shared" ca="1" si="18"/>
        <v>NO PRAZO</v>
      </c>
      <c r="H45" s="29"/>
      <c r="I45" s="59" t="s">
        <v>230</v>
      </c>
      <c r="J45" s="4"/>
      <c r="K45" s="4">
        <f>1412211.24</f>
        <v>1412211.24</v>
      </c>
      <c r="L45" s="32">
        <f t="shared" si="28"/>
        <v>16946534.879999999</v>
      </c>
      <c r="M45" s="56" t="s">
        <v>231</v>
      </c>
      <c r="N45" s="32">
        <v>16946534.879999999</v>
      </c>
      <c r="O45" s="185">
        <v>1000</v>
      </c>
      <c r="P45" s="2"/>
      <c r="Q45" s="2">
        <v>14976.16</v>
      </c>
      <c r="R45" s="3">
        <f t="shared" si="29"/>
        <v>14976.16</v>
      </c>
      <c r="S45" s="4">
        <f>K45</f>
        <v>1412211.24</v>
      </c>
      <c r="T45" s="4">
        <f>K45</f>
        <v>1412211.24</v>
      </c>
      <c r="U45" s="4">
        <f>K45</f>
        <v>1412211.24</v>
      </c>
      <c r="V45" s="4">
        <f>K45</f>
        <v>1412211.24</v>
      </c>
      <c r="W45" s="4">
        <f t="shared" si="27"/>
        <v>1412211.24</v>
      </c>
      <c r="X45" s="4">
        <f t="shared" si="20"/>
        <v>1412211.24</v>
      </c>
      <c r="Y45" s="4">
        <f t="shared" si="21"/>
        <v>1412211.24</v>
      </c>
      <c r="Z45" s="4">
        <f t="shared" si="22"/>
        <v>1412211.24</v>
      </c>
      <c r="AA45" s="4">
        <f t="shared" si="23"/>
        <v>1412211.24</v>
      </c>
      <c r="AB45" s="4">
        <f t="shared" si="24"/>
        <v>1412211.24</v>
      </c>
      <c r="AC45" s="4">
        <f t="shared" si="25"/>
        <v>1412211.24</v>
      </c>
      <c r="AD45" s="4">
        <f t="shared" si="26"/>
        <v>1412211.24</v>
      </c>
      <c r="AE45" s="35">
        <f t="shared" si="16"/>
        <v>16946534.879999999</v>
      </c>
      <c r="AF45" s="36">
        <f t="shared" si="17"/>
        <v>1.0604759101053466E-2</v>
      </c>
      <c r="AH45" s="37"/>
      <c r="AI45" s="37"/>
      <c r="AJ45" s="37"/>
      <c r="AK45" s="37"/>
    </row>
    <row r="46" spans="1:37" ht="27" customHeight="1">
      <c r="A46" s="53" t="s">
        <v>232</v>
      </c>
      <c r="B46" s="67" t="s">
        <v>108</v>
      </c>
      <c r="C46" s="71" t="s">
        <v>233</v>
      </c>
      <c r="D46" s="57" t="s">
        <v>228</v>
      </c>
      <c r="E46" s="59" t="s">
        <v>234</v>
      </c>
      <c r="F46" s="51">
        <v>46166</v>
      </c>
      <c r="G46" s="46" t="str">
        <f t="shared" ca="1" si="18"/>
        <v>NO PRAZO</v>
      </c>
      <c r="H46" s="29"/>
      <c r="I46" s="59" t="s">
        <v>235</v>
      </c>
      <c r="J46" s="84"/>
      <c r="K46" s="32">
        <v>236438.33100000001</v>
      </c>
      <c r="L46" s="32">
        <f t="shared" si="28"/>
        <v>2837259.9720000001</v>
      </c>
      <c r="M46" s="56" t="s">
        <v>236</v>
      </c>
      <c r="N46" s="32">
        <v>709314.99</v>
      </c>
      <c r="O46" s="185">
        <v>1000</v>
      </c>
      <c r="P46" s="2"/>
      <c r="Q46" s="2">
        <v>238414</v>
      </c>
      <c r="R46" s="3">
        <f t="shared" si="29"/>
        <v>238414</v>
      </c>
      <c r="S46" s="34"/>
      <c r="T46" s="4">
        <f>K46</f>
        <v>236438.33100000001</v>
      </c>
      <c r="U46" s="4">
        <f>K46</f>
        <v>236438.33100000001</v>
      </c>
      <c r="V46" s="4">
        <f>K46</f>
        <v>236438.33100000001</v>
      </c>
      <c r="W46" s="48">
        <f t="shared" si="27"/>
        <v>236438.33100000001</v>
      </c>
      <c r="X46" s="4">
        <f t="shared" si="20"/>
        <v>236438.33100000001</v>
      </c>
      <c r="Y46" s="4">
        <f t="shared" si="21"/>
        <v>236438.33100000001</v>
      </c>
      <c r="Z46" s="4">
        <f t="shared" si="22"/>
        <v>236438.33100000001</v>
      </c>
      <c r="AA46" s="4">
        <f t="shared" si="23"/>
        <v>236438.33100000001</v>
      </c>
      <c r="AB46" s="4">
        <f t="shared" si="24"/>
        <v>236438.33100000001</v>
      </c>
      <c r="AC46" s="4">
        <f t="shared" si="25"/>
        <v>236438.33100000001</v>
      </c>
      <c r="AD46" s="4">
        <f t="shared" si="26"/>
        <v>236438.33100000001</v>
      </c>
      <c r="AE46" s="35">
        <f t="shared" si="16"/>
        <v>2600821.6410000008</v>
      </c>
      <c r="AF46" s="36">
        <f t="shared" si="17"/>
        <v>1.0083559590005733</v>
      </c>
      <c r="AH46" s="37"/>
      <c r="AI46" s="37"/>
      <c r="AJ46" s="37"/>
      <c r="AK46" s="37"/>
    </row>
    <row r="47" spans="1:37" ht="45">
      <c r="A47" s="63" t="s">
        <v>237</v>
      </c>
      <c r="B47" s="67" t="s">
        <v>108</v>
      </c>
      <c r="C47" s="85" t="s">
        <v>238</v>
      </c>
      <c r="D47" s="57" t="s">
        <v>239</v>
      </c>
      <c r="E47" s="59" t="s">
        <v>240</v>
      </c>
      <c r="F47" s="51">
        <v>46221</v>
      </c>
      <c r="G47" s="46" t="str">
        <f t="shared" ca="1" si="18"/>
        <v>NO PRAZO</v>
      </c>
      <c r="H47" s="46"/>
      <c r="I47" s="59" t="s">
        <v>241</v>
      </c>
      <c r="J47" s="4"/>
      <c r="K47" s="4">
        <v>163496.79999999999</v>
      </c>
      <c r="L47" s="4">
        <f t="shared" si="28"/>
        <v>1961961.5999999999</v>
      </c>
      <c r="M47" s="56" t="s">
        <v>242</v>
      </c>
      <c r="N47" s="4">
        <v>653987.19999999995</v>
      </c>
      <c r="O47" s="185">
        <v>1000</v>
      </c>
      <c r="P47" s="2"/>
      <c r="Q47" s="2">
        <v>326993.59999999998</v>
      </c>
      <c r="R47" s="3">
        <f t="shared" si="29"/>
        <v>326993.59999999998</v>
      </c>
      <c r="S47" s="34"/>
      <c r="T47" s="34"/>
      <c r="U47" s="4">
        <f>K47</f>
        <v>163496.79999999999</v>
      </c>
      <c r="V47" s="4">
        <f>K47</f>
        <v>163496.79999999999</v>
      </c>
      <c r="W47" s="4">
        <f t="shared" si="27"/>
        <v>163496.79999999999</v>
      </c>
      <c r="X47" s="4">
        <f t="shared" si="20"/>
        <v>163496.79999999999</v>
      </c>
      <c r="Y47" s="48">
        <f t="shared" si="21"/>
        <v>163496.79999999999</v>
      </c>
      <c r="Z47" s="4">
        <f t="shared" si="22"/>
        <v>163496.79999999999</v>
      </c>
      <c r="AA47" s="4">
        <f t="shared" si="23"/>
        <v>163496.79999999999</v>
      </c>
      <c r="AB47" s="4">
        <f t="shared" si="24"/>
        <v>163496.79999999999</v>
      </c>
      <c r="AC47" s="4">
        <f t="shared" si="25"/>
        <v>163496.79999999999</v>
      </c>
      <c r="AD47" s="4">
        <f t="shared" si="26"/>
        <v>163496.79999999999</v>
      </c>
      <c r="AE47" s="35">
        <f t="shared" si="16"/>
        <v>1634968.0000000002</v>
      </c>
      <c r="AF47" s="36">
        <f t="shared" si="17"/>
        <v>2</v>
      </c>
      <c r="AH47" s="37"/>
      <c r="AI47" s="37"/>
      <c r="AJ47" s="37"/>
      <c r="AK47" s="37"/>
    </row>
    <row r="48" spans="1:37" ht="76.5" customHeight="1">
      <c r="A48" s="86" t="s">
        <v>243</v>
      </c>
      <c r="B48" s="67" t="s">
        <v>108</v>
      </c>
      <c r="C48" s="71" t="s">
        <v>244</v>
      </c>
      <c r="D48" s="57" t="s">
        <v>245</v>
      </c>
      <c r="E48" s="59" t="s">
        <v>246</v>
      </c>
      <c r="F48" s="51">
        <v>46114</v>
      </c>
      <c r="G48" s="46" t="str">
        <f t="shared" ca="1" si="18"/>
        <v>EM BREVE</v>
      </c>
      <c r="H48" s="29"/>
      <c r="I48" s="59" t="s">
        <v>247</v>
      </c>
      <c r="J48" s="4">
        <v>1600000</v>
      </c>
      <c r="K48" s="32"/>
      <c r="L48" s="32">
        <f>J48*12</f>
        <v>19200000</v>
      </c>
      <c r="M48" s="185"/>
      <c r="N48" s="32"/>
      <c r="O48" s="185">
        <v>1000</v>
      </c>
      <c r="P48" s="2"/>
      <c r="Q48" s="2">
        <v>80074.91</v>
      </c>
      <c r="R48" s="3">
        <f t="shared" si="29"/>
        <v>80074.91</v>
      </c>
      <c r="S48" s="4">
        <f>J48-R48</f>
        <v>1519925.09</v>
      </c>
      <c r="T48" s="4">
        <f>J48</f>
        <v>1600000</v>
      </c>
      <c r="U48" s="4">
        <f>J48</f>
        <v>1600000</v>
      </c>
      <c r="V48" s="48">
        <f>J48</f>
        <v>1600000</v>
      </c>
      <c r="W48" s="4">
        <f>J48</f>
        <v>1600000</v>
      </c>
      <c r="X48" s="4">
        <f>J48</f>
        <v>1600000</v>
      </c>
      <c r="Y48" s="4">
        <f>J48</f>
        <v>1600000</v>
      </c>
      <c r="Z48" s="4">
        <f>J48</f>
        <v>1600000</v>
      </c>
      <c r="AA48" s="4">
        <f>J48</f>
        <v>1600000</v>
      </c>
      <c r="AB48" s="4">
        <f>J48</f>
        <v>1600000</v>
      </c>
      <c r="AC48" s="4">
        <f>J48</f>
        <v>1600000</v>
      </c>
      <c r="AD48" s="4">
        <f>J48</f>
        <v>1600000</v>
      </c>
      <c r="AE48" s="35">
        <f t="shared" si="16"/>
        <v>19119925.09</v>
      </c>
      <c r="AF48" s="36">
        <f t="shared" si="17"/>
        <v>5.0046818749999999E-2</v>
      </c>
      <c r="AH48" s="37"/>
      <c r="AI48" s="37"/>
      <c r="AJ48" s="37"/>
      <c r="AK48" s="37"/>
    </row>
    <row r="49" spans="1:37" ht="76.5" customHeight="1">
      <c r="A49" s="53" t="s">
        <v>248</v>
      </c>
      <c r="B49" s="67" t="s">
        <v>108</v>
      </c>
      <c r="C49" s="71" t="s">
        <v>249</v>
      </c>
      <c r="D49" s="57" t="s">
        <v>245</v>
      </c>
      <c r="E49" s="59" t="s">
        <v>250</v>
      </c>
      <c r="F49" s="51">
        <v>46387</v>
      </c>
      <c r="G49" s="46" t="str">
        <f t="shared" ca="1" si="18"/>
        <v>NO PRAZO</v>
      </c>
      <c r="H49" s="29"/>
      <c r="I49" s="29" t="s">
        <v>251</v>
      </c>
      <c r="J49" s="4">
        <f>L49/12</f>
        <v>1924342.125</v>
      </c>
      <c r="K49" s="32"/>
      <c r="L49" s="32">
        <f>8383552.34+14708553.16</f>
        <v>23092105.5</v>
      </c>
      <c r="M49" s="185"/>
      <c r="N49" s="32"/>
      <c r="O49" s="185">
        <v>1000</v>
      </c>
      <c r="P49" s="4"/>
      <c r="Q49" s="2">
        <v>10033.64</v>
      </c>
      <c r="R49" s="3">
        <f t="shared" si="29"/>
        <v>10033.64</v>
      </c>
      <c r="S49" s="4">
        <f>J49</f>
        <v>1924342.125</v>
      </c>
      <c r="T49" s="4">
        <f>J49</f>
        <v>1924342.125</v>
      </c>
      <c r="U49" s="4">
        <f>J49</f>
        <v>1924342.125</v>
      </c>
      <c r="V49" s="4">
        <f>J49</f>
        <v>1924342.125</v>
      </c>
      <c r="W49" s="4">
        <f>J49</f>
        <v>1924342.125</v>
      </c>
      <c r="X49" s="4">
        <f>J49</f>
        <v>1924342.125</v>
      </c>
      <c r="Y49" s="4">
        <f>J49</f>
        <v>1924342.125</v>
      </c>
      <c r="Z49" s="4">
        <f>J49</f>
        <v>1924342.125</v>
      </c>
      <c r="AA49" s="4">
        <f>J49</f>
        <v>1924342.125</v>
      </c>
      <c r="AB49" s="4">
        <f>J49</f>
        <v>1924342.125</v>
      </c>
      <c r="AC49" s="4">
        <f>J49</f>
        <v>1924342.125</v>
      </c>
      <c r="AD49" s="4">
        <f>J49</f>
        <v>1924342.125</v>
      </c>
      <c r="AE49" s="35">
        <f t="shared" si="16"/>
        <v>23092105.5</v>
      </c>
      <c r="AF49" s="36">
        <f t="shared" si="17"/>
        <v>5.2140624422489321E-3</v>
      </c>
      <c r="AH49" s="37"/>
      <c r="AI49" s="37"/>
      <c r="AJ49" s="37"/>
      <c r="AK49" s="37"/>
    </row>
    <row r="50" spans="1:37" ht="76.5" customHeight="1">
      <c r="A50" s="49" t="s">
        <v>252</v>
      </c>
      <c r="B50" s="67" t="s">
        <v>108</v>
      </c>
      <c r="C50" s="71" t="s">
        <v>253</v>
      </c>
      <c r="D50" s="57" t="s">
        <v>254</v>
      </c>
      <c r="E50" s="59" t="s">
        <v>255</v>
      </c>
      <c r="F50" s="51">
        <v>46146</v>
      </c>
      <c r="G50" s="46" t="str">
        <f t="shared" ca="1" si="18"/>
        <v>NO PRAZO</v>
      </c>
      <c r="H50" s="29"/>
      <c r="I50" s="59" t="s">
        <v>256</v>
      </c>
      <c r="J50" s="4">
        <v>145000</v>
      </c>
      <c r="K50" s="32"/>
      <c r="L50" s="32">
        <f>J50*12</f>
        <v>1740000</v>
      </c>
      <c r="M50" s="185"/>
      <c r="N50" s="32"/>
      <c r="O50" s="185">
        <v>1000</v>
      </c>
      <c r="P50" s="78"/>
      <c r="Q50" s="2">
        <v>0</v>
      </c>
      <c r="R50" s="3">
        <f t="shared" si="29"/>
        <v>0</v>
      </c>
      <c r="S50" s="4">
        <f>J50</f>
        <v>145000</v>
      </c>
      <c r="T50" s="4">
        <f>J50</f>
        <v>145000</v>
      </c>
      <c r="U50" s="4">
        <f>J50</f>
        <v>145000</v>
      </c>
      <c r="V50" s="4">
        <f>J50</f>
        <v>145000</v>
      </c>
      <c r="W50" s="48">
        <f>J50</f>
        <v>145000</v>
      </c>
      <c r="X50" s="4">
        <f>J50</f>
        <v>145000</v>
      </c>
      <c r="Y50" s="4">
        <f>J50</f>
        <v>145000</v>
      </c>
      <c r="Z50" s="4">
        <f>J50</f>
        <v>145000</v>
      </c>
      <c r="AA50" s="4">
        <f>J50</f>
        <v>145000</v>
      </c>
      <c r="AB50" s="4">
        <f>J50</f>
        <v>145000</v>
      </c>
      <c r="AC50" s="4">
        <f>J50</f>
        <v>145000</v>
      </c>
      <c r="AD50" s="4">
        <f>J50</f>
        <v>145000</v>
      </c>
      <c r="AE50" s="35">
        <f t="shared" si="16"/>
        <v>1740000</v>
      </c>
      <c r="AF50" s="36">
        <f t="shared" si="17"/>
        <v>0</v>
      </c>
      <c r="AH50" s="37"/>
      <c r="AI50" s="37"/>
      <c r="AJ50" s="37"/>
      <c r="AK50" s="37"/>
    </row>
    <row r="51" spans="1:37" ht="40.5" customHeight="1">
      <c r="A51" s="63" t="s">
        <v>257</v>
      </c>
      <c r="B51" s="67" t="s">
        <v>108</v>
      </c>
      <c r="C51" s="57" t="s">
        <v>258</v>
      </c>
      <c r="D51" s="57" t="s">
        <v>259</v>
      </c>
      <c r="E51" s="59" t="s">
        <v>260</v>
      </c>
      <c r="F51" s="51">
        <v>46097</v>
      </c>
      <c r="G51" s="46" t="str">
        <f t="shared" ca="1" si="18"/>
        <v>EM BREVE</v>
      </c>
      <c r="H51" s="29"/>
      <c r="I51" s="59" t="s">
        <v>261</v>
      </c>
      <c r="J51" s="4"/>
      <c r="K51" s="32">
        <v>484202.15</v>
      </c>
      <c r="L51" s="32">
        <f>K51*12</f>
        <v>5810425.8000000007</v>
      </c>
      <c r="M51" s="56" t="s">
        <v>262</v>
      </c>
      <c r="N51" s="32">
        <v>5810425.7999999998</v>
      </c>
      <c r="O51" s="185">
        <v>1000</v>
      </c>
      <c r="P51" s="2"/>
      <c r="Q51" s="2">
        <v>485004.02</v>
      </c>
      <c r="R51" s="3">
        <f t="shared" si="29"/>
        <v>485004.02</v>
      </c>
      <c r="S51" s="34"/>
      <c r="T51" s="4">
        <f>K51</f>
        <v>484202.15</v>
      </c>
      <c r="U51" s="48">
        <f>K51</f>
        <v>484202.15</v>
      </c>
      <c r="V51" s="4">
        <f>K51</f>
        <v>484202.15</v>
      </c>
      <c r="W51" s="4">
        <f>K51</f>
        <v>484202.15</v>
      </c>
      <c r="X51" s="4">
        <f>K51</f>
        <v>484202.15</v>
      </c>
      <c r="Y51" s="4">
        <f>K51</f>
        <v>484202.15</v>
      </c>
      <c r="Z51" s="4">
        <f>K51</f>
        <v>484202.15</v>
      </c>
      <c r="AA51" s="4">
        <f>K51</f>
        <v>484202.15</v>
      </c>
      <c r="AB51" s="4">
        <f>K51</f>
        <v>484202.15</v>
      </c>
      <c r="AC51" s="4">
        <f>K51</f>
        <v>484202.15</v>
      </c>
      <c r="AD51" s="4">
        <f>K51</f>
        <v>484202.15</v>
      </c>
      <c r="AE51" s="4">
        <f>L51</f>
        <v>5810425.8000000007</v>
      </c>
      <c r="AF51" s="36">
        <f t="shared" si="17"/>
        <v>1.0016560645176813</v>
      </c>
      <c r="AH51" s="37"/>
      <c r="AI51" s="37"/>
      <c r="AJ51" s="37"/>
      <c r="AK51" s="37"/>
    </row>
    <row r="52" spans="1:37" ht="24.75" customHeight="1">
      <c r="A52" s="63" t="s">
        <v>263</v>
      </c>
      <c r="B52" s="63" t="s">
        <v>108</v>
      </c>
      <c r="C52" s="29" t="s">
        <v>264</v>
      </c>
      <c r="D52" s="29" t="s">
        <v>265</v>
      </c>
      <c r="E52" s="29" t="s">
        <v>266</v>
      </c>
      <c r="F52" s="51">
        <v>46266</v>
      </c>
      <c r="G52" s="46" t="str">
        <f t="shared" ca="1" si="18"/>
        <v>NO PRAZO</v>
      </c>
      <c r="H52" s="29"/>
      <c r="I52" s="73" t="s">
        <v>267</v>
      </c>
      <c r="J52" s="4">
        <v>100</v>
      </c>
      <c r="K52" s="4"/>
      <c r="L52" s="4">
        <f>J52*12</f>
        <v>1200</v>
      </c>
      <c r="M52" s="56"/>
      <c r="N52" s="4"/>
      <c r="O52" s="185">
        <v>1000</v>
      </c>
      <c r="P52" s="78"/>
      <c r="Q52" s="2">
        <v>0</v>
      </c>
      <c r="R52" s="3">
        <f t="shared" si="29"/>
        <v>0</v>
      </c>
      <c r="S52" s="4">
        <f>J52</f>
        <v>100</v>
      </c>
      <c r="T52" s="4">
        <f>J52</f>
        <v>100</v>
      </c>
      <c r="U52" s="4">
        <f>J52</f>
        <v>100</v>
      </c>
      <c r="V52" s="4">
        <f>J52</f>
        <v>100</v>
      </c>
      <c r="W52" s="4">
        <f>J52</f>
        <v>100</v>
      </c>
      <c r="X52" s="4">
        <f>J52</f>
        <v>100</v>
      </c>
      <c r="Y52" s="4">
        <f>J52</f>
        <v>100</v>
      </c>
      <c r="Z52" s="4">
        <f>J52</f>
        <v>100</v>
      </c>
      <c r="AA52" s="48">
        <f>J52</f>
        <v>100</v>
      </c>
      <c r="AB52" s="4">
        <f>J52</f>
        <v>100</v>
      </c>
      <c r="AC52" s="4">
        <f>J52</f>
        <v>100</v>
      </c>
      <c r="AD52" s="4">
        <f>J52</f>
        <v>100</v>
      </c>
      <c r="AE52" s="35">
        <f t="shared" ref="AE52:AE67" si="30">SUM(S52:AD52)</f>
        <v>1200</v>
      </c>
      <c r="AF52" s="36">
        <f t="shared" si="17"/>
        <v>0</v>
      </c>
      <c r="AH52" s="37"/>
      <c r="AI52" s="37"/>
      <c r="AJ52" s="37"/>
      <c r="AK52" s="37"/>
    </row>
    <row r="53" spans="1:37" ht="30">
      <c r="A53" s="63" t="s">
        <v>268</v>
      </c>
      <c r="B53" s="63" t="s">
        <v>108</v>
      </c>
      <c r="C53" s="29" t="s">
        <v>269</v>
      </c>
      <c r="D53" s="29" t="s">
        <v>270</v>
      </c>
      <c r="E53" s="29" t="s">
        <v>266</v>
      </c>
      <c r="F53" s="51">
        <v>46266</v>
      </c>
      <c r="G53" s="46" t="str">
        <f t="shared" ca="1" si="18"/>
        <v>NO PRAZO</v>
      </c>
      <c r="H53" s="29"/>
      <c r="I53" s="73" t="s">
        <v>271</v>
      </c>
      <c r="J53" s="4">
        <v>15000</v>
      </c>
      <c r="K53" s="4"/>
      <c r="L53" s="4">
        <f>J53*12</f>
        <v>180000</v>
      </c>
      <c r="M53" s="56"/>
      <c r="N53" s="4"/>
      <c r="O53" s="185">
        <v>1000</v>
      </c>
      <c r="P53" s="78"/>
      <c r="Q53" s="2">
        <v>31000</v>
      </c>
      <c r="R53" s="3">
        <f t="shared" si="29"/>
        <v>31000</v>
      </c>
      <c r="S53" s="34"/>
      <c r="T53" s="34"/>
      <c r="U53" s="4">
        <f>J53</f>
        <v>15000</v>
      </c>
      <c r="V53" s="4">
        <f>J53</f>
        <v>15000</v>
      </c>
      <c r="W53" s="4">
        <f>J53</f>
        <v>15000</v>
      </c>
      <c r="X53" s="4">
        <f>J53</f>
        <v>15000</v>
      </c>
      <c r="Y53" s="4">
        <f>J53</f>
        <v>15000</v>
      </c>
      <c r="Z53" s="4">
        <f>J53</f>
        <v>15000</v>
      </c>
      <c r="AA53" s="48">
        <f>J53</f>
        <v>15000</v>
      </c>
      <c r="AB53" s="4">
        <f>J53</f>
        <v>15000</v>
      </c>
      <c r="AC53" s="4">
        <f>J53</f>
        <v>15000</v>
      </c>
      <c r="AD53" s="4">
        <f>J53</f>
        <v>15000</v>
      </c>
      <c r="AE53" s="35">
        <f t="shared" si="30"/>
        <v>150000</v>
      </c>
      <c r="AF53" s="36">
        <f t="shared" si="17"/>
        <v>2.0666666666666669</v>
      </c>
      <c r="AH53" s="37"/>
      <c r="AI53" s="37"/>
      <c r="AJ53" s="37"/>
      <c r="AK53" s="37"/>
    </row>
    <row r="54" spans="1:37" ht="41.25" customHeight="1">
      <c r="A54" s="63" t="s">
        <v>272</v>
      </c>
      <c r="B54" s="87" t="s">
        <v>46</v>
      </c>
      <c r="C54" s="57" t="s">
        <v>273</v>
      </c>
      <c r="D54" s="57" t="s">
        <v>274</v>
      </c>
      <c r="E54" s="59" t="s">
        <v>275</v>
      </c>
      <c r="F54" s="51">
        <v>46254</v>
      </c>
      <c r="G54" s="46" t="str">
        <f t="shared" ca="1" si="18"/>
        <v>NO PRAZO</v>
      </c>
      <c r="H54" s="29"/>
      <c r="I54" s="59" t="s">
        <v>276</v>
      </c>
      <c r="J54" s="4"/>
      <c r="K54" s="4">
        <v>5954.2</v>
      </c>
      <c r="L54" s="4">
        <v>63975.839999999997</v>
      </c>
      <c r="M54" s="56"/>
      <c r="N54" s="4"/>
      <c r="O54" s="185">
        <v>1000</v>
      </c>
      <c r="P54" s="2">
        <v>33674.58</v>
      </c>
      <c r="Q54" s="2">
        <v>8004.67</v>
      </c>
      <c r="R54" s="3">
        <f t="shared" si="29"/>
        <v>41679.25</v>
      </c>
      <c r="S54" s="34"/>
      <c r="T54" s="34"/>
      <c r="U54" s="34"/>
      <c r="V54" s="34"/>
      <c r="W54" s="34"/>
      <c r="X54" s="34"/>
      <c r="Y54" s="34"/>
      <c r="Z54" s="48">
        <f>K54</f>
        <v>5954.2</v>
      </c>
      <c r="AA54" s="4">
        <f>K54</f>
        <v>5954.2</v>
      </c>
      <c r="AB54" s="4">
        <f>K54</f>
        <v>5954.2</v>
      </c>
      <c r="AC54" s="4">
        <f>K54</f>
        <v>5954.2</v>
      </c>
      <c r="AD54" s="4">
        <f>K54</f>
        <v>5954.2</v>
      </c>
      <c r="AE54" s="35">
        <f t="shared" si="30"/>
        <v>29771</v>
      </c>
      <c r="AF54" s="36">
        <f t="shared" si="17"/>
        <v>6.9999748076987673</v>
      </c>
      <c r="AH54" s="37"/>
      <c r="AI54" s="37"/>
      <c r="AJ54" s="37"/>
      <c r="AK54" s="37"/>
    </row>
    <row r="55" spans="1:37" ht="38.25" customHeight="1">
      <c r="A55" s="69" t="s">
        <v>277</v>
      </c>
      <c r="B55" s="87" t="s">
        <v>46</v>
      </c>
      <c r="C55" s="71" t="s">
        <v>278</v>
      </c>
      <c r="D55" s="57" t="s">
        <v>279</v>
      </c>
      <c r="E55" s="59" t="s">
        <v>280</v>
      </c>
      <c r="F55" s="51">
        <v>46303</v>
      </c>
      <c r="G55" s="46" t="str">
        <f t="shared" ca="1" si="18"/>
        <v>NO PRAZO</v>
      </c>
      <c r="H55" s="29"/>
      <c r="I55" s="59" t="s">
        <v>281</v>
      </c>
      <c r="J55" s="4"/>
      <c r="K55" s="4">
        <v>23452.22</v>
      </c>
      <c r="L55" s="4">
        <f>K55*12</f>
        <v>281426.64</v>
      </c>
      <c r="M55" s="56"/>
      <c r="N55" s="4"/>
      <c r="O55" s="185">
        <v>1000</v>
      </c>
      <c r="P55" s="88">
        <v>211069.98</v>
      </c>
      <c r="Q55" s="2">
        <v>16310.18</v>
      </c>
      <c r="R55" s="3">
        <f t="shared" si="29"/>
        <v>227380.16</v>
      </c>
      <c r="S55" s="34"/>
      <c r="T55" s="34"/>
      <c r="U55" s="34"/>
      <c r="V55" s="34"/>
      <c r="W55" s="34"/>
      <c r="X55" s="34"/>
      <c r="Y55" s="34"/>
      <c r="Z55" s="34"/>
      <c r="AA55" s="34"/>
      <c r="AB55" s="48">
        <f>K55</f>
        <v>23452.22</v>
      </c>
      <c r="AC55" s="4">
        <f>K55</f>
        <v>23452.22</v>
      </c>
      <c r="AD55" s="4">
        <f>K55</f>
        <v>23452.22</v>
      </c>
      <c r="AE55" s="35">
        <f t="shared" si="30"/>
        <v>70356.66</v>
      </c>
      <c r="AF55" s="36">
        <f t="shared" si="17"/>
        <v>9.6954642247087914</v>
      </c>
      <c r="AH55" s="37"/>
      <c r="AI55" s="37"/>
      <c r="AJ55" s="37"/>
      <c r="AK55" s="37"/>
    </row>
    <row r="56" spans="1:37" ht="41.25" customHeight="1">
      <c r="A56" s="63" t="s">
        <v>282</v>
      </c>
      <c r="B56" s="87" t="s">
        <v>46</v>
      </c>
      <c r="C56" s="57" t="s">
        <v>283</v>
      </c>
      <c r="D56" s="57" t="s">
        <v>284</v>
      </c>
      <c r="E56" s="59" t="s">
        <v>285</v>
      </c>
      <c r="F56" s="51">
        <v>46309</v>
      </c>
      <c r="G56" s="46" t="str">
        <f t="shared" ca="1" si="18"/>
        <v>NO PRAZO</v>
      </c>
      <c r="H56" s="29"/>
      <c r="I56" s="59" t="s">
        <v>286</v>
      </c>
      <c r="J56" s="4">
        <f>L56/12</f>
        <v>4106.25</v>
      </c>
      <c r="K56" s="32"/>
      <c r="L56" s="32">
        <v>49275</v>
      </c>
      <c r="M56" s="185"/>
      <c r="N56" s="32"/>
      <c r="O56" s="185">
        <v>1000</v>
      </c>
      <c r="P56" s="88">
        <v>36456.25</v>
      </c>
      <c r="Q56" s="2">
        <v>500</v>
      </c>
      <c r="R56" s="3">
        <f t="shared" si="29"/>
        <v>36956.25</v>
      </c>
      <c r="S56" s="34"/>
      <c r="T56" s="34"/>
      <c r="U56" s="34"/>
      <c r="V56" s="34"/>
      <c r="W56" s="34"/>
      <c r="X56" s="34"/>
      <c r="Y56" s="34"/>
      <c r="Z56" s="34"/>
      <c r="AA56" s="34"/>
      <c r="AB56" s="48">
        <f>J56</f>
        <v>4106.25</v>
      </c>
      <c r="AC56" s="4">
        <f>J56</f>
        <v>4106.25</v>
      </c>
      <c r="AD56" s="4">
        <f>J56</f>
        <v>4106.25</v>
      </c>
      <c r="AE56" s="35">
        <f t="shared" si="30"/>
        <v>12318.75</v>
      </c>
      <c r="AF56" s="36">
        <f t="shared" si="17"/>
        <v>9</v>
      </c>
      <c r="AH56" s="37"/>
      <c r="AI56" s="37"/>
      <c r="AJ56" s="37"/>
      <c r="AK56" s="37"/>
    </row>
    <row r="57" spans="1:37" ht="60">
      <c r="A57" s="63" t="s">
        <v>287</v>
      </c>
      <c r="B57" s="87" t="s">
        <v>46</v>
      </c>
      <c r="C57" s="57" t="s">
        <v>288</v>
      </c>
      <c r="D57" s="57" t="s">
        <v>289</v>
      </c>
      <c r="E57" s="59" t="s">
        <v>290</v>
      </c>
      <c r="F57" s="51">
        <v>46068</v>
      </c>
      <c r="G57" s="46" t="str">
        <f t="shared" ca="1" si="18"/>
        <v>EM BREVE</v>
      </c>
      <c r="H57" s="70" t="s">
        <v>291</v>
      </c>
      <c r="I57" s="59" t="s">
        <v>292</v>
      </c>
      <c r="J57" s="4"/>
      <c r="K57" s="32">
        <f>L57/12</f>
        <v>4290.91</v>
      </c>
      <c r="L57" s="32">
        <v>51490.92</v>
      </c>
      <c r="M57" s="185"/>
      <c r="N57" s="32"/>
      <c r="O57" s="185">
        <v>1000</v>
      </c>
      <c r="P57" s="89"/>
      <c r="Q57" s="2">
        <v>30036.37</v>
      </c>
      <c r="R57" s="3">
        <f t="shared" si="29"/>
        <v>30036.37</v>
      </c>
      <c r="S57" s="34"/>
      <c r="T57" s="48"/>
      <c r="U57" s="34"/>
      <c r="V57" s="34"/>
      <c r="W57" s="34"/>
      <c r="X57" s="34"/>
      <c r="Y57" s="34"/>
      <c r="Z57" s="4">
        <f>K57</f>
        <v>4290.91</v>
      </c>
      <c r="AA57" s="4">
        <f>K57</f>
        <v>4290.91</v>
      </c>
      <c r="AB57" s="4">
        <f>K57</f>
        <v>4290.91</v>
      </c>
      <c r="AC57" s="4">
        <f>K57</f>
        <v>4290.91</v>
      </c>
      <c r="AD57" s="4">
        <f>K57</f>
        <v>4290.91</v>
      </c>
      <c r="AE57" s="35">
        <f t="shared" si="30"/>
        <v>21454.55</v>
      </c>
      <c r="AF57" s="36">
        <f t="shared" si="17"/>
        <v>7</v>
      </c>
      <c r="AH57" s="37"/>
      <c r="AI57" s="37"/>
      <c r="AJ57" s="37"/>
      <c r="AK57" s="37"/>
    </row>
    <row r="58" spans="1:37" ht="27" customHeight="1">
      <c r="A58" s="90" t="s">
        <v>293</v>
      </c>
      <c r="B58" s="91" t="s">
        <v>294</v>
      </c>
      <c r="C58" s="92" t="s">
        <v>295</v>
      </c>
      <c r="D58" s="92" t="s">
        <v>296</v>
      </c>
      <c r="E58" s="59" t="s">
        <v>297</v>
      </c>
      <c r="F58" s="51">
        <v>46434</v>
      </c>
      <c r="G58" s="46" t="str">
        <f t="shared" ca="1" si="18"/>
        <v>NO PRAZO</v>
      </c>
      <c r="H58" s="46"/>
      <c r="I58" s="93" t="s">
        <v>298</v>
      </c>
      <c r="J58" s="4"/>
      <c r="K58" s="4">
        <v>382896.8</v>
      </c>
      <c r="L58" s="4">
        <f>K58*12</f>
        <v>4594761.5999999996</v>
      </c>
      <c r="M58" s="56" t="s">
        <v>299</v>
      </c>
      <c r="N58" s="4">
        <v>4211864.8</v>
      </c>
      <c r="O58" s="56">
        <v>1050</v>
      </c>
      <c r="P58" s="2"/>
      <c r="Q58" s="2">
        <v>385326.21</v>
      </c>
      <c r="R58" s="3">
        <f t="shared" si="29"/>
        <v>385326.21</v>
      </c>
      <c r="S58" s="34"/>
      <c r="T58" s="4">
        <f>K58</f>
        <v>382896.8</v>
      </c>
      <c r="U58" s="4">
        <f>K58</f>
        <v>382896.8</v>
      </c>
      <c r="V58" s="4">
        <f>K58</f>
        <v>382896.8</v>
      </c>
      <c r="W58" s="4">
        <f>K58</f>
        <v>382896.8</v>
      </c>
      <c r="X58" s="4">
        <f>K58</f>
        <v>382896.8</v>
      </c>
      <c r="Y58" s="4">
        <f>K58</f>
        <v>382896.8</v>
      </c>
      <c r="Z58" s="4">
        <f>K58</f>
        <v>382896.8</v>
      </c>
      <c r="AA58" s="4">
        <f>K58</f>
        <v>382896.8</v>
      </c>
      <c r="AB58" s="4">
        <f>K58</f>
        <v>382896.8</v>
      </c>
      <c r="AC58" s="4">
        <f>K58</f>
        <v>382896.8</v>
      </c>
      <c r="AD58" s="4">
        <f>K58</f>
        <v>382896.8</v>
      </c>
      <c r="AE58" s="35">
        <f t="shared" si="30"/>
        <v>4211864.7999999989</v>
      </c>
      <c r="AF58" s="36">
        <f t="shared" si="17"/>
        <v>1.0063448166712285</v>
      </c>
      <c r="AH58" s="37"/>
      <c r="AI58" s="37"/>
      <c r="AJ58" s="37"/>
      <c r="AK58" s="37"/>
    </row>
    <row r="59" spans="1:37" ht="14.25" customHeight="1">
      <c r="A59" s="90" t="s">
        <v>300</v>
      </c>
      <c r="B59" s="91" t="s">
        <v>294</v>
      </c>
      <c r="C59" s="92" t="s">
        <v>301</v>
      </c>
      <c r="D59" s="92" t="s">
        <v>302</v>
      </c>
      <c r="E59" s="59" t="s">
        <v>303</v>
      </c>
      <c r="F59" s="51">
        <v>46462</v>
      </c>
      <c r="G59" s="46" t="str">
        <f t="shared" ca="1" si="18"/>
        <v>NO PRAZO</v>
      </c>
      <c r="H59" s="46"/>
      <c r="I59" s="93" t="s">
        <v>304</v>
      </c>
      <c r="J59" s="4"/>
      <c r="K59" s="4">
        <v>193823.77</v>
      </c>
      <c r="L59" s="4">
        <f>K59*12</f>
        <v>2325885.2399999998</v>
      </c>
      <c r="M59" s="56" t="s">
        <v>305</v>
      </c>
      <c r="N59" s="4">
        <v>2150358.63</v>
      </c>
      <c r="O59" s="56">
        <v>1050</v>
      </c>
      <c r="P59" s="2"/>
      <c r="Q59" s="2">
        <v>175526.61</v>
      </c>
      <c r="R59" s="3">
        <f t="shared" si="29"/>
        <v>175526.61</v>
      </c>
      <c r="S59" s="4">
        <f>K59-R59</f>
        <v>18297.160000000003</v>
      </c>
      <c r="T59" s="4">
        <f>K59</f>
        <v>193823.77</v>
      </c>
      <c r="U59" s="4">
        <f>K59</f>
        <v>193823.77</v>
      </c>
      <c r="V59" s="4">
        <f>K59</f>
        <v>193823.77</v>
      </c>
      <c r="W59" s="4">
        <f>K59</f>
        <v>193823.77</v>
      </c>
      <c r="X59" s="4">
        <f>K59</f>
        <v>193823.77</v>
      </c>
      <c r="Y59" s="4">
        <f>K59</f>
        <v>193823.77</v>
      </c>
      <c r="Z59" s="4">
        <f>K59</f>
        <v>193823.77</v>
      </c>
      <c r="AA59" s="4">
        <f>K59</f>
        <v>193823.77</v>
      </c>
      <c r="AB59" s="4">
        <f>K59</f>
        <v>193823.77</v>
      </c>
      <c r="AC59" s="4">
        <f>K59</f>
        <v>193823.77</v>
      </c>
      <c r="AD59" s="4">
        <f>K59</f>
        <v>193823.77</v>
      </c>
      <c r="AE59" s="35">
        <f t="shared" si="30"/>
        <v>2150358.63</v>
      </c>
      <c r="AF59" s="36">
        <f t="shared" si="17"/>
        <v>0.90559898819427564</v>
      </c>
      <c r="AH59" s="37"/>
      <c r="AI59" s="37"/>
      <c r="AJ59" s="37"/>
      <c r="AK59" s="37"/>
    </row>
    <row r="60" spans="1:37" ht="66" customHeight="1">
      <c r="A60" s="94" t="s">
        <v>306</v>
      </c>
      <c r="B60" s="91" t="s">
        <v>294</v>
      </c>
      <c r="C60" s="92" t="s">
        <v>307</v>
      </c>
      <c r="D60" s="92" t="s">
        <v>308</v>
      </c>
      <c r="E60" s="59" t="s">
        <v>309</v>
      </c>
      <c r="F60" s="51">
        <v>46125</v>
      </c>
      <c r="G60" s="46" t="str">
        <f t="shared" ca="1" si="18"/>
        <v>NO PRAZO</v>
      </c>
      <c r="H60" s="180"/>
      <c r="I60" s="50" t="s">
        <v>310</v>
      </c>
      <c r="J60" s="198">
        <v>309551</v>
      </c>
      <c r="K60" s="95"/>
      <c r="L60" s="4">
        <v>6773741.9900000002</v>
      </c>
      <c r="M60" s="56"/>
      <c r="N60" s="4"/>
      <c r="O60" s="56">
        <v>1050</v>
      </c>
      <c r="P60" s="89"/>
      <c r="Q60" s="2">
        <v>33412.82</v>
      </c>
      <c r="R60" s="199">
        <f>SUM(P60:Q61)</f>
        <v>33412.82</v>
      </c>
      <c r="S60" s="48">
        <f>J60-R60</f>
        <v>276138.18</v>
      </c>
      <c r="T60" s="4">
        <f>J60</f>
        <v>309551</v>
      </c>
      <c r="U60" s="4">
        <f>J60</f>
        <v>309551</v>
      </c>
      <c r="V60" s="4">
        <f>J60</f>
        <v>309551</v>
      </c>
      <c r="W60" s="4">
        <f>J60</f>
        <v>309551</v>
      </c>
      <c r="X60" s="4">
        <f>J60</f>
        <v>309551</v>
      </c>
      <c r="Y60" s="4">
        <f>J60</f>
        <v>309551</v>
      </c>
      <c r="Z60" s="4">
        <f>J60</f>
        <v>309551</v>
      </c>
      <c r="AA60" s="4">
        <f>J60</f>
        <v>309551</v>
      </c>
      <c r="AB60" s="4">
        <f>J60</f>
        <v>309551</v>
      </c>
      <c r="AC60" s="4">
        <f>J60</f>
        <v>309551</v>
      </c>
      <c r="AD60" s="4">
        <f>J60</f>
        <v>309551</v>
      </c>
      <c r="AE60" s="35">
        <f t="shared" si="30"/>
        <v>3681199.1799999997</v>
      </c>
      <c r="AF60" s="36">
        <f t="shared" si="17"/>
        <v>0.10793962868800294</v>
      </c>
      <c r="AG60" s="200"/>
      <c r="AH60" s="201"/>
      <c r="AI60" s="96"/>
      <c r="AJ60" s="37"/>
      <c r="AK60" s="37"/>
    </row>
    <row r="61" spans="1:37" ht="41.25" customHeight="1">
      <c r="A61" s="94" t="s">
        <v>311</v>
      </c>
      <c r="B61" s="91" t="s">
        <v>294</v>
      </c>
      <c r="C61" s="92" t="s">
        <v>307</v>
      </c>
      <c r="D61" s="92" t="s">
        <v>308</v>
      </c>
      <c r="E61" s="59" t="s">
        <v>312</v>
      </c>
      <c r="F61" s="51">
        <v>46079</v>
      </c>
      <c r="G61" s="46" t="str">
        <f t="shared" ca="1" si="18"/>
        <v>EM BREVE</v>
      </c>
      <c r="H61" s="29"/>
      <c r="I61" s="50" t="s">
        <v>313</v>
      </c>
      <c r="J61" s="198"/>
      <c r="K61" s="95"/>
      <c r="L61" s="4">
        <v>5164500</v>
      </c>
      <c r="M61" s="56"/>
      <c r="N61" s="4"/>
      <c r="O61" s="56">
        <v>1050</v>
      </c>
      <c r="P61" s="2"/>
      <c r="Q61" s="2"/>
      <c r="R61" s="199"/>
      <c r="S61" s="4">
        <f>K61</f>
        <v>0</v>
      </c>
      <c r="T61" s="48">
        <f>K61</f>
        <v>0</v>
      </c>
      <c r="U61" s="4">
        <f>K61</f>
        <v>0</v>
      </c>
      <c r="V61" s="4">
        <f>K61</f>
        <v>0</v>
      </c>
      <c r="W61" s="4">
        <f>K61</f>
        <v>0</v>
      </c>
      <c r="X61" s="4">
        <f>K61</f>
        <v>0</v>
      </c>
      <c r="Y61" s="4">
        <f>K61</f>
        <v>0</v>
      </c>
      <c r="Z61" s="4">
        <f>K61</f>
        <v>0</v>
      </c>
      <c r="AA61" s="4">
        <f>K61</f>
        <v>0</v>
      </c>
      <c r="AB61" s="4">
        <f>K61</f>
        <v>0</v>
      </c>
      <c r="AC61" s="4">
        <f>K61</f>
        <v>0</v>
      </c>
      <c r="AD61" s="4">
        <f>K61</f>
        <v>0</v>
      </c>
      <c r="AE61" s="35">
        <f t="shared" si="30"/>
        <v>0</v>
      </c>
      <c r="AF61" s="36" t="e">
        <f t="shared" si="17"/>
        <v>#DIV/0!</v>
      </c>
      <c r="AG61" s="200"/>
      <c r="AH61" s="201"/>
      <c r="AI61" s="37"/>
      <c r="AJ61" s="37"/>
      <c r="AK61" s="37"/>
    </row>
    <row r="62" spans="1:37" ht="82.5" customHeight="1">
      <c r="A62" s="97" t="s">
        <v>314</v>
      </c>
      <c r="B62" s="98" t="s">
        <v>294</v>
      </c>
      <c r="C62" s="99" t="s">
        <v>315</v>
      </c>
      <c r="D62" s="100" t="s">
        <v>316</v>
      </c>
      <c r="E62" s="59" t="s">
        <v>317</v>
      </c>
      <c r="F62" s="51">
        <v>46340</v>
      </c>
      <c r="G62" s="46" t="str">
        <f t="shared" ca="1" si="18"/>
        <v>NO PRAZO</v>
      </c>
      <c r="H62" s="29"/>
      <c r="I62" s="59" t="s">
        <v>318</v>
      </c>
      <c r="J62" s="4">
        <f>L62/12</f>
        <v>7018</v>
      </c>
      <c r="K62" s="32"/>
      <c r="L62" s="32">
        <v>84216</v>
      </c>
      <c r="M62" s="185"/>
      <c r="N62" s="32"/>
      <c r="O62" s="56">
        <v>1050</v>
      </c>
      <c r="P62" s="68"/>
      <c r="Q62" s="39">
        <v>69750</v>
      </c>
      <c r="R62" s="3">
        <f t="shared" ref="R62:R67" si="31">SUM(P62:Q62)</f>
        <v>69750</v>
      </c>
      <c r="S62" s="34"/>
      <c r="T62" s="34"/>
      <c r="U62" s="34"/>
      <c r="V62" s="34"/>
      <c r="W62" s="34"/>
      <c r="X62" s="34"/>
      <c r="Y62" s="34"/>
      <c r="Z62" s="34"/>
      <c r="AA62" s="34"/>
      <c r="AB62" s="4">
        <f>J62*10-R62</f>
        <v>430</v>
      </c>
      <c r="AC62" s="48">
        <f>J62</f>
        <v>7018</v>
      </c>
      <c r="AD62" s="4">
        <f>J62</f>
        <v>7018</v>
      </c>
      <c r="AE62" s="35">
        <f t="shared" si="30"/>
        <v>14466</v>
      </c>
      <c r="AF62" s="36">
        <f t="shared" si="17"/>
        <v>9.93872898261613</v>
      </c>
      <c r="AH62" s="37"/>
      <c r="AI62" s="37"/>
      <c r="AJ62" s="37"/>
      <c r="AK62" s="37"/>
    </row>
    <row r="63" spans="1:37" ht="41.25" customHeight="1">
      <c r="A63" s="101" t="s">
        <v>319</v>
      </c>
      <c r="B63" s="91" t="s">
        <v>294</v>
      </c>
      <c r="C63" s="92" t="s">
        <v>320</v>
      </c>
      <c r="D63" s="92" t="s">
        <v>321</v>
      </c>
      <c r="E63" s="29" t="s">
        <v>322</v>
      </c>
      <c r="F63" s="51">
        <v>46331</v>
      </c>
      <c r="G63" s="46" t="str">
        <f t="shared" ca="1" si="18"/>
        <v>NO PRAZO</v>
      </c>
      <c r="H63" s="29"/>
      <c r="I63" s="102" t="s">
        <v>323</v>
      </c>
      <c r="J63" s="4">
        <f>L63/12</f>
        <v>1241.6666666666667</v>
      </c>
      <c r="K63" s="4"/>
      <c r="L63" s="4">
        <v>14900</v>
      </c>
      <c r="M63" s="56"/>
      <c r="N63" s="4"/>
      <c r="O63" s="56">
        <v>1050</v>
      </c>
      <c r="P63" s="78"/>
      <c r="Q63" s="2">
        <v>3725</v>
      </c>
      <c r="R63" s="3">
        <f t="shared" si="31"/>
        <v>3725</v>
      </c>
      <c r="S63" s="34"/>
      <c r="T63" s="34"/>
      <c r="U63" s="34"/>
      <c r="V63" s="4">
        <f>J63</f>
        <v>1241.6666666666667</v>
      </c>
      <c r="W63" s="4">
        <f>J63</f>
        <v>1241.6666666666667</v>
      </c>
      <c r="X63" s="4">
        <f>J63</f>
        <v>1241.6666666666667</v>
      </c>
      <c r="Y63" s="4">
        <f>J63</f>
        <v>1241.6666666666667</v>
      </c>
      <c r="Z63" s="4">
        <f>J63</f>
        <v>1241.6666666666667</v>
      </c>
      <c r="AA63" s="4">
        <f>J63</f>
        <v>1241.6666666666667</v>
      </c>
      <c r="AB63" s="4">
        <f>J63</f>
        <v>1241.6666666666667</v>
      </c>
      <c r="AC63" s="48">
        <f>J63</f>
        <v>1241.6666666666667</v>
      </c>
      <c r="AD63" s="4">
        <f>J63</f>
        <v>1241.6666666666667</v>
      </c>
      <c r="AE63" s="35">
        <f t="shared" si="30"/>
        <v>11175</v>
      </c>
      <c r="AF63" s="36">
        <f t="shared" si="17"/>
        <v>3</v>
      </c>
      <c r="AH63" s="37"/>
      <c r="AI63" s="37"/>
      <c r="AJ63" s="37"/>
      <c r="AK63" s="37"/>
    </row>
    <row r="64" spans="1:37" ht="35.25" customHeight="1">
      <c r="A64" s="101" t="s">
        <v>324</v>
      </c>
      <c r="B64" s="91" t="s">
        <v>294</v>
      </c>
      <c r="C64" s="92" t="s">
        <v>325</v>
      </c>
      <c r="D64" s="92" t="s">
        <v>326</v>
      </c>
      <c r="E64" s="29" t="s">
        <v>327</v>
      </c>
      <c r="F64" s="51">
        <v>46327</v>
      </c>
      <c r="G64" s="46" t="str">
        <f t="shared" ca="1" si="18"/>
        <v>NO PRAZO</v>
      </c>
      <c r="H64" s="46"/>
      <c r="I64" s="102" t="s">
        <v>328</v>
      </c>
      <c r="J64" s="4">
        <f>L64/12</f>
        <v>832.5</v>
      </c>
      <c r="K64" s="4"/>
      <c r="L64" s="4">
        <v>9990</v>
      </c>
      <c r="M64" s="56"/>
      <c r="N64" s="4"/>
      <c r="O64" s="56">
        <v>1050</v>
      </c>
      <c r="P64" s="78"/>
      <c r="Q64" s="2">
        <v>1638</v>
      </c>
      <c r="R64" s="3">
        <f t="shared" si="31"/>
        <v>1638</v>
      </c>
      <c r="S64" s="34"/>
      <c r="T64" s="4">
        <f>J64*2-R64</f>
        <v>27</v>
      </c>
      <c r="U64" s="4">
        <f>J64</f>
        <v>832.5</v>
      </c>
      <c r="V64" s="4">
        <f>J64</f>
        <v>832.5</v>
      </c>
      <c r="W64" s="4">
        <f>J64</f>
        <v>832.5</v>
      </c>
      <c r="X64" s="4">
        <f>J64</f>
        <v>832.5</v>
      </c>
      <c r="Y64" s="4">
        <f>J64</f>
        <v>832.5</v>
      </c>
      <c r="Z64" s="4">
        <f>J64</f>
        <v>832.5</v>
      </c>
      <c r="AA64" s="4">
        <f>J64</f>
        <v>832.5</v>
      </c>
      <c r="AB64" s="4">
        <f>J64</f>
        <v>832.5</v>
      </c>
      <c r="AC64" s="48">
        <f>J64</f>
        <v>832.5</v>
      </c>
      <c r="AD64" s="4">
        <f>J64</f>
        <v>832.5</v>
      </c>
      <c r="AE64" s="35">
        <f t="shared" si="30"/>
        <v>8352</v>
      </c>
      <c r="AF64" s="36">
        <f t="shared" si="17"/>
        <v>1.9675675675675677</v>
      </c>
      <c r="AH64" s="37"/>
      <c r="AI64" s="37"/>
      <c r="AJ64" s="37"/>
      <c r="AK64" s="37"/>
    </row>
    <row r="65" spans="1:37" ht="27" customHeight="1">
      <c r="A65" s="90" t="s">
        <v>329</v>
      </c>
      <c r="B65" s="91" t="s">
        <v>294</v>
      </c>
      <c r="C65" s="92" t="s">
        <v>330</v>
      </c>
      <c r="D65" s="92" t="s">
        <v>331</v>
      </c>
      <c r="E65" s="59" t="s">
        <v>332</v>
      </c>
      <c r="F65" s="51">
        <v>45920</v>
      </c>
      <c r="G65" s="46" t="str">
        <f t="shared" ca="1" si="18"/>
        <v>EXPIRADO</v>
      </c>
      <c r="H65" s="70" t="s">
        <v>105</v>
      </c>
      <c r="I65" s="59" t="s">
        <v>333</v>
      </c>
      <c r="J65" s="4"/>
      <c r="K65" s="4">
        <f>L65/12</f>
        <v>39124.22</v>
      </c>
      <c r="L65" s="4">
        <v>469490.64</v>
      </c>
      <c r="M65" s="56"/>
      <c r="N65" s="4"/>
      <c r="O65" s="56">
        <v>1050</v>
      </c>
      <c r="P65" s="89"/>
      <c r="Q65" s="2">
        <v>11583.35</v>
      </c>
      <c r="R65" s="3">
        <f t="shared" si="31"/>
        <v>11583.35</v>
      </c>
      <c r="S65" s="4">
        <f>K65-R65</f>
        <v>27540.870000000003</v>
      </c>
      <c r="T65" s="4">
        <f>K65</f>
        <v>39124.22</v>
      </c>
      <c r="U65" s="4">
        <f>K65</f>
        <v>39124.22</v>
      </c>
      <c r="V65" s="4">
        <f>K65</f>
        <v>39124.22</v>
      </c>
      <c r="W65" s="4">
        <f>K65</f>
        <v>39124.22</v>
      </c>
      <c r="X65" s="4">
        <f>K65</f>
        <v>39124.22</v>
      </c>
      <c r="Y65" s="4">
        <f>K65</f>
        <v>39124.22</v>
      </c>
      <c r="Z65" s="4">
        <f>K65</f>
        <v>39124.22</v>
      </c>
      <c r="AA65" s="4">
        <f>K65</f>
        <v>39124.22</v>
      </c>
      <c r="AB65" s="4">
        <f>K65</f>
        <v>39124.22</v>
      </c>
      <c r="AC65" s="4">
        <f>K65</f>
        <v>39124.22</v>
      </c>
      <c r="AD65" s="4">
        <f>K65</f>
        <v>39124.22</v>
      </c>
      <c r="AE65" s="35">
        <f t="shared" si="30"/>
        <v>457907.28999999992</v>
      </c>
      <c r="AF65" s="36">
        <f t="shared" si="17"/>
        <v>0.29606596629913645</v>
      </c>
      <c r="AH65" s="37"/>
      <c r="AI65" s="37"/>
      <c r="AJ65" s="37"/>
      <c r="AK65" s="37"/>
    </row>
    <row r="66" spans="1:37" ht="22.5" customHeight="1">
      <c r="A66" s="103" t="s">
        <v>334</v>
      </c>
      <c r="B66" s="63" t="s">
        <v>294</v>
      </c>
      <c r="C66" s="29" t="s">
        <v>330</v>
      </c>
      <c r="D66" s="29" t="s">
        <v>335</v>
      </c>
      <c r="E66" s="59" t="s">
        <v>336</v>
      </c>
      <c r="F66" s="51">
        <v>47436</v>
      </c>
      <c r="G66" s="46" t="str">
        <f t="shared" ca="1" si="18"/>
        <v>NO PRAZO</v>
      </c>
      <c r="H66" s="29"/>
      <c r="I66" s="46" t="s">
        <v>337</v>
      </c>
      <c r="J66" s="4">
        <f>L66/12</f>
        <v>339678</v>
      </c>
      <c r="K66" s="4"/>
      <c r="L66" s="2">
        <f>20380680/5</f>
        <v>4076136</v>
      </c>
      <c r="M66" s="186"/>
      <c r="N66" s="2"/>
      <c r="O66" s="56">
        <v>1050</v>
      </c>
      <c r="P66" s="2"/>
      <c r="Q66" s="2">
        <v>3089763</v>
      </c>
      <c r="R66" s="3">
        <f t="shared" si="31"/>
        <v>3089763</v>
      </c>
      <c r="S66" s="34"/>
      <c r="T66" s="34"/>
      <c r="U66" s="34"/>
      <c r="V66" s="34"/>
      <c r="W66" s="34"/>
      <c r="X66" s="34"/>
      <c r="Y66" s="34"/>
      <c r="Z66" s="34"/>
      <c r="AA66" s="4">
        <f>J66*9-R66</f>
        <v>-32661</v>
      </c>
      <c r="AB66" s="4">
        <f>J66</f>
        <v>339678</v>
      </c>
      <c r="AC66" s="4">
        <f>J66</f>
        <v>339678</v>
      </c>
      <c r="AD66" s="4">
        <f>J66</f>
        <v>339678</v>
      </c>
      <c r="AE66" s="35">
        <f t="shared" si="30"/>
        <v>986373</v>
      </c>
      <c r="AF66" s="36">
        <f t="shared" si="17"/>
        <v>9.0961528270891847</v>
      </c>
      <c r="AH66" s="37"/>
      <c r="AI66" s="37"/>
      <c r="AJ66" s="37"/>
      <c r="AK66" s="37"/>
    </row>
    <row r="67" spans="1:37" ht="30">
      <c r="A67" s="101" t="s">
        <v>338</v>
      </c>
      <c r="B67" s="91" t="s">
        <v>294</v>
      </c>
      <c r="C67" s="92" t="s">
        <v>339</v>
      </c>
      <c r="D67" s="92" t="s">
        <v>340</v>
      </c>
      <c r="E67" s="29"/>
      <c r="F67" s="29"/>
      <c r="G67" s="46"/>
      <c r="H67" s="46"/>
      <c r="I67" s="29"/>
      <c r="J67" s="4">
        <v>40000</v>
      </c>
      <c r="K67" s="4"/>
      <c r="L67" s="4">
        <f>J67*12</f>
        <v>480000</v>
      </c>
      <c r="M67" s="56" t="s">
        <v>341</v>
      </c>
      <c r="N67" s="4">
        <v>468161.73</v>
      </c>
      <c r="O67" s="56">
        <v>1050</v>
      </c>
      <c r="P67" s="33"/>
      <c r="Q67" s="33">
        <v>11838.27</v>
      </c>
      <c r="R67" s="3">
        <f t="shared" si="31"/>
        <v>11838.27</v>
      </c>
      <c r="S67" s="4">
        <f>J67-R67</f>
        <v>28161.73</v>
      </c>
      <c r="T67" s="4">
        <f>J67</f>
        <v>40000</v>
      </c>
      <c r="U67" s="4">
        <f>J67</f>
        <v>40000</v>
      </c>
      <c r="V67" s="4">
        <f>J67</f>
        <v>40000</v>
      </c>
      <c r="W67" s="4">
        <f>J67</f>
        <v>40000</v>
      </c>
      <c r="X67" s="4">
        <f>J67</f>
        <v>40000</v>
      </c>
      <c r="Y67" s="4">
        <f>J67</f>
        <v>40000</v>
      </c>
      <c r="Z67" s="4">
        <f>J67</f>
        <v>40000</v>
      </c>
      <c r="AA67" s="4">
        <f>J67</f>
        <v>40000</v>
      </c>
      <c r="AB67" s="4">
        <f>J67</f>
        <v>40000</v>
      </c>
      <c r="AC67" s="4">
        <f>J67</f>
        <v>40000</v>
      </c>
      <c r="AD67" s="4">
        <f>J67</f>
        <v>40000</v>
      </c>
      <c r="AE67" s="35">
        <f t="shared" si="30"/>
        <v>468161.73</v>
      </c>
      <c r="AF67" s="36">
        <f t="shared" si="17"/>
        <v>0.29595674999999999</v>
      </c>
      <c r="AH67" s="37"/>
      <c r="AI67" s="37"/>
      <c r="AJ67" s="37"/>
      <c r="AK67" s="37"/>
    </row>
    <row r="68" spans="1:37">
      <c r="A68" s="28" t="s">
        <v>38</v>
      </c>
      <c r="B68" s="91" t="s">
        <v>294</v>
      </c>
      <c r="C68" s="29" t="s">
        <v>39</v>
      </c>
      <c r="D68" s="92"/>
      <c r="E68" s="29"/>
      <c r="F68" s="29"/>
      <c r="G68" s="46"/>
      <c r="H68" s="46"/>
      <c r="I68" s="29"/>
      <c r="J68" s="4"/>
      <c r="K68" s="4"/>
      <c r="L68" s="4"/>
      <c r="M68" s="56"/>
      <c r="N68" s="4"/>
      <c r="O68" s="56"/>
      <c r="P68" s="33"/>
      <c r="Q68" s="33"/>
      <c r="R68" s="3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35"/>
      <c r="AF68" s="36"/>
      <c r="AH68" s="37"/>
      <c r="AI68" s="37"/>
      <c r="AJ68" s="37"/>
      <c r="AK68" s="37"/>
    </row>
    <row r="69" spans="1:37" ht="14.25" customHeight="1">
      <c r="A69" s="101" t="s">
        <v>342</v>
      </c>
      <c r="B69" s="91" t="s">
        <v>294</v>
      </c>
      <c r="C69" s="92" t="s">
        <v>343</v>
      </c>
      <c r="D69" s="92" t="s">
        <v>344</v>
      </c>
      <c r="E69" s="29"/>
      <c r="F69" s="29"/>
      <c r="G69" s="46"/>
      <c r="H69" s="46"/>
      <c r="I69" s="29"/>
      <c r="J69" s="4">
        <v>136350</v>
      </c>
      <c r="K69" s="4"/>
      <c r="L69" s="4">
        <f>J69*12</f>
        <v>1636200</v>
      </c>
      <c r="M69" s="56" t="s">
        <v>345</v>
      </c>
      <c r="N69" s="4">
        <v>1626686.32</v>
      </c>
      <c r="O69" s="56">
        <v>1050</v>
      </c>
      <c r="P69" s="2"/>
      <c r="Q69" s="2">
        <v>9513.68</v>
      </c>
      <c r="R69" s="3">
        <f t="shared" ref="R69:R80" si="32">SUM(P69:Q69)</f>
        <v>9513.68</v>
      </c>
      <c r="S69" s="4">
        <f>J69-R69</f>
        <v>126836.32</v>
      </c>
      <c r="T69" s="4">
        <f>J69</f>
        <v>136350</v>
      </c>
      <c r="U69" s="4">
        <f t="shared" ref="U69:U78" si="33">J69</f>
        <v>136350</v>
      </c>
      <c r="V69" s="4">
        <f t="shared" ref="V69:V78" si="34">J69</f>
        <v>136350</v>
      </c>
      <c r="W69" s="4">
        <f t="shared" ref="W69:W78" si="35">J69</f>
        <v>136350</v>
      </c>
      <c r="X69" s="4">
        <f t="shared" ref="X69:X78" si="36">J69</f>
        <v>136350</v>
      </c>
      <c r="Y69" s="4">
        <f t="shared" ref="Y69:Y78" si="37">J69</f>
        <v>136350</v>
      </c>
      <c r="Z69" s="4">
        <f t="shared" ref="Z69:Z78" si="38">J69</f>
        <v>136350</v>
      </c>
      <c r="AA69" s="4">
        <f t="shared" ref="AA69:AA78" si="39">J69</f>
        <v>136350</v>
      </c>
      <c r="AB69" s="4">
        <f t="shared" ref="AB69:AB78" si="40">J69</f>
        <v>136350</v>
      </c>
      <c r="AC69" s="4">
        <f t="shared" ref="AC69:AC80" si="41">J69</f>
        <v>136350</v>
      </c>
      <c r="AD69" s="4">
        <f t="shared" ref="AD69:AD80" si="42">J69</f>
        <v>136350</v>
      </c>
      <c r="AE69" s="35">
        <f t="shared" ref="AE69:AE80" si="43">SUM(S69:AD69)</f>
        <v>1626686.32</v>
      </c>
      <c r="AF69" s="36">
        <f t="shared" ref="AF69:AF80" si="44">R69/(J69+K69)</f>
        <v>6.9773964063072971E-2</v>
      </c>
      <c r="AH69" s="37"/>
      <c r="AI69" s="37"/>
      <c r="AJ69" s="37"/>
      <c r="AK69" s="37"/>
    </row>
    <row r="70" spans="1:37" ht="14.25" customHeight="1">
      <c r="A70" s="101" t="s">
        <v>346</v>
      </c>
      <c r="B70" s="91" t="s">
        <v>294</v>
      </c>
      <c r="C70" s="92" t="s">
        <v>347</v>
      </c>
      <c r="D70" s="92"/>
      <c r="E70" s="29" t="s">
        <v>348</v>
      </c>
      <c r="F70" s="29"/>
      <c r="G70" s="46"/>
      <c r="H70" s="46"/>
      <c r="I70" s="29"/>
      <c r="J70" s="4">
        <v>245000</v>
      </c>
      <c r="K70" s="4"/>
      <c r="L70" s="4">
        <f>J70*12</f>
        <v>2940000</v>
      </c>
      <c r="M70" s="56" t="s">
        <v>349</v>
      </c>
      <c r="N70" s="4">
        <v>2673965.34</v>
      </c>
      <c r="O70" s="56">
        <v>1050</v>
      </c>
      <c r="P70" s="2"/>
      <c r="Q70" s="2">
        <v>21882.91</v>
      </c>
      <c r="R70" s="3">
        <f t="shared" si="32"/>
        <v>21882.91</v>
      </c>
      <c r="S70" s="34"/>
      <c r="T70" s="4">
        <f>J70*2-R70</f>
        <v>468117.09</v>
      </c>
      <c r="U70" s="4">
        <f t="shared" si="33"/>
        <v>245000</v>
      </c>
      <c r="V70" s="4">
        <f t="shared" si="34"/>
        <v>245000</v>
      </c>
      <c r="W70" s="4">
        <f t="shared" si="35"/>
        <v>245000</v>
      </c>
      <c r="X70" s="4">
        <f t="shared" si="36"/>
        <v>245000</v>
      </c>
      <c r="Y70" s="4">
        <f t="shared" si="37"/>
        <v>245000</v>
      </c>
      <c r="Z70" s="4">
        <f t="shared" si="38"/>
        <v>245000</v>
      </c>
      <c r="AA70" s="4">
        <f t="shared" si="39"/>
        <v>245000</v>
      </c>
      <c r="AB70" s="4">
        <f t="shared" si="40"/>
        <v>245000</v>
      </c>
      <c r="AC70" s="4">
        <f t="shared" si="41"/>
        <v>245000</v>
      </c>
      <c r="AD70" s="4">
        <f t="shared" si="42"/>
        <v>245000</v>
      </c>
      <c r="AE70" s="35">
        <f t="shared" si="43"/>
        <v>2918117.09</v>
      </c>
      <c r="AF70" s="36">
        <f t="shared" si="44"/>
        <v>8.9317999999999995E-2</v>
      </c>
      <c r="AH70" s="37"/>
      <c r="AI70" s="37"/>
      <c r="AJ70" s="37"/>
      <c r="AK70" s="37"/>
    </row>
    <row r="71" spans="1:37" ht="27" customHeight="1">
      <c r="A71" s="63" t="s">
        <v>350</v>
      </c>
      <c r="B71" s="63" t="s">
        <v>351</v>
      </c>
      <c r="C71" s="38" t="s">
        <v>352</v>
      </c>
      <c r="D71" s="38" t="s">
        <v>353</v>
      </c>
      <c r="E71" s="59" t="s">
        <v>354</v>
      </c>
      <c r="F71" s="104">
        <v>46274</v>
      </c>
      <c r="G71" s="46" t="str">
        <f ca="1">IF((F71-TODAY())&lt;0,"EXPIRADO", IF((F71-TODAY())&lt;=60,"EM BREVE","NO PRAZO"))</f>
        <v>NO PRAZO</v>
      </c>
      <c r="H71" s="29"/>
      <c r="I71" s="61" t="s">
        <v>355</v>
      </c>
      <c r="J71" s="4">
        <f>L71/12</f>
        <v>1500933.5674999999</v>
      </c>
      <c r="K71" s="105"/>
      <c r="L71" s="4">
        <v>18011202.809999999</v>
      </c>
      <c r="M71" s="56" t="s">
        <v>356</v>
      </c>
      <c r="N71" s="4">
        <v>11420396.140000001</v>
      </c>
      <c r="O71" s="56">
        <v>1000</v>
      </c>
      <c r="P71" s="2"/>
      <c r="Q71" s="2">
        <v>584108</v>
      </c>
      <c r="R71" s="3">
        <f t="shared" si="32"/>
        <v>584108</v>
      </c>
      <c r="S71" s="4">
        <f>J71-R71</f>
        <v>916825.56749999989</v>
      </c>
      <c r="T71" s="4">
        <f t="shared" ref="T71:T78" si="45">J71</f>
        <v>1500933.5674999999</v>
      </c>
      <c r="U71" s="4">
        <f t="shared" si="33"/>
        <v>1500933.5674999999</v>
      </c>
      <c r="V71" s="4">
        <f t="shared" si="34"/>
        <v>1500933.5674999999</v>
      </c>
      <c r="W71" s="4">
        <f t="shared" si="35"/>
        <v>1500933.5674999999</v>
      </c>
      <c r="X71" s="4">
        <f t="shared" si="36"/>
        <v>1500933.5674999999</v>
      </c>
      <c r="Y71" s="4">
        <f t="shared" si="37"/>
        <v>1500933.5674999999</v>
      </c>
      <c r="Z71" s="4">
        <f t="shared" si="38"/>
        <v>1500933.5674999999</v>
      </c>
      <c r="AA71" s="48">
        <f t="shared" si="39"/>
        <v>1500933.5674999999</v>
      </c>
      <c r="AB71" s="4">
        <f t="shared" si="40"/>
        <v>1500933.5674999999</v>
      </c>
      <c r="AC71" s="4">
        <f t="shared" si="41"/>
        <v>1500933.5674999999</v>
      </c>
      <c r="AD71" s="4">
        <f t="shared" si="42"/>
        <v>1500933.5674999999</v>
      </c>
      <c r="AE71" s="35">
        <f t="shared" si="43"/>
        <v>17427094.809999995</v>
      </c>
      <c r="AF71" s="36">
        <f t="shared" si="44"/>
        <v>0.38916312663518338</v>
      </c>
      <c r="AH71" s="37"/>
      <c r="AI71" s="37"/>
      <c r="AJ71" s="37"/>
      <c r="AK71" s="37"/>
    </row>
    <row r="72" spans="1:37" ht="27" customHeight="1">
      <c r="A72" s="106" t="s">
        <v>357</v>
      </c>
      <c r="B72" s="63" t="s">
        <v>358</v>
      </c>
      <c r="C72" s="29" t="s">
        <v>359</v>
      </c>
      <c r="D72" s="29"/>
      <c r="E72" s="29"/>
      <c r="F72" s="45"/>
      <c r="G72" s="46"/>
      <c r="H72" s="46"/>
      <c r="I72" s="29"/>
      <c r="J72" s="4"/>
      <c r="K72" s="4"/>
      <c r="L72" s="4"/>
      <c r="M72" s="56"/>
      <c r="N72" s="4"/>
      <c r="O72" s="56">
        <v>1000</v>
      </c>
      <c r="P72" s="2"/>
      <c r="Q72" s="2"/>
      <c r="R72" s="3">
        <f t="shared" si="32"/>
        <v>0</v>
      </c>
      <c r="S72" s="4">
        <f t="shared" ref="S72:S77" si="46">J72</f>
        <v>0</v>
      </c>
      <c r="T72" s="4">
        <f t="shared" si="45"/>
        <v>0</v>
      </c>
      <c r="U72" s="4">
        <f t="shared" si="33"/>
        <v>0</v>
      </c>
      <c r="V72" s="4">
        <f t="shared" si="34"/>
        <v>0</v>
      </c>
      <c r="W72" s="4">
        <f t="shared" si="35"/>
        <v>0</v>
      </c>
      <c r="X72" s="4">
        <f t="shared" si="36"/>
        <v>0</v>
      </c>
      <c r="Y72" s="4">
        <f t="shared" si="37"/>
        <v>0</v>
      </c>
      <c r="Z72" s="4">
        <f t="shared" si="38"/>
        <v>0</v>
      </c>
      <c r="AA72" s="4">
        <f t="shared" si="39"/>
        <v>0</v>
      </c>
      <c r="AB72" s="4">
        <f t="shared" si="40"/>
        <v>0</v>
      </c>
      <c r="AC72" s="4">
        <f t="shared" si="41"/>
        <v>0</v>
      </c>
      <c r="AD72" s="4">
        <f t="shared" si="42"/>
        <v>0</v>
      </c>
      <c r="AE72" s="35">
        <f t="shared" si="43"/>
        <v>0</v>
      </c>
      <c r="AF72" s="36" t="e">
        <f t="shared" si="44"/>
        <v>#DIV/0!</v>
      </c>
      <c r="AH72" s="37"/>
      <c r="AI72" s="37"/>
      <c r="AJ72" s="37"/>
      <c r="AK72" s="37"/>
    </row>
    <row r="73" spans="1:37" ht="52.5" customHeight="1">
      <c r="A73" s="67" t="s">
        <v>360</v>
      </c>
      <c r="B73" s="63" t="s">
        <v>358</v>
      </c>
      <c r="C73" s="29" t="s">
        <v>361</v>
      </c>
      <c r="D73" s="29"/>
      <c r="E73" s="29" t="s">
        <v>362</v>
      </c>
      <c r="F73" s="29"/>
      <c r="G73" s="46"/>
      <c r="H73" s="46"/>
      <c r="I73" s="29"/>
      <c r="J73" s="4">
        <v>73000</v>
      </c>
      <c r="K73" s="4"/>
      <c r="L73" s="4">
        <f>11086.47+11086.47+11086.47+11086.47+8622.81+8622.81+3695.49+3695.49+2463.66</f>
        <v>71446.14</v>
      </c>
      <c r="M73" s="56"/>
      <c r="N73" s="4"/>
      <c r="O73" s="56">
        <v>1000</v>
      </c>
      <c r="P73" s="2"/>
      <c r="Q73" s="2"/>
      <c r="R73" s="3">
        <f t="shared" si="32"/>
        <v>0</v>
      </c>
      <c r="S73" s="4">
        <f t="shared" si="46"/>
        <v>73000</v>
      </c>
      <c r="T73" s="4">
        <f t="shared" si="45"/>
        <v>73000</v>
      </c>
      <c r="U73" s="4">
        <f t="shared" si="33"/>
        <v>73000</v>
      </c>
      <c r="V73" s="4">
        <f t="shared" si="34"/>
        <v>73000</v>
      </c>
      <c r="W73" s="4">
        <f t="shared" si="35"/>
        <v>73000</v>
      </c>
      <c r="X73" s="4">
        <f t="shared" si="36"/>
        <v>73000</v>
      </c>
      <c r="Y73" s="4">
        <f t="shared" si="37"/>
        <v>73000</v>
      </c>
      <c r="Z73" s="4">
        <f t="shared" si="38"/>
        <v>73000</v>
      </c>
      <c r="AA73" s="4">
        <f t="shared" si="39"/>
        <v>73000</v>
      </c>
      <c r="AB73" s="4">
        <f t="shared" si="40"/>
        <v>73000</v>
      </c>
      <c r="AC73" s="4">
        <f t="shared" si="41"/>
        <v>73000</v>
      </c>
      <c r="AD73" s="4">
        <f t="shared" si="42"/>
        <v>73000</v>
      </c>
      <c r="AE73" s="35">
        <f t="shared" si="43"/>
        <v>876000</v>
      </c>
      <c r="AF73" s="36">
        <f t="shared" si="44"/>
        <v>0</v>
      </c>
      <c r="AH73" s="37"/>
      <c r="AI73" s="37"/>
      <c r="AJ73" s="37"/>
      <c r="AK73" s="37"/>
    </row>
    <row r="74" spans="1:37" ht="148.25" customHeight="1">
      <c r="A74" s="107" t="s">
        <v>363</v>
      </c>
      <c r="B74" s="63" t="s">
        <v>358</v>
      </c>
      <c r="C74" s="29" t="s">
        <v>364</v>
      </c>
      <c r="D74" s="29"/>
      <c r="E74" s="29" t="s">
        <v>365</v>
      </c>
      <c r="F74" s="29" t="s">
        <v>366</v>
      </c>
      <c r="G74" s="46"/>
      <c r="H74" s="46"/>
      <c r="I74" s="108"/>
      <c r="J74" s="105">
        <v>285000</v>
      </c>
      <c r="K74" s="4"/>
      <c r="L74" s="4">
        <f t="shared" ref="L74:L80" si="47">J74*12</f>
        <v>3420000</v>
      </c>
      <c r="M74" s="56"/>
      <c r="N74" s="4"/>
      <c r="O74" s="56">
        <v>1000</v>
      </c>
      <c r="P74" s="2"/>
      <c r="Q74" s="2">
        <v>188010</v>
      </c>
      <c r="R74" s="3">
        <f t="shared" si="32"/>
        <v>188010</v>
      </c>
      <c r="S74" s="4">
        <f t="shared" si="46"/>
        <v>285000</v>
      </c>
      <c r="T74" s="4">
        <f t="shared" si="45"/>
        <v>285000</v>
      </c>
      <c r="U74" s="4">
        <f t="shared" si="33"/>
        <v>285000</v>
      </c>
      <c r="V74" s="4">
        <f t="shared" si="34"/>
        <v>285000</v>
      </c>
      <c r="W74" s="4">
        <f t="shared" si="35"/>
        <v>285000</v>
      </c>
      <c r="X74" s="4">
        <f t="shared" si="36"/>
        <v>285000</v>
      </c>
      <c r="Y74" s="4">
        <f t="shared" si="37"/>
        <v>285000</v>
      </c>
      <c r="Z74" s="4">
        <f t="shared" si="38"/>
        <v>285000</v>
      </c>
      <c r="AA74" s="4">
        <f t="shared" si="39"/>
        <v>285000</v>
      </c>
      <c r="AB74" s="4">
        <f t="shared" si="40"/>
        <v>285000</v>
      </c>
      <c r="AC74" s="4">
        <f t="shared" si="41"/>
        <v>285000</v>
      </c>
      <c r="AD74" s="4">
        <f t="shared" si="42"/>
        <v>285000</v>
      </c>
      <c r="AE74" s="35">
        <f t="shared" si="43"/>
        <v>3420000</v>
      </c>
      <c r="AF74" s="36">
        <f t="shared" si="44"/>
        <v>0.65968421052631576</v>
      </c>
      <c r="AH74" s="37"/>
      <c r="AI74" s="37"/>
      <c r="AJ74" s="37"/>
      <c r="AK74" s="37"/>
    </row>
    <row r="75" spans="1:37" ht="187" customHeight="1">
      <c r="A75" s="109" t="s">
        <v>367</v>
      </c>
      <c r="B75" s="63" t="s">
        <v>358</v>
      </c>
      <c r="C75" s="29" t="s">
        <v>368</v>
      </c>
      <c r="D75" s="29"/>
      <c r="E75" s="110" t="s">
        <v>369</v>
      </c>
      <c r="F75" s="29" t="s">
        <v>370</v>
      </c>
      <c r="G75" s="46"/>
      <c r="H75" s="46"/>
      <c r="I75" s="108"/>
      <c r="J75" s="105">
        <v>28500</v>
      </c>
      <c r="K75" s="4"/>
      <c r="L75" s="4">
        <f t="shared" si="47"/>
        <v>342000</v>
      </c>
      <c r="M75" s="56"/>
      <c r="N75" s="4"/>
      <c r="O75" s="56">
        <v>1000</v>
      </c>
      <c r="P75" s="2"/>
      <c r="Q75" s="2">
        <v>0</v>
      </c>
      <c r="R75" s="3">
        <f t="shared" si="32"/>
        <v>0</v>
      </c>
      <c r="S75" s="4">
        <f t="shared" si="46"/>
        <v>28500</v>
      </c>
      <c r="T75" s="4">
        <f t="shared" si="45"/>
        <v>28500</v>
      </c>
      <c r="U75" s="4">
        <f t="shared" si="33"/>
        <v>28500</v>
      </c>
      <c r="V75" s="4">
        <f t="shared" si="34"/>
        <v>28500</v>
      </c>
      <c r="W75" s="4">
        <f t="shared" si="35"/>
        <v>28500</v>
      </c>
      <c r="X75" s="4">
        <f t="shared" si="36"/>
        <v>28500</v>
      </c>
      <c r="Y75" s="4">
        <f t="shared" si="37"/>
        <v>28500</v>
      </c>
      <c r="Z75" s="4">
        <f t="shared" si="38"/>
        <v>28500</v>
      </c>
      <c r="AA75" s="4">
        <f t="shared" si="39"/>
        <v>28500</v>
      </c>
      <c r="AB75" s="4">
        <f t="shared" si="40"/>
        <v>28500</v>
      </c>
      <c r="AC75" s="4">
        <f t="shared" si="41"/>
        <v>28500</v>
      </c>
      <c r="AD75" s="4">
        <f t="shared" si="42"/>
        <v>28500</v>
      </c>
      <c r="AE75" s="35">
        <f t="shared" si="43"/>
        <v>342000</v>
      </c>
      <c r="AF75" s="36">
        <f t="shared" si="44"/>
        <v>0</v>
      </c>
      <c r="AH75" s="37"/>
      <c r="AI75" s="37"/>
      <c r="AJ75" s="37"/>
      <c r="AK75" s="37"/>
    </row>
    <row r="76" spans="1:37" ht="153.5" customHeight="1">
      <c r="A76" s="109" t="s">
        <v>371</v>
      </c>
      <c r="B76" s="63" t="s">
        <v>358</v>
      </c>
      <c r="C76" s="29" t="s">
        <v>372</v>
      </c>
      <c r="D76" s="29"/>
      <c r="E76" s="110" t="s">
        <v>373</v>
      </c>
      <c r="F76" s="29" t="s">
        <v>374</v>
      </c>
      <c r="G76" s="46"/>
      <c r="H76" s="46"/>
      <c r="I76" s="108"/>
      <c r="J76" s="105">
        <v>22500</v>
      </c>
      <c r="K76" s="4"/>
      <c r="L76" s="4">
        <f t="shared" si="47"/>
        <v>270000</v>
      </c>
      <c r="M76" s="56"/>
      <c r="N76" s="4"/>
      <c r="O76" s="56">
        <v>1000</v>
      </c>
      <c r="P76" s="2"/>
      <c r="Q76" s="2">
        <v>0</v>
      </c>
      <c r="R76" s="3">
        <f t="shared" si="32"/>
        <v>0</v>
      </c>
      <c r="S76" s="4">
        <f t="shared" si="46"/>
        <v>22500</v>
      </c>
      <c r="T76" s="4">
        <f t="shared" si="45"/>
        <v>22500</v>
      </c>
      <c r="U76" s="4">
        <f t="shared" si="33"/>
        <v>22500</v>
      </c>
      <c r="V76" s="4">
        <f t="shared" si="34"/>
        <v>22500</v>
      </c>
      <c r="W76" s="4">
        <f t="shared" si="35"/>
        <v>22500</v>
      </c>
      <c r="X76" s="4">
        <f t="shared" si="36"/>
        <v>22500</v>
      </c>
      <c r="Y76" s="4">
        <f t="shared" si="37"/>
        <v>22500</v>
      </c>
      <c r="Z76" s="4">
        <f t="shared" si="38"/>
        <v>22500</v>
      </c>
      <c r="AA76" s="4">
        <f t="shared" si="39"/>
        <v>22500</v>
      </c>
      <c r="AB76" s="4">
        <f t="shared" si="40"/>
        <v>22500</v>
      </c>
      <c r="AC76" s="4">
        <f t="shared" si="41"/>
        <v>22500</v>
      </c>
      <c r="AD76" s="4">
        <f t="shared" si="42"/>
        <v>22500</v>
      </c>
      <c r="AE76" s="35">
        <f t="shared" si="43"/>
        <v>270000</v>
      </c>
      <c r="AF76" s="36">
        <f t="shared" si="44"/>
        <v>0</v>
      </c>
      <c r="AH76" s="37"/>
      <c r="AI76" s="37"/>
      <c r="AJ76" s="37"/>
      <c r="AK76" s="37"/>
    </row>
    <row r="77" spans="1:37" ht="27" customHeight="1">
      <c r="A77" s="63" t="s">
        <v>375</v>
      </c>
      <c r="B77" s="63" t="s">
        <v>358</v>
      </c>
      <c r="C77" s="111" t="s">
        <v>376</v>
      </c>
      <c r="D77" s="112"/>
      <c r="E77" s="29"/>
      <c r="F77" s="29"/>
      <c r="G77" s="46"/>
      <c r="H77" s="46"/>
      <c r="I77" s="29"/>
      <c r="J77" s="4">
        <v>20000</v>
      </c>
      <c r="K77" s="4"/>
      <c r="L77" s="4">
        <f t="shared" si="47"/>
        <v>240000</v>
      </c>
      <c r="M77" s="56"/>
      <c r="N77" s="4"/>
      <c r="O77" s="56">
        <v>1000</v>
      </c>
      <c r="P77" s="2"/>
      <c r="Q77" s="2">
        <v>0</v>
      </c>
      <c r="R77" s="3">
        <f t="shared" si="32"/>
        <v>0</v>
      </c>
      <c r="S77" s="4">
        <f t="shared" si="46"/>
        <v>20000</v>
      </c>
      <c r="T77" s="4">
        <f t="shared" si="45"/>
        <v>20000</v>
      </c>
      <c r="U77" s="4">
        <f t="shared" si="33"/>
        <v>20000</v>
      </c>
      <c r="V77" s="4">
        <f t="shared" si="34"/>
        <v>20000</v>
      </c>
      <c r="W77" s="4">
        <f t="shared" si="35"/>
        <v>20000</v>
      </c>
      <c r="X77" s="4">
        <f t="shared" si="36"/>
        <v>20000</v>
      </c>
      <c r="Y77" s="4">
        <f t="shared" si="37"/>
        <v>20000</v>
      </c>
      <c r="Z77" s="4">
        <f t="shared" si="38"/>
        <v>20000</v>
      </c>
      <c r="AA77" s="4">
        <f t="shared" si="39"/>
        <v>20000</v>
      </c>
      <c r="AB77" s="4">
        <f t="shared" si="40"/>
        <v>20000</v>
      </c>
      <c r="AC77" s="4">
        <f t="shared" si="41"/>
        <v>20000</v>
      </c>
      <c r="AD77" s="4">
        <f t="shared" si="42"/>
        <v>20000</v>
      </c>
      <c r="AE77" s="35">
        <f t="shared" si="43"/>
        <v>240000</v>
      </c>
      <c r="AF77" s="36">
        <f t="shared" si="44"/>
        <v>0</v>
      </c>
      <c r="AH77" s="37"/>
      <c r="AI77" s="37"/>
      <c r="AJ77" s="37"/>
      <c r="AK77" s="37"/>
    </row>
    <row r="78" spans="1:37" ht="14.25" customHeight="1">
      <c r="A78" s="113" t="s">
        <v>377</v>
      </c>
      <c r="B78" s="63" t="s">
        <v>378</v>
      </c>
      <c r="C78" s="38" t="s">
        <v>379</v>
      </c>
      <c r="D78" s="38"/>
      <c r="E78" s="59" t="s">
        <v>380</v>
      </c>
      <c r="F78" s="59"/>
      <c r="G78" s="46"/>
      <c r="H78" s="46"/>
      <c r="I78" s="61"/>
      <c r="J78" s="4">
        <v>70000</v>
      </c>
      <c r="K78" s="4"/>
      <c r="L78" s="4">
        <f t="shared" si="47"/>
        <v>840000</v>
      </c>
      <c r="M78" s="56"/>
      <c r="N78" s="4"/>
      <c r="O78" s="56">
        <v>1000</v>
      </c>
      <c r="P78" s="78"/>
      <c r="Q78" s="2">
        <v>65812.92</v>
      </c>
      <c r="R78" s="3">
        <f t="shared" si="32"/>
        <v>65812.92</v>
      </c>
      <c r="S78" s="4">
        <f>J78-R78</f>
        <v>4187.0800000000017</v>
      </c>
      <c r="T78" s="4">
        <f t="shared" si="45"/>
        <v>70000</v>
      </c>
      <c r="U78" s="4">
        <f t="shared" si="33"/>
        <v>70000</v>
      </c>
      <c r="V78" s="4">
        <f t="shared" si="34"/>
        <v>70000</v>
      </c>
      <c r="W78" s="4">
        <f t="shared" si="35"/>
        <v>70000</v>
      </c>
      <c r="X78" s="4">
        <f t="shared" si="36"/>
        <v>70000</v>
      </c>
      <c r="Y78" s="4">
        <f t="shared" si="37"/>
        <v>70000</v>
      </c>
      <c r="Z78" s="4">
        <f t="shared" si="38"/>
        <v>70000</v>
      </c>
      <c r="AA78" s="4">
        <f t="shared" si="39"/>
        <v>70000</v>
      </c>
      <c r="AB78" s="4">
        <f t="shared" si="40"/>
        <v>70000</v>
      </c>
      <c r="AC78" s="4">
        <f t="shared" si="41"/>
        <v>70000</v>
      </c>
      <c r="AD78" s="4">
        <f t="shared" si="42"/>
        <v>70000</v>
      </c>
      <c r="AE78" s="35">
        <f t="shared" si="43"/>
        <v>774187.08000000007</v>
      </c>
      <c r="AF78" s="36">
        <f t="shared" si="44"/>
        <v>0.94018457142857137</v>
      </c>
      <c r="AH78" s="37"/>
      <c r="AI78" s="37"/>
      <c r="AJ78" s="37"/>
      <c r="AK78" s="37"/>
    </row>
    <row r="79" spans="1:37" ht="82.5" customHeight="1">
      <c r="A79" s="114" t="s">
        <v>381</v>
      </c>
      <c r="B79" s="69" t="s">
        <v>382</v>
      </c>
      <c r="C79" s="29" t="s">
        <v>383</v>
      </c>
      <c r="D79" s="115">
        <v>18284407000153</v>
      </c>
      <c r="E79" s="59" t="s">
        <v>384</v>
      </c>
      <c r="F79" s="51">
        <v>46441</v>
      </c>
      <c r="G79" s="46" t="str">
        <f t="shared" ref="G79:G91" ca="1" si="48">IF((F79-TODAY())&lt;0,"EXPIRADO", IF((F79-TODAY())&lt;=60,"EM BREVE","NO PRAZO"))</f>
        <v>NO PRAZO</v>
      </c>
      <c r="H79" s="46"/>
      <c r="I79" s="61" t="s">
        <v>385</v>
      </c>
      <c r="J79" s="4">
        <v>44033.82</v>
      </c>
      <c r="K79" s="4"/>
      <c r="L79" s="4">
        <f t="shared" si="47"/>
        <v>528405.84</v>
      </c>
      <c r="M79" s="56"/>
      <c r="N79" s="4"/>
      <c r="O79" s="56">
        <v>1000</v>
      </c>
      <c r="P79" s="78"/>
      <c r="Q79" s="2">
        <v>409978.42</v>
      </c>
      <c r="R79" s="3">
        <f t="shared" si="32"/>
        <v>409978.42</v>
      </c>
      <c r="S79" s="34"/>
      <c r="T79" s="34"/>
      <c r="U79" s="34"/>
      <c r="V79" s="34"/>
      <c r="W79" s="34"/>
      <c r="X79" s="34"/>
      <c r="Y79" s="34"/>
      <c r="Z79" s="34"/>
      <c r="AA79" s="34"/>
      <c r="AB79" s="4">
        <f>J79*10-R79</f>
        <v>30359.780000000028</v>
      </c>
      <c r="AC79" s="4">
        <f t="shared" si="41"/>
        <v>44033.82</v>
      </c>
      <c r="AD79" s="4">
        <f t="shared" si="42"/>
        <v>44033.82</v>
      </c>
      <c r="AE79" s="35">
        <f t="shared" si="43"/>
        <v>118427.42000000004</v>
      </c>
      <c r="AF79" s="36">
        <f t="shared" si="44"/>
        <v>9.310534947910492</v>
      </c>
      <c r="AH79" s="37"/>
      <c r="AI79" s="37"/>
      <c r="AJ79" s="37"/>
      <c r="AK79" s="37"/>
    </row>
    <row r="80" spans="1:37" ht="96" customHeight="1">
      <c r="A80" s="114" t="s">
        <v>386</v>
      </c>
      <c r="B80" s="69" t="s">
        <v>382</v>
      </c>
      <c r="C80" s="38" t="s">
        <v>387</v>
      </c>
      <c r="D80" s="115">
        <v>18284407000153</v>
      </c>
      <c r="E80" s="50" t="s">
        <v>388</v>
      </c>
      <c r="F80" s="51">
        <v>46734</v>
      </c>
      <c r="G80" s="46" t="str">
        <f t="shared" ca="1" si="48"/>
        <v>NO PRAZO</v>
      </c>
      <c r="H80" s="46"/>
      <c r="I80" s="61" t="s">
        <v>389</v>
      </c>
      <c r="J80" s="4">
        <v>280000</v>
      </c>
      <c r="K80" s="32"/>
      <c r="L80" s="32">
        <f t="shared" si="47"/>
        <v>3360000</v>
      </c>
      <c r="M80" s="185"/>
      <c r="N80" s="32"/>
      <c r="O80" s="56">
        <v>1000</v>
      </c>
      <c r="P80" s="39"/>
      <c r="Q80" s="39">
        <v>340922.73</v>
      </c>
      <c r="R80" s="3">
        <f t="shared" si="32"/>
        <v>340922.73</v>
      </c>
      <c r="S80" s="34"/>
      <c r="T80" s="4">
        <f>J80*2-R80</f>
        <v>219077.27000000002</v>
      </c>
      <c r="U80" s="4">
        <f>J80</f>
        <v>280000</v>
      </c>
      <c r="V80" s="4">
        <f>J80</f>
        <v>280000</v>
      </c>
      <c r="W80" s="4">
        <f>J80</f>
        <v>280000</v>
      </c>
      <c r="X80" s="4">
        <f>J80</f>
        <v>280000</v>
      </c>
      <c r="Y80" s="4">
        <f>J80</f>
        <v>280000</v>
      </c>
      <c r="Z80" s="4">
        <f>J80</f>
        <v>280000</v>
      </c>
      <c r="AA80" s="4">
        <f>J80</f>
        <v>280000</v>
      </c>
      <c r="AB80" s="4">
        <f>J80</f>
        <v>280000</v>
      </c>
      <c r="AC80" s="4">
        <f t="shared" si="41"/>
        <v>280000</v>
      </c>
      <c r="AD80" s="4">
        <f t="shared" si="42"/>
        <v>280000</v>
      </c>
      <c r="AE80" s="35">
        <f t="shared" si="43"/>
        <v>3019077.27</v>
      </c>
      <c r="AF80" s="36">
        <f t="shared" si="44"/>
        <v>1.2175811785714286</v>
      </c>
      <c r="AH80" s="37"/>
      <c r="AI80" s="37"/>
      <c r="AJ80" s="37"/>
      <c r="AK80" s="37"/>
    </row>
    <row r="81" spans="1:37" ht="96" customHeight="1">
      <c r="A81" s="113" t="s">
        <v>390</v>
      </c>
      <c r="B81" s="69" t="s">
        <v>382</v>
      </c>
      <c r="C81" s="38" t="s">
        <v>391</v>
      </c>
      <c r="D81" s="115" t="s">
        <v>392</v>
      </c>
      <c r="E81" s="50" t="s">
        <v>393</v>
      </c>
      <c r="F81" s="51">
        <v>46765</v>
      </c>
      <c r="G81" s="46" t="str">
        <f t="shared" ca="1" si="48"/>
        <v>NO PRAZO</v>
      </c>
      <c r="H81" s="46"/>
      <c r="I81" s="61" t="s">
        <v>394</v>
      </c>
      <c r="J81" s="4"/>
      <c r="K81" s="32"/>
      <c r="L81" s="32"/>
      <c r="M81" s="185"/>
      <c r="N81" s="32"/>
      <c r="O81" s="56">
        <v>1000</v>
      </c>
      <c r="P81" s="39"/>
      <c r="Q81" s="39"/>
      <c r="R81" s="3"/>
      <c r="S81" s="3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35"/>
      <c r="AF81" s="36"/>
      <c r="AH81" s="37"/>
      <c r="AI81" s="37"/>
      <c r="AJ81" s="37"/>
      <c r="AK81" s="37"/>
    </row>
    <row r="82" spans="1:37" ht="41.25" customHeight="1">
      <c r="A82" s="69" t="s">
        <v>395</v>
      </c>
      <c r="B82" s="69" t="s">
        <v>358</v>
      </c>
      <c r="C82" s="38" t="s">
        <v>396</v>
      </c>
      <c r="D82" s="38" t="s">
        <v>397</v>
      </c>
      <c r="E82" s="50" t="s">
        <v>398</v>
      </c>
      <c r="F82" s="51">
        <v>46327</v>
      </c>
      <c r="G82" s="46" t="str">
        <f t="shared" ca="1" si="48"/>
        <v>NO PRAZO</v>
      </c>
      <c r="H82" s="29"/>
      <c r="I82" s="52" t="s">
        <v>399</v>
      </c>
      <c r="J82" s="4">
        <v>17000</v>
      </c>
      <c r="K82" s="32"/>
      <c r="L82" s="32">
        <f>J82*12</f>
        <v>204000</v>
      </c>
      <c r="M82" s="185"/>
      <c r="N82" s="32"/>
      <c r="O82" s="56">
        <v>1000</v>
      </c>
      <c r="P82" s="2">
        <v>170000</v>
      </c>
      <c r="Q82" s="2">
        <v>0</v>
      </c>
      <c r="R82" s="3">
        <f t="shared" ref="R82:R91" si="49">SUM(P82:Q82)</f>
        <v>170000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48">
        <f>J82</f>
        <v>17000</v>
      </c>
      <c r="AD82" s="4">
        <f>J82</f>
        <v>17000</v>
      </c>
      <c r="AE82" s="35">
        <f t="shared" ref="AE82:AE89" si="50">SUM(S82:AD82)</f>
        <v>34000</v>
      </c>
      <c r="AF82" s="36">
        <f t="shared" ref="AF82:AF91" si="51">R82/(J82+K82)</f>
        <v>10</v>
      </c>
      <c r="AH82" s="37"/>
      <c r="AI82" s="37"/>
      <c r="AJ82" s="37"/>
      <c r="AK82" s="37"/>
    </row>
    <row r="83" spans="1:37" ht="27" customHeight="1">
      <c r="A83" s="63" t="s">
        <v>400</v>
      </c>
      <c r="B83" s="63" t="s">
        <v>358</v>
      </c>
      <c r="C83" s="29" t="s">
        <v>401</v>
      </c>
      <c r="D83" s="29" t="s">
        <v>402</v>
      </c>
      <c r="E83" s="59" t="s">
        <v>403</v>
      </c>
      <c r="F83" s="77">
        <v>45682</v>
      </c>
      <c r="G83" s="46" t="str">
        <f t="shared" ca="1" si="48"/>
        <v>EXPIRADO</v>
      </c>
      <c r="H83" s="70" t="s">
        <v>404</v>
      </c>
      <c r="I83" s="59" t="s">
        <v>405</v>
      </c>
      <c r="J83" s="4"/>
      <c r="K83" s="4"/>
      <c r="L83" s="4">
        <v>45000</v>
      </c>
      <c r="M83" s="56"/>
      <c r="N83" s="4"/>
      <c r="O83" s="56">
        <v>1000</v>
      </c>
      <c r="P83" s="2"/>
      <c r="Q83" s="2">
        <v>0</v>
      </c>
      <c r="R83" s="3">
        <f t="shared" si="49"/>
        <v>0</v>
      </c>
      <c r="S83" s="4">
        <f>K83</f>
        <v>0</v>
      </c>
      <c r="T83" s="4">
        <f>K83</f>
        <v>0</v>
      </c>
      <c r="U83" s="4">
        <f>K83</f>
        <v>0</v>
      </c>
      <c r="V83" s="4">
        <f>K83</f>
        <v>0</v>
      </c>
      <c r="W83" s="4">
        <f>K83</f>
        <v>0</v>
      </c>
      <c r="X83" s="4">
        <f>K83</f>
        <v>0</v>
      </c>
      <c r="Y83" s="4">
        <f>K83</f>
        <v>0</v>
      </c>
      <c r="Z83" s="4">
        <f>K83</f>
        <v>0</v>
      </c>
      <c r="AA83" s="4">
        <f>K83</f>
        <v>0</v>
      </c>
      <c r="AB83" s="4">
        <f>K83</f>
        <v>0</v>
      </c>
      <c r="AC83" s="4">
        <f>K83</f>
        <v>0</v>
      </c>
      <c r="AD83" s="4">
        <f>K83</f>
        <v>0</v>
      </c>
      <c r="AE83" s="35">
        <f t="shared" si="50"/>
        <v>0</v>
      </c>
      <c r="AF83" s="36" t="e">
        <f t="shared" si="51"/>
        <v>#DIV/0!</v>
      </c>
      <c r="AH83" s="37"/>
      <c r="AI83" s="37"/>
      <c r="AJ83" s="37"/>
      <c r="AK83" s="37"/>
    </row>
    <row r="84" spans="1:37" ht="27" customHeight="1">
      <c r="A84" s="116" t="s">
        <v>406</v>
      </c>
      <c r="B84" s="63" t="s">
        <v>358</v>
      </c>
      <c r="C84" s="54" t="s">
        <v>407</v>
      </c>
      <c r="D84" s="117">
        <v>27072369000166</v>
      </c>
      <c r="E84" s="59" t="s">
        <v>408</v>
      </c>
      <c r="F84" s="77">
        <v>46331</v>
      </c>
      <c r="G84" s="46" t="str">
        <f t="shared" ca="1" si="48"/>
        <v>NO PRAZO</v>
      </c>
      <c r="H84" s="46"/>
      <c r="I84" s="61" t="s">
        <v>409</v>
      </c>
      <c r="J84" s="4"/>
      <c r="K84" s="4">
        <f>L84/12</f>
        <v>5901.2750000000005</v>
      </c>
      <c r="L84" s="4">
        <v>70815.3</v>
      </c>
      <c r="M84" s="56"/>
      <c r="N84" s="4"/>
      <c r="O84" s="56">
        <v>1000</v>
      </c>
      <c r="P84" s="2">
        <v>53111.48</v>
      </c>
      <c r="Q84" s="2">
        <v>5999.2</v>
      </c>
      <c r="R84" s="3">
        <f t="shared" si="49"/>
        <v>59110.68</v>
      </c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48">
        <f>K84</f>
        <v>5901.2750000000005</v>
      </c>
      <c r="AD84" s="4">
        <f>K84</f>
        <v>5901.2750000000005</v>
      </c>
      <c r="AE84" s="35">
        <f t="shared" si="50"/>
        <v>11802.550000000001</v>
      </c>
      <c r="AF84" s="36">
        <f t="shared" si="51"/>
        <v>10.016594718937856</v>
      </c>
      <c r="AH84" s="37"/>
      <c r="AI84" s="37"/>
      <c r="AJ84" s="37"/>
      <c r="AK84" s="37"/>
    </row>
    <row r="85" spans="1:37" ht="39" customHeight="1">
      <c r="A85" s="53" t="s">
        <v>410</v>
      </c>
      <c r="B85" s="63" t="s">
        <v>358</v>
      </c>
      <c r="C85" s="29" t="s">
        <v>23</v>
      </c>
      <c r="D85" s="57"/>
      <c r="E85" s="59" t="s">
        <v>411</v>
      </c>
      <c r="F85" s="45"/>
      <c r="G85" s="46" t="str">
        <f t="shared" ca="1" si="48"/>
        <v>EXPIRADO</v>
      </c>
      <c r="H85" s="29"/>
      <c r="I85" s="118" t="s">
        <v>412</v>
      </c>
      <c r="J85" s="4"/>
      <c r="K85" s="4"/>
      <c r="L85" s="4">
        <v>561085.01</v>
      </c>
      <c r="M85" s="56"/>
      <c r="N85" s="4"/>
      <c r="O85" s="56">
        <v>1000</v>
      </c>
      <c r="P85" s="2"/>
      <c r="Q85" s="2"/>
      <c r="R85" s="3">
        <f t="shared" si="49"/>
        <v>0</v>
      </c>
      <c r="S85" s="4">
        <f>J85</f>
        <v>0</v>
      </c>
      <c r="T85" s="4">
        <f>J85</f>
        <v>0</v>
      </c>
      <c r="U85" s="4">
        <f>J85</f>
        <v>0</v>
      </c>
      <c r="V85" s="4">
        <f>J85</f>
        <v>0</v>
      </c>
      <c r="W85" s="4">
        <f>J85</f>
        <v>0</v>
      </c>
      <c r="X85" s="4">
        <f>J85</f>
        <v>0</v>
      </c>
      <c r="Y85" s="4">
        <f>J85</f>
        <v>0</v>
      </c>
      <c r="Z85" s="4">
        <f>J85</f>
        <v>0</v>
      </c>
      <c r="AA85" s="4">
        <f>J85</f>
        <v>0</v>
      </c>
      <c r="AB85" s="4">
        <f>J85</f>
        <v>0</v>
      </c>
      <c r="AC85" s="4">
        <f>J85</f>
        <v>0</v>
      </c>
      <c r="AD85" s="4">
        <f>J85</f>
        <v>0</v>
      </c>
      <c r="AE85" s="35">
        <f t="shared" si="50"/>
        <v>0</v>
      </c>
      <c r="AF85" s="36" t="e">
        <f t="shared" si="51"/>
        <v>#DIV/0!</v>
      </c>
      <c r="AH85" s="37"/>
      <c r="AI85" s="37"/>
      <c r="AJ85" s="37"/>
    </row>
    <row r="86" spans="1:37" ht="35.25" customHeight="1">
      <c r="A86" s="119" t="s">
        <v>413</v>
      </c>
      <c r="B86" s="119" t="s">
        <v>414</v>
      </c>
      <c r="C86" s="29" t="s">
        <v>415</v>
      </c>
      <c r="D86" s="38" t="s">
        <v>416</v>
      </c>
      <c r="E86" s="120" t="s">
        <v>417</v>
      </c>
      <c r="F86" s="45">
        <v>46792</v>
      </c>
      <c r="G86" s="46" t="str">
        <f t="shared" ca="1" si="48"/>
        <v>NO PRAZO</v>
      </c>
      <c r="H86" s="46"/>
      <c r="I86" s="121" t="s">
        <v>418</v>
      </c>
      <c r="J86" s="4">
        <v>3000</v>
      </c>
      <c r="K86" s="4"/>
      <c r="L86" s="4">
        <f t="shared" ref="L86:L91" si="52">J86*12</f>
        <v>36000</v>
      </c>
      <c r="M86" s="56"/>
      <c r="N86" s="4"/>
      <c r="O86" s="56">
        <v>1000</v>
      </c>
      <c r="P86" s="2">
        <v>26999.64</v>
      </c>
      <c r="Q86" s="2">
        <v>8157</v>
      </c>
      <c r="R86" s="3">
        <f t="shared" si="49"/>
        <v>35156.639999999999</v>
      </c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5">
        <f t="shared" si="50"/>
        <v>0</v>
      </c>
      <c r="AF86" s="36">
        <f t="shared" si="51"/>
        <v>11.71888</v>
      </c>
      <c r="AH86" s="37"/>
      <c r="AI86" s="37"/>
      <c r="AJ86" s="37"/>
      <c r="AK86" s="37"/>
    </row>
    <row r="87" spans="1:37" ht="33.75" customHeight="1">
      <c r="A87" s="119" t="s">
        <v>419</v>
      </c>
      <c r="B87" s="119" t="s">
        <v>414</v>
      </c>
      <c r="C87" s="38" t="s">
        <v>420</v>
      </c>
      <c r="D87" s="38"/>
      <c r="E87" s="29" t="s">
        <v>421</v>
      </c>
      <c r="F87" s="45">
        <v>46001</v>
      </c>
      <c r="G87" s="46" t="str">
        <f t="shared" ca="1" si="48"/>
        <v>EXPIRADO</v>
      </c>
      <c r="H87" s="70" t="s">
        <v>422</v>
      </c>
      <c r="I87" s="29" t="s">
        <v>423</v>
      </c>
      <c r="J87" s="4">
        <v>2000</v>
      </c>
      <c r="K87" s="4"/>
      <c r="L87" s="4">
        <f t="shared" si="52"/>
        <v>24000</v>
      </c>
      <c r="M87" s="56" t="s">
        <v>424</v>
      </c>
      <c r="N87" s="4">
        <v>23000</v>
      </c>
      <c r="O87" s="56">
        <v>1000</v>
      </c>
      <c r="P87" s="89"/>
      <c r="Q87" s="2">
        <v>1000</v>
      </c>
      <c r="R87" s="3">
        <f t="shared" si="49"/>
        <v>1000</v>
      </c>
      <c r="S87" s="4">
        <v>1000</v>
      </c>
      <c r="T87" s="4">
        <f>J87</f>
        <v>2000</v>
      </c>
      <c r="U87" s="4">
        <f>J87</f>
        <v>2000</v>
      </c>
      <c r="V87" s="4">
        <f>J87</f>
        <v>2000</v>
      </c>
      <c r="W87" s="4">
        <f>J87</f>
        <v>2000</v>
      </c>
      <c r="X87" s="4">
        <f>J87</f>
        <v>2000</v>
      </c>
      <c r="Y87" s="4">
        <f>J87</f>
        <v>2000</v>
      </c>
      <c r="Z87" s="4">
        <f>J87</f>
        <v>2000</v>
      </c>
      <c r="AA87" s="4">
        <f>J87</f>
        <v>2000</v>
      </c>
      <c r="AB87" s="4">
        <f>J87</f>
        <v>2000</v>
      </c>
      <c r="AC87" s="4">
        <f>J87</f>
        <v>2000</v>
      </c>
      <c r="AD87" s="4">
        <f>J87</f>
        <v>2000</v>
      </c>
      <c r="AE87" s="35">
        <f t="shared" si="50"/>
        <v>23000</v>
      </c>
      <c r="AF87" s="36">
        <f t="shared" si="51"/>
        <v>0.5</v>
      </c>
      <c r="AH87" s="37"/>
      <c r="AI87" s="37"/>
      <c r="AJ87" s="37"/>
      <c r="AK87" s="37"/>
    </row>
    <row r="88" spans="1:37" ht="69" customHeight="1">
      <c r="A88" s="69" t="s">
        <v>425</v>
      </c>
      <c r="B88" s="63" t="s">
        <v>426</v>
      </c>
      <c r="C88" s="38" t="s">
        <v>427</v>
      </c>
      <c r="D88" s="29" t="s">
        <v>428</v>
      </c>
      <c r="E88" s="59" t="s">
        <v>429</v>
      </c>
      <c r="F88" s="51">
        <v>45638</v>
      </c>
      <c r="G88" s="46" t="str">
        <f t="shared" ca="1" si="48"/>
        <v>EXPIRADO</v>
      </c>
      <c r="H88" s="70" t="s">
        <v>430</v>
      </c>
      <c r="I88" s="61" t="s">
        <v>431</v>
      </c>
      <c r="J88" s="4">
        <v>33000</v>
      </c>
      <c r="K88" s="4"/>
      <c r="L88" s="4">
        <f t="shared" si="52"/>
        <v>396000</v>
      </c>
      <c r="M88" s="56"/>
      <c r="N88" s="4"/>
      <c r="O88" s="56">
        <v>1000</v>
      </c>
      <c r="P88" s="4"/>
      <c r="Q88" s="2">
        <v>4308.4799999999996</v>
      </c>
      <c r="R88" s="3">
        <f t="shared" si="49"/>
        <v>4308.4799999999996</v>
      </c>
      <c r="S88" s="4">
        <f>J88-R88</f>
        <v>28691.52</v>
      </c>
      <c r="T88" s="4">
        <f>J88</f>
        <v>33000</v>
      </c>
      <c r="U88" s="4">
        <f>J88</f>
        <v>33000</v>
      </c>
      <c r="V88" s="4">
        <f>J88</f>
        <v>33000</v>
      </c>
      <c r="W88" s="4">
        <f>J88</f>
        <v>33000</v>
      </c>
      <c r="X88" s="4">
        <f>J88</f>
        <v>33000</v>
      </c>
      <c r="Y88" s="4">
        <f>J88</f>
        <v>33000</v>
      </c>
      <c r="Z88" s="4">
        <f>J88</f>
        <v>33000</v>
      </c>
      <c r="AA88" s="4">
        <f>J88</f>
        <v>33000</v>
      </c>
      <c r="AB88" s="4">
        <f>J88</f>
        <v>33000</v>
      </c>
      <c r="AC88" s="4">
        <f>J88</f>
        <v>33000</v>
      </c>
      <c r="AD88" s="4">
        <f>J88</f>
        <v>33000</v>
      </c>
      <c r="AE88" s="35">
        <f t="shared" si="50"/>
        <v>391691.52000000002</v>
      </c>
      <c r="AF88" s="36">
        <f t="shared" si="51"/>
        <v>0.13055999999999998</v>
      </c>
      <c r="AH88" s="37"/>
      <c r="AI88" s="37"/>
      <c r="AJ88" s="37"/>
      <c r="AK88" s="37"/>
    </row>
    <row r="89" spans="1:37" ht="56.25" customHeight="1">
      <c r="A89" s="63" t="s">
        <v>432</v>
      </c>
      <c r="B89" s="63" t="s">
        <v>426</v>
      </c>
      <c r="C89" s="38" t="s">
        <v>427</v>
      </c>
      <c r="D89" s="38" t="s">
        <v>433</v>
      </c>
      <c r="E89" s="29" t="s">
        <v>434</v>
      </c>
      <c r="F89" s="51">
        <v>46311</v>
      </c>
      <c r="G89" s="46" t="str">
        <f t="shared" ca="1" si="48"/>
        <v>NO PRAZO</v>
      </c>
      <c r="H89" s="29"/>
      <c r="I89" s="122" t="s">
        <v>435</v>
      </c>
      <c r="J89" s="32">
        <v>10500</v>
      </c>
      <c r="K89" s="32"/>
      <c r="L89" s="32">
        <f t="shared" si="52"/>
        <v>126000</v>
      </c>
      <c r="M89" s="185"/>
      <c r="N89" s="32"/>
      <c r="O89" s="56">
        <v>1000</v>
      </c>
      <c r="P89" s="68"/>
      <c r="Q89" s="39">
        <v>4486.28</v>
      </c>
      <c r="R89" s="3">
        <f t="shared" si="49"/>
        <v>4486.28</v>
      </c>
      <c r="S89" s="4">
        <f>J89-R89</f>
        <v>6013.72</v>
      </c>
      <c r="T89" s="4">
        <f>J89</f>
        <v>10500</v>
      </c>
      <c r="U89" s="4">
        <f>J89</f>
        <v>10500</v>
      </c>
      <c r="V89" s="4">
        <f>J89</f>
        <v>10500</v>
      </c>
      <c r="W89" s="4">
        <f>J89</f>
        <v>10500</v>
      </c>
      <c r="X89" s="4">
        <f>J89</f>
        <v>10500</v>
      </c>
      <c r="Y89" s="4">
        <f>J89</f>
        <v>10500</v>
      </c>
      <c r="Z89" s="4">
        <f>J89</f>
        <v>10500</v>
      </c>
      <c r="AA89" s="4">
        <f>J89</f>
        <v>10500</v>
      </c>
      <c r="AB89" s="48">
        <f>J89</f>
        <v>10500</v>
      </c>
      <c r="AC89" s="4">
        <f>J89</f>
        <v>10500</v>
      </c>
      <c r="AD89" s="4">
        <f>J89</f>
        <v>10500</v>
      </c>
      <c r="AE89" s="35">
        <f t="shared" si="50"/>
        <v>121513.72</v>
      </c>
      <c r="AF89" s="36">
        <f t="shared" si="51"/>
        <v>0.42726476190476187</v>
      </c>
      <c r="AH89" s="37"/>
      <c r="AI89" s="37"/>
      <c r="AJ89" s="37"/>
      <c r="AK89" s="37"/>
    </row>
    <row r="90" spans="1:37" ht="27" customHeight="1">
      <c r="A90" s="63" t="s">
        <v>436</v>
      </c>
      <c r="B90" s="63" t="s">
        <v>426</v>
      </c>
      <c r="C90" s="38" t="s">
        <v>437</v>
      </c>
      <c r="D90" s="43" t="s">
        <v>438</v>
      </c>
      <c r="E90" s="29" t="s">
        <v>439</v>
      </c>
      <c r="F90" s="51">
        <v>46136</v>
      </c>
      <c r="G90" s="46" t="str">
        <f t="shared" ca="1" si="48"/>
        <v>NO PRAZO</v>
      </c>
      <c r="H90" s="46"/>
      <c r="I90" s="123" t="s">
        <v>440</v>
      </c>
      <c r="J90" s="32">
        <v>500</v>
      </c>
      <c r="K90" s="32"/>
      <c r="L90" s="32">
        <f t="shared" si="52"/>
        <v>6000</v>
      </c>
      <c r="M90" s="185"/>
      <c r="N90" s="32"/>
      <c r="O90" s="56">
        <v>1000</v>
      </c>
      <c r="P90" s="2"/>
      <c r="Q90" s="2">
        <v>9675</v>
      </c>
      <c r="R90" s="3">
        <f t="shared" si="49"/>
        <v>9675</v>
      </c>
      <c r="S90" s="34"/>
      <c r="T90" s="34"/>
      <c r="U90" s="34"/>
      <c r="V90" s="48"/>
      <c r="W90" s="34"/>
      <c r="X90" s="34"/>
      <c r="Y90" s="34"/>
      <c r="Z90" s="34"/>
      <c r="AA90" s="34"/>
      <c r="AB90" s="34"/>
      <c r="AC90" s="34"/>
      <c r="AD90" s="34"/>
      <c r="AE90" s="34"/>
      <c r="AF90" s="36">
        <f t="shared" si="51"/>
        <v>19.350000000000001</v>
      </c>
      <c r="AH90" s="37"/>
      <c r="AI90" s="37"/>
      <c r="AJ90" s="37"/>
      <c r="AK90" s="37"/>
    </row>
    <row r="91" spans="1:37" ht="54.75" customHeight="1">
      <c r="A91" s="53" t="s">
        <v>441</v>
      </c>
      <c r="B91" s="28" t="s">
        <v>442</v>
      </c>
      <c r="C91" s="38" t="s">
        <v>443</v>
      </c>
      <c r="D91" s="57" t="s">
        <v>444</v>
      </c>
      <c r="E91" s="50" t="s">
        <v>445</v>
      </c>
      <c r="F91" s="51">
        <v>46268</v>
      </c>
      <c r="G91" s="46" t="str">
        <f t="shared" ca="1" si="48"/>
        <v>NO PRAZO</v>
      </c>
      <c r="H91" s="29"/>
      <c r="I91" s="52" t="s">
        <v>446</v>
      </c>
      <c r="J91" s="32">
        <f>62000*104.4%</f>
        <v>64728</v>
      </c>
      <c r="K91" s="32"/>
      <c r="L91" s="32">
        <f t="shared" si="52"/>
        <v>776736</v>
      </c>
      <c r="M91" s="185"/>
      <c r="N91" s="32"/>
      <c r="O91" s="56">
        <v>1000</v>
      </c>
      <c r="P91" s="2"/>
      <c r="Q91" s="2">
        <v>40015.43</v>
      </c>
      <c r="R91" s="3">
        <f t="shared" si="49"/>
        <v>40015.43</v>
      </c>
      <c r="S91" s="4">
        <f>J91-R91</f>
        <v>24712.57</v>
      </c>
      <c r="T91" s="4">
        <f>J91</f>
        <v>64728</v>
      </c>
      <c r="U91" s="4">
        <f>J91</f>
        <v>64728</v>
      </c>
      <c r="V91" s="4">
        <f>J91</f>
        <v>64728</v>
      </c>
      <c r="W91" s="4">
        <f>J91</f>
        <v>64728</v>
      </c>
      <c r="X91" s="4">
        <f>J91</f>
        <v>64728</v>
      </c>
      <c r="Y91" s="4">
        <f>J91</f>
        <v>64728</v>
      </c>
      <c r="Z91" s="4">
        <f>J91</f>
        <v>64728</v>
      </c>
      <c r="AA91" s="48">
        <f>J91</f>
        <v>64728</v>
      </c>
      <c r="AB91" s="4">
        <f>J91</f>
        <v>64728</v>
      </c>
      <c r="AC91" s="4">
        <f>J91</f>
        <v>64728</v>
      </c>
      <c r="AD91" s="4">
        <f>J91</f>
        <v>64728</v>
      </c>
      <c r="AE91" s="35">
        <f>SUM(S91:AD91)</f>
        <v>736720.57000000007</v>
      </c>
      <c r="AF91" s="36">
        <f t="shared" si="51"/>
        <v>0.6182089667531826</v>
      </c>
      <c r="AH91" s="37"/>
      <c r="AI91" s="37"/>
      <c r="AJ91" s="37"/>
      <c r="AK91" s="37"/>
    </row>
    <row r="92" spans="1:37" ht="14.25" customHeight="1">
      <c r="A92" s="124"/>
      <c r="B92" s="124"/>
      <c r="C92" s="124"/>
      <c r="D92" s="124"/>
      <c r="E92" s="125"/>
      <c r="F92" s="124"/>
      <c r="G92" s="124"/>
      <c r="H92" s="124"/>
      <c r="I92" s="124"/>
      <c r="J92" s="126"/>
      <c r="K92" s="127"/>
      <c r="L92" s="126"/>
      <c r="M92" s="125"/>
      <c r="N92" s="126"/>
      <c r="O92" s="125"/>
      <c r="P92" s="126"/>
      <c r="Q92" s="124"/>
      <c r="R92" s="128"/>
      <c r="Y92" s="129"/>
      <c r="AE92" s="130"/>
      <c r="AF92" s="9"/>
      <c r="AH92" s="37"/>
      <c r="AI92" s="96"/>
      <c r="AJ92" s="37"/>
      <c r="AK92" s="37"/>
    </row>
    <row r="93" spans="1:37" ht="14.25" customHeight="1">
      <c r="A93" s="131" t="s">
        <v>447</v>
      </c>
      <c r="B93" s="131"/>
      <c r="C93" s="131"/>
      <c r="D93" s="131"/>
      <c r="E93" s="132"/>
      <c r="F93" s="131"/>
      <c r="G93" s="131"/>
      <c r="H93" s="131"/>
      <c r="I93" s="131"/>
      <c r="J93" s="133">
        <f>SUM(J4:J91)</f>
        <v>12117900.164166667</v>
      </c>
      <c r="K93" s="134">
        <f>SUM(K4:K91)</f>
        <v>7456970.6359999999</v>
      </c>
      <c r="L93" s="133">
        <f>SUM(L4:L91)</f>
        <v>243616264.49199998</v>
      </c>
      <c r="M93" s="187"/>
      <c r="N93" s="133"/>
      <c r="O93" s="187"/>
      <c r="P93" s="133">
        <f t="shared" ref="P93:AE93" si="53">SUM(P4:P91)</f>
        <v>3258686.5</v>
      </c>
      <c r="Q93" s="133">
        <f t="shared" si="53"/>
        <v>25050862.050000008</v>
      </c>
      <c r="R93" s="133">
        <f t="shared" si="53"/>
        <v>28309548.550000004</v>
      </c>
      <c r="S93" s="133">
        <f t="shared" si="53"/>
        <v>8509456.2125000022</v>
      </c>
      <c r="T93" s="133">
        <f t="shared" si="53"/>
        <v>13269379.113499999</v>
      </c>
      <c r="U93" s="133">
        <f t="shared" si="53"/>
        <v>14791692.903500002</v>
      </c>
      <c r="V93" s="133">
        <f t="shared" si="53"/>
        <v>14989309.64016667</v>
      </c>
      <c r="W93" s="133">
        <f t="shared" si="53"/>
        <v>17316051.740166668</v>
      </c>
      <c r="X93" s="133">
        <f t="shared" si="53"/>
        <v>17122302.670166668</v>
      </c>
      <c r="Y93" s="133">
        <f t="shared" si="53"/>
        <v>18738855.220166668</v>
      </c>
      <c r="Z93" s="133">
        <f t="shared" si="53"/>
        <v>18949433.330166668</v>
      </c>
      <c r="AA93" s="133">
        <f t="shared" si="53"/>
        <v>18916772.330166668</v>
      </c>
      <c r="AB93" s="133">
        <f t="shared" si="53"/>
        <v>19497459.580166668</v>
      </c>
      <c r="AC93" s="133">
        <f t="shared" si="53"/>
        <v>19540622.895166665</v>
      </c>
      <c r="AD93" s="133">
        <f t="shared" si="53"/>
        <v>19540622.895166665</v>
      </c>
      <c r="AE93" s="133">
        <f t="shared" si="53"/>
        <v>201666160.68100002</v>
      </c>
      <c r="AF93" s="135"/>
      <c r="AG93" s="135"/>
      <c r="AH93" s="135"/>
      <c r="AI93" s="135"/>
      <c r="AJ93" s="37"/>
      <c r="AK93" s="37"/>
    </row>
    <row r="94" spans="1:37" ht="14.25" customHeight="1">
      <c r="AF94" s="9"/>
    </row>
    <row r="95" spans="1:37" ht="14.25" customHeight="1">
      <c r="R95" s="179">
        <f>R93-R66</f>
        <v>25219785.550000004</v>
      </c>
      <c r="AF95" s="9"/>
      <c r="AJ95" s="13"/>
      <c r="AK95" s="13"/>
    </row>
    <row r="96" spans="1:37" ht="15" customHeight="1">
      <c r="AE96" s="11">
        <f>AE93*1.05</f>
        <v>211749468.71505004</v>
      </c>
    </row>
  </sheetData>
  <autoFilter ref="A3:R91" xr:uid="{00000000-0009-0000-0000-000000000000}"/>
  <mergeCells count="4">
    <mergeCell ref="J60:J61"/>
    <mergeCell ref="R60:R61"/>
    <mergeCell ref="AG60:AG61"/>
    <mergeCell ref="AH60:AH61"/>
  </mergeCells>
  <conditionalFormatting sqref="G13:H91">
    <cfRule type="cellIs" dxfId="11" priority="1" operator="equal">
      <formula>"EXPIRADO"</formula>
    </cfRule>
    <cfRule type="cellIs" dxfId="10" priority="2" operator="equal">
      <formula>"NO PRAZO"</formula>
    </cfRule>
    <cfRule type="cellIs" dxfId="9" priority="3" operator="equal">
      <formula>"EM BREVE"</formula>
    </cfRule>
    <cfRule type="cellIs" dxfId="8" priority="4" operator="equal">
      <formula>0</formula>
    </cfRule>
  </conditionalFormatting>
  <conditionalFormatting sqref="I66">
    <cfRule type="cellIs" dxfId="7" priority="5" operator="equal">
      <formula>"EXPIRADO"</formula>
    </cfRule>
    <cfRule type="cellIs" dxfId="6" priority="6" operator="equal">
      <formula>"NO PRAZO"</formula>
    </cfRule>
    <cfRule type="cellIs" dxfId="5" priority="7" operator="equal">
      <formula>"EM BREVE"</formula>
    </cfRule>
    <cfRule type="cellIs" dxfId="4" priority="8" operator="equal">
      <formula>0</formula>
    </cfRule>
  </conditionalFormatting>
  <conditionalFormatting sqref="I49">
    <cfRule type="cellIs" dxfId="3" priority="9" operator="equal">
      <formula>"EXPIRADO"</formula>
    </cfRule>
    <cfRule type="cellIs" dxfId="2" priority="10" operator="equal">
      <formula>"NO PRAZO"</formula>
    </cfRule>
    <cfRule type="cellIs" dxfId="1" priority="11" operator="equal">
      <formula>"EM BREVE"</formula>
    </cfRule>
    <cfRule type="cellIs" dxfId="0" priority="12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Base</vt:lpstr>
      <vt:lpstr>Prog. 26.01.26</vt:lpstr>
      <vt:lpstr>Prog-06.01</vt:lpstr>
      <vt:lpstr>PIs</vt:lpstr>
      <vt:lpstr>Bolsas</vt:lpstr>
      <vt:lpstr>DRU 25</vt:lpstr>
      <vt:lpstr>Ressarc DAC 26</vt:lpstr>
      <vt:lpstr>CEMP</vt:lpstr>
      <vt:lpstr>CEMP!_xlcn.WorksheetConnection_II.SituaçãoAtualA2AA90</vt:lpstr>
      <vt:lpstr>'Prog-06.01'!_xlcn.WorksheetConnection_II.SituaçãoAtualA2AA90</vt:lpstr>
      <vt:lpstr>'Prog. 26.01.26'!_xlcn.WorksheetConnection_II.SituaçãoAtualA2AA90</vt:lpstr>
      <vt:lpstr>_xlcn.WorksheetConnection_II.SituaçãoAtualA2AA90</vt:lpstr>
      <vt:lpstr>CEMP!_xlcn.WorksheetConnection_II.SituaçãoAtualA2AA93</vt:lpstr>
      <vt:lpstr>'Prog-06.01'!_xlcn.WorksheetConnection_II.SituaçãoAtualA2AA93</vt:lpstr>
      <vt:lpstr>'Prog. 26.01.26'!_xlcn.WorksheetConnection_II.SituaçãoAtualA2AA93</vt:lpstr>
      <vt:lpstr>_xlcn.WorksheetConnection_II.SituaçãoAtualA2AA93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02629381625</dc:creator>
  <cp:keywords/>
  <dc:description/>
  <cp:lastModifiedBy>Microsoft Office User</cp:lastModifiedBy>
  <cp:revision>984</cp:revision>
  <dcterms:created xsi:type="dcterms:W3CDTF">2016-01-04T13:55:05Z</dcterms:created>
  <dcterms:modified xsi:type="dcterms:W3CDTF">2026-02-03T12:41:28Z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