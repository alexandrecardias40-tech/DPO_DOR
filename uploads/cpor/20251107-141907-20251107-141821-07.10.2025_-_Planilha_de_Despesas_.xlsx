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iente/Downloads/Projeto DOR/"/>
    </mc:Choice>
  </mc:AlternateContent>
  <xr:revisionPtr revIDLastSave="0" documentId="13_ncr:1_{1DEE6E0E-6A73-E14F-A2B8-57818566D65F}" xr6:coauthVersionLast="40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I. Situação Atual" sheetId="1" r:id="rId1"/>
    <sheet name="Prog 03.06" sheetId="7" state="hidden" r:id="rId2"/>
    <sheet name="Prog 07.04" sheetId="9" state="hidden" r:id="rId3"/>
    <sheet name="Prog-17.03 PRC" sheetId="10" state="hidden" r:id="rId4"/>
  </sheets>
  <externalReferences>
    <externalReference r:id="rId5"/>
  </externalReferences>
  <definedNames>
    <definedName name="_xlnm._FilterDatabase" localSheetId="0" hidden="1">'I. Situação Atual'!$A$1:$O$89</definedName>
    <definedName name="_xlnm._FilterDatabase" localSheetId="1" hidden="1">'Prog 03.06'!$A$3:$F$38</definedName>
    <definedName name="_xlnm._FilterDatabase" localSheetId="2" hidden="1">'Prog 07.04'!$A$3:$P$25</definedName>
    <definedName name="_xlnm._FilterDatabase" localSheetId="3" hidden="1">'Prog-17.03 PRC'!$B$3:$G$6</definedName>
    <definedName name="_xlcn.WorksheetConnection_II.SituaçãoAtualA2AA90" localSheetId="1">'Prog 03.06'!$A$3:$F$38</definedName>
    <definedName name="_xlcn.WorksheetConnection_II.SituaçãoAtualA2AA90" localSheetId="2">'Prog 07.04'!$A$3:$P$25</definedName>
    <definedName name="_xlcn.WorksheetConnection_II.SituaçãoAtualA2AA90" localSheetId="3">'Prog-17.03 PRC'!$B$3:$G$6</definedName>
    <definedName name="_xlcn.WorksheetConnection_II.SituaçãoAtualA2AA90">'I. Situação Atual'!$A$1:$O$89</definedName>
    <definedName name="_xlcn.WorksheetConnection_II.SituaçãoAtualA2AA93" localSheetId="1">'Prog 03.06'!$A$3:$F$38</definedName>
    <definedName name="_xlcn.WorksheetConnection_II.SituaçãoAtualA2AA93" localSheetId="2">'Prog 07.04'!$A$3:$P$25</definedName>
    <definedName name="_xlcn.WorksheetConnection_II.SituaçãoAtualA2AA93" localSheetId="3">'Prog-17.03 PRC'!$B$3:$G$6</definedName>
    <definedName name="_xlcn.WorksheetConnection_II.SituaçãoAtualA2AA93">'I. Situação Atual'!$A$1:$O$89</definedName>
    <definedName name="Área_impressão_IM">[1]FLUXO98!$A$1:$N$68</definedName>
    <definedName name="PRINT_AREA_MI">[1]FLUXO98!$A$1:$N$69</definedName>
    <definedName name="SegmentaçãodeDados_Classificação">#N/A</definedName>
    <definedName name="SegmentaçãodeDados_Classificação1">#N/A</definedName>
    <definedName name="SegmentaçãodeDados_Descrição_das_despesas">#N/A</definedName>
    <definedName name="SegmentaçãodeDados_Descrição_das_despesas1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2" i="1" l="1"/>
  <c r="L71" i="1"/>
  <c r="M7" i="10"/>
  <c r="J7" i="10"/>
  <c r="I7" i="10"/>
  <c r="H7" i="10"/>
  <c r="N6" i="10"/>
  <c r="N7" i="10" s="1"/>
  <c r="K6" i="10"/>
  <c r="AB45" i="9"/>
  <c r="AA45" i="9"/>
  <c r="Z45" i="9"/>
  <c r="AE45" i="9" s="1"/>
  <c r="Y45" i="9"/>
  <c r="X45" i="9"/>
  <c r="W45" i="9"/>
  <c r="V45" i="9"/>
  <c r="U45" i="9"/>
  <c r="AC45" i="9" s="1"/>
  <c r="P45" i="9"/>
  <c r="K45" i="9"/>
  <c r="AH45" i="9" s="1"/>
  <c r="H45" i="9"/>
  <c r="T44" i="9"/>
  <c r="P44" i="9"/>
  <c r="L44" i="9"/>
  <c r="H44" i="9"/>
  <c r="AC34" i="9"/>
  <c r="AG28" i="9"/>
  <c r="AG32" i="9" s="1"/>
  <c r="AG33" i="9" s="1"/>
  <c r="R26" i="9"/>
  <c r="Q26" i="9"/>
  <c r="O26" i="9"/>
  <c r="AE25" i="9"/>
  <c r="AB25" i="9"/>
  <c r="AA25" i="9"/>
  <c r="Z25" i="9"/>
  <c r="Y25" i="9"/>
  <c r="X25" i="9"/>
  <c r="W25" i="9"/>
  <c r="V25" i="9"/>
  <c r="U25" i="9"/>
  <c r="AC25" i="9" s="1"/>
  <c r="P25" i="9"/>
  <c r="M25" i="9"/>
  <c r="H25" i="9"/>
  <c r="P24" i="9"/>
  <c r="L24" i="9"/>
  <c r="H24" i="9"/>
  <c r="U23" i="9"/>
  <c r="AC23" i="9" s="1"/>
  <c r="P23" i="9"/>
  <c r="AH23" i="9" s="1"/>
  <c r="M23" i="9"/>
  <c r="U22" i="9"/>
  <c r="AC22" i="9" s="1"/>
  <c r="P22" i="9"/>
  <c r="AH22" i="9" s="1"/>
  <c r="M22" i="9"/>
  <c r="N21" i="9"/>
  <c r="P21" i="9" s="1"/>
  <c r="AH21" i="9" s="1"/>
  <c r="M21" i="9"/>
  <c r="AE20" i="9"/>
  <c r="AB20" i="9"/>
  <c r="AA20" i="9"/>
  <c r="Z20" i="9"/>
  <c r="Y20" i="9"/>
  <c r="X20" i="9"/>
  <c r="W20" i="9"/>
  <c r="V20" i="9"/>
  <c r="U20" i="9"/>
  <c r="AC20" i="9" s="1"/>
  <c r="P20" i="9"/>
  <c r="AH20" i="9" s="1"/>
  <c r="M20" i="9"/>
  <c r="H20" i="9"/>
  <c r="P19" i="9"/>
  <c r="L19" i="9"/>
  <c r="H19" i="9"/>
  <c r="AE18" i="9"/>
  <c r="AB18" i="9"/>
  <c r="AA18" i="9"/>
  <c r="Z18" i="9"/>
  <c r="Y18" i="9"/>
  <c r="X18" i="9"/>
  <c r="W18" i="9"/>
  <c r="V18" i="9"/>
  <c r="U18" i="9"/>
  <c r="AC18" i="9" s="1"/>
  <c r="S18" i="9"/>
  <c r="P18" i="9"/>
  <c r="M18" i="9"/>
  <c r="H18" i="9"/>
  <c r="AE17" i="9"/>
  <c r="AB17" i="9"/>
  <c r="AA17" i="9"/>
  <c r="Z17" i="9"/>
  <c r="Y17" i="9"/>
  <c r="X17" i="9"/>
  <c r="W17" i="9"/>
  <c r="V17" i="9"/>
  <c r="U17" i="9"/>
  <c r="AC17" i="9" s="1"/>
  <c r="N17" i="9"/>
  <c r="P17" i="9" s="1"/>
  <c r="AF17" i="9" s="1"/>
  <c r="M17" i="9"/>
  <c r="H17" i="9"/>
  <c r="AE16" i="9"/>
  <c r="AB16" i="9"/>
  <c r="AA16" i="9"/>
  <c r="Z16" i="9"/>
  <c r="Y16" i="9"/>
  <c r="X16" i="9"/>
  <c r="W16" i="9"/>
  <c r="V16" i="9"/>
  <c r="U16" i="9"/>
  <c r="AC16" i="9" s="1"/>
  <c r="P16" i="9"/>
  <c r="M16" i="9"/>
  <c r="H16" i="9"/>
  <c r="AE15" i="9"/>
  <c r="AB15" i="9"/>
  <c r="AA15" i="9"/>
  <c r="Z15" i="9"/>
  <c r="Y15" i="9"/>
  <c r="X15" i="9"/>
  <c r="W15" i="9"/>
  <c r="V15" i="9"/>
  <c r="U15" i="9"/>
  <c r="T15" i="9"/>
  <c r="AC15" i="9" s="1"/>
  <c r="P15" i="9"/>
  <c r="M15" i="9"/>
  <c r="H15" i="9"/>
  <c r="AE14" i="9"/>
  <c r="AB14" i="9"/>
  <c r="AA14" i="9"/>
  <c r="Z14" i="9"/>
  <c r="Y14" i="9"/>
  <c r="X14" i="9"/>
  <c r="W14" i="9"/>
  <c r="V14" i="9"/>
  <c r="U14" i="9"/>
  <c r="T14" i="9"/>
  <c r="AC14" i="9" s="1"/>
  <c r="P14" i="9"/>
  <c r="AG14" i="9" s="1"/>
  <c r="M14" i="9"/>
  <c r="H14" i="9"/>
  <c r="AE13" i="9"/>
  <c r="AB13" i="9"/>
  <c r="AA13" i="9"/>
  <c r="Z13" i="9"/>
  <c r="Y13" i="9"/>
  <c r="X13" i="9"/>
  <c r="W13" i="9"/>
  <c r="V13" i="9"/>
  <c r="U13" i="9"/>
  <c r="T13" i="9"/>
  <c r="AC13" i="9" s="1"/>
  <c r="N13" i="9"/>
  <c r="M13" i="9"/>
  <c r="H13" i="9"/>
  <c r="AE12" i="9"/>
  <c r="AB12" i="9"/>
  <c r="AA12" i="9"/>
  <c r="Z12" i="9"/>
  <c r="Y12" i="9"/>
  <c r="X12" i="9"/>
  <c r="W12" i="9"/>
  <c r="V12" i="9"/>
  <c r="U12" i="9"/>
  <c r="T12" i="9"/>
  <c r="AC12" i="9" s="1"/>
  <c r="P12" i="9"/>
  <c r="M12" i="9"/>
  <c r="H12" i="9"/>
  <c r="AE11" i="9"/>
  <c r="AB11" i="9"/>
  <c r="AA11" i="9"/>
  <c r="Z11" i="9"/>
  <c r="Y11" i="9"/>
  <c r="X11" i="9"/>
  <c r="W11" i="9"/>
  <c r="V11" i="9"/>
  <c r="U11" i="9"/>
  <c r="AC11" i="9" s="1"/>
  <c r="P11" i="9"/>
  <c r="M11" i="9"/>
  <c r="H11" i="9"/>
  <c r="P10" i="9"/>
  <c r="L10" i="9"/>
  <c r="H10" i="9"/>
  <c r="U9" i="9"/>
  <c r="AC9" i="9" s="1"/>
  <c r="P9" i="9"/>
  <c r="L9" i="9"/>
  <c r="H9" i="9"/>
  <c r="P8" i="9"/>
  <c r="L8" i="9"/>
  <c r="H8" i="9"/>
  <c r="AE7" i="9"/>
  <c r="AB7" i="9"/>
  <c r="AA7" i="9"/>
  <c r="Z7" i="9"/>
  <c r="Y7" i="9"/>
  <c r="X7" i="9"/>
  <c r="W7" i="9"/>
  <c r="V7" i="9"/>
  <c r="U7" i="9"/>
  <c r="T7" i="9"/>
  <c r="AC7" i="9" s="1"/>
  <c r="P7" i="9"/>
  <c r="M7" i="9"/>
  <c r="H7" i="9"/>
  <c r="T6" i="9"/>
  <c r="P6" i="9"/>
  <c r="K6" i="9"/>
  <c r="H6" i="9"/>
  <c r="AE5" i="9"/>
  <c r="AB5" i="9"/>
  <c r="AA5" i="9"/>
  <c r="Z5" i="9"/>
  <c r="AG5" i="9" s="1"/>
  <c r="Y5" i="9"/>
  <c r="X5" i="9"/>
  <c r="W5" i="9"/>
  <c r="V5" i="9"/>
  <c r="U5" i="9"/>
  <c r="T5" i="9"/>
  <c r="S5" i="9"/>
  <c r="P5" i="9"/>
  <c r="M5" i="9"/>
  <c r="H5" i="9"/>
  <c r="AE4" i="9"/>
  <c r="AB4" i="9"/>
  <c r="AA4" i="9"/>
  <c r="Z4" i="9"/>
  <c r="Y4" i="9"/>
  <c r="X4" i="9"/>
  <c r="W4" i="9"/>
  <c r="V4" i="9"/>
  <c r="U4" i="9"/>
  <c r="P4" i="9"/>
  <c r="M4" i="9"/>
  <c r="G55" i="7"/>
  <c r="G58" i="7" s="1"/>
  <c r="G36" i="7"/>
  <c r="G16" i="7"/>
  <c r="G7" i="7"/>
  <c r="X91" i="1"/>
  <c r="Q91" i="1"/>
  <c r="P91" i="1"/>
  <c r="AA89" i="1"/>
  <c r="O89" i="1"/>
  <c r="L89" i="1"/>
  <c r="G89" i="1"/>
  <c r="AB88" i="1"/>
  <c r="O88" i="1"/>
  <c r="L88" i="1"/>
  <c r="G88" i="1"/>
  <c r="T87" i="1"/>
  <c r="O87" i="1"/>
  <c r="L87" i="1"/>
  <c r="G87" i="1"/>
  <c r="AA86" i="1"/>
  <c r="Z86" i="1"/>
  <c r="V86" i="1"/>
  <c r="U86" i="1"/>
  <c r="T86" i="1"/>
  <c r="S86" i="1"/>
  <c r="O86" i="1"/>
  <c r="L86" i="1"/>
  <c r="G86" i="1"/>
  <c r="AB85" i="1"/>
  <c r="T85" i="1"/>
  <c r="O85" i="1"/>
  <c r="L85" i="1"/>
  <c r="G85" i="1"/>
  <c r="AB84" i="1"/>
  <c r="O84" i="1"/>
  <c r="L84" i="1"/>
  <c r="G84" i="1"/>
  <c r="AB83" i="1"/>
  <c r="O83" i="1"/>
  <c r="G83" i="1"/>
  <c r="AB81" i="1"/>
  <c r="O81" i="1"/>
  <c r="K81" i="1"/>
  <c r="G81" i="1"/>
  <c r="AB80" i="1"/>
  <c r="O80" i="1"/>
  <c r="G80" i="1"/>
  <c r="AA79" i="1"/>
  <c r="W79" i="1"/>
  <c r="V79" i="1"/>
  <c r="U79" i="1"/>
  <c r="O79" i="1"/>
  <c r="L79" i="1"/>
  <c r="G79" i="1"/>
  <c r="AA78" i="1"/>
  <c r="O78" i="1"/>
  <c r="Z78" i="1" s="1"/>
  <c r="L78" i="1"/>
  <c r="G78" i="1"/>
  <c r="AB77" i="1"/>
  <c r="O77" i="1"/>
  <c r="L77" i="1"/>
  <c r="G77" i="1"/>
  <c r="U76" i="1"/>
  <c r="T76" i="1"/>
  <c r="O76" i="1"/>
  <c r="L76" i="1"/>
  <c r="AA75" i="1"/>
  <c r="Z75" i="1"/>
  <c r="Y75" i="1"/>
  <c r="W75" i="1"/>
  <c r="V75" i="1"/>
  <c r="U75" i="1"/>
  <c r="T75" i="1"/>
  <c r="S75" i="1"/>
  <c r="R75" i="1"/>
  <c r="O75" i="1"/>
  <c r="L75" i="1"/>
  <c r="AB74" i="1"/>
  <c r="M74" i="1"/>
  <c r="O74" i="1" s="1"/>
  <c r="L74" i="1"/>
  <c r="AB73" i="1"/>
  <c r="U73" i="1"/>
  <c r="M73" i="1"/>
  <c r="O73" i="1" s="1"/>
  <c r="L73" i="1"/>
  <c r="O72" i="1"/>
  <c r="L72" i="1"/>
  <c r="AB71" i="1"/>
  <c r="O71" i="1"/>
  <c r="AB70" i="1"/>
  <c r="O70" i="1"/>
  <c r="AA69" i="1"/>
  <c r="Z69" i="1"/>
  <c r="U69" i="1"/>
  <c r="O69" i="1"/>
  <c r="Y69" i="1" s="1"/>
  <c r="J69" i="1"/>
  <c r="G69" i="1"/>
  <c r="AA68" i="1"/>
  <c r="Z68" i="1"/>
  <c r="U68" i="1"/>
  <c r="T68" i="1"/>
  <c r="O68" i="1"/>
  <c r="L68" i="1"/>
  <c r="AA67" i="1"/>
  <c r="Z67" i="1"/>
  <c r="V67" i="1"/>
  <c r="S67" i="1"/>
  <c r="O67" i="1"/>
  <c r="L67" i="1"/>
  <c r="AB66" i="1"/>
  <c r="U66" i="1"/>
  <c r="S66" i="1"/>
  <c r="O66" i="1"/>
  <c r="L66" i="1"/>
  <c r="AB65" i="1"/>
  <c r="O65" i="1"/>
  <c r="L65" i="1"/>
  <c r="J65" i="1" s="1"/>
  <c r="G65" i="1"/>
  <c r="O64" i="1"/>
  <c r="K64" i="1"/>
  <c r="G64" i="1"/>
  <c r="O63" i="1"/>
  <c r="J63" i="1"/>
  <c r="O62" i="1"/>
  <c r="J62" i="1"/>
  <c r="G62" i="1"/>
  <c r="O61" i="1"/>
  <c r="J61" i="1"/>
  <c r="G61" i="1"/>
  <c r="AB60" i="1"/>
  <c r="G60" i="1"/>
  <c r="AA59" i="1"/>
  <c r="R59" i="1"/>
  <c r="O59" i="1"/>
  <c r="G59" i="1"/>
  <c r="AA58" i="1"/>
  <c r="Z58" i="1"/>
  <c r="U58" i="1"/>
  <c r="S58" i="1"/>
  <c r="O58" i="1"/>
  <c r="L58" i="1"/>
  <c r="G58" i="1"/>
  <c r="AA57" i="1"/>
  <c r="O57" i="1"/>
  <c r="L57" i="1"/>
  <c r="G57" i="1"/>
  <c r="AB56" i="1"/>
  <c r="M56" i="1"/>
  <c r="O56" i="1" s="1"/>
  <c r="K56" i="1"/>
  <c r="G56" i="1"/>
  <c r="O55" i="1"/>
  <c r="J55" i="1"/>
  <c r="G55" i="1"/>
  <c r="AA54" i="1"/>
  <c r="Z54" i="1"/>
  <c r="U54" i="1"/>
  <c r="O54" i="1"/>
  <c r="L54" i="1"/>
  <c r="G54" i="1"/>
  <c r="AB53" i="1"/>
  <c r="W53" i="1"/>
  <c r="V53" i="1"/>
  <c r="S53" i="1"/>
  <c r="O53" i="1"/>
  <c r="G53" i="1"/>
  <c r="AA52" i="1"/>
  <c r="AB52" i="1" s="1"/>
  <c r="R52" i="1"/>
  <c r="O52" i="1"/>
  <c r="L52" i="1"/>
  <c r="G52" i="1"/>
  <c r="AB51" i="1"/>
  <c r="R51" i="1"/>
  <c r="O51" i="1"/>
  <c r="L51" i="1"/>
  <c r="G51" i="1"/>
  <c r="AA50" i="1"/>
  <c r="Z50" i="1"/>
  <c r="AB50" i="1" s="1"/>
  <c r="U50" i="1"/>
  <c r="R50" i="1"/>
  <c r="O50" i="1"/>
  <c r="L50" i="1"/>
  <c r="G50" i="1"/>
  <c r="AB49" i="1"/>
  <c r="O49" i="1"/>
  <c r="L49" i="1"/>
  <c r="G49" i="1"/>
  <c r="AB48" i="1"/>
  <c r="W48" i="1"/>
  <c r="O48" i="1"/>
  <c r="L48" i="1"/>
  <c r="J48" i="1" s="1"/>
  <c r="G48" i="1"/>
  <c r="W47" i="1"/>
  <c r="V47" i="1"/>
  <c r="U47" i="1"/>
  <c r="O47" i="1"/>
  <c r="L47" i="1"/>
  <c r="G47" i="1"/>
  <c r="AB46" i="1"/>
  <c r="O46" i="1"/>
  <c r="K46" i="1"/>
  <c r="G46" i="1"/>
  <c r="AA45" i="1"/>
  <c r="U45" i="1"/>
  <c r="O45" i="1"/>
  <c r="L45" i="1"/>
  <c r="G45" i="1"/>
  <c r="S44" i="1"/>
  <c r="O44" i="1"/>
  <c r="K44" i="1"/>
  <c r="G44" i="1"/>
  <c r="AA43" i="1"/>
  <c r="U43" i="1"/>
  <c r="S43" i="1"/>
  <c r="O43" i="1"/>
  <c r="L43" i="1"/>
  <c r="G43" i="1"/>
  <c r="AA42" i="1"/>
  <c r="U42" i="1"/>
  <c r="S42" i="1"/>
  <c r="O42" i="1"/>
  <c r="L42" i="1"/>
  <c r="G42" i="1"/>
  <c r="AB41" i="1"/>
  <c r="U41" i="1"/>
  <c r="S41" i="1"/>
  <c r="O41" i="1"/>
  <c r="L41" i="1"/>
  <c r="G41" i="1"/>
  <c r="O40" i="1"/>
  <c r="Y40" i="1" s="1"/>
  <c r="AB40" i="1" s="1"/>
  <c r="L40" i="1"/>
  <c r="G40" i="1"/>
  <c r="AB39" i="1"/>
  <c r="S39" i="1"/>
  <c r="O39" i="1"/>
  <c r="L39" i="1"/>
  <c r="G39" i="1"/>
  <c r="O38" i="1"/>
  <c r="Y38" i="1" s="1"/>
  <c r="AB38" i="1" s="1"/>
  <c r="L38" i="1"/>
  <c r="G38" i="1"/>
  <c r="AA37" i="1"/>
  <c r="U37" i="1"/>
  <c r="O37" i="1"/>
  <c r="L37" i="1"/>
  <c r="G37" i="1"/>
  <c r="AB36" i="1"/>
  <c r="O36" i="1"/>
  <c r="K36" i="1"/>
  <c r="G36" i="1"/>
  <c r="AB35" i="1"/>
  <c r="T35" i="1"/>
  <c r="O35" i="1"/>
  <c r="K35" i="1"/>
  <c r="G35" i="1"/>
  <c r="O34" i="1"/>
  <c r="K34" i="1"/>
  <c r="G34" i="1"/>
  <c r="AB33" i="1"/>
  <c r="AB32" i="1"/>
  <c r="O32" i="1"/>
  <c r="G32" i="1"/>
  <c r="W31" i="1"/>
  <c r="S31" i="1"/>
  <c r="R31" i="1"/>
  <c r="O31" i="1"/>
  <c r="L31" i="1"/>
  <c r="G31" i="1"/>
  <c r="AB30" i="1"/>
  <c r="O30" i="1"/>
  <c r="L30" i="1"/>
  <c r="G30" i="1"/>
  <c r="AA29" i="1"/>
  <c r="S29" i="1"/>
  <c r="O29" i="1"/>
  <c r="Z29" i="1" s="1"/>
  <c r="G29" i="1"/>
  <c r="AA28" i="1"/>
  <c r="Z28" i="1"/>
  <c r="O28" i="1"/>
  <c r="L28" i="1"/>
  <c r="G28" i="1"/>
  <c r="AA27" i="1"/>
  <c r="V27" i="1"/>
  <c r="U27" i="1"/>
  <c r="S27" i="1"/>
  <c r="O27" i="1"/>
  <c r="G27" i="1"/>
  <c r="O26" i="1"/>
  <c r="J26" i="1"/>
  <c r="G26" i="1"/>
  <c r="AB25" i="1"/>
  <c r="W25" i="1"/>
  <c r="O25" i="1"/>
  <c r="L25" i="1"/>
  <c r="G25" i="1"/>
  <c r="AB24" i="1"/>
  <c r="O24" i="1"/>
  <c r="G24" i="1"/>
  <c r="AB23" i="1"/>
  <c r="R23" i="1"/>
  <c r="O23" i="1"/>
  <c r="L23" i="1"/>
  <c r="G23" i="1"/>
  <c r="S22" i="1"/>
  <c r="O22" i="1"/>
  <c r="L22" i="1"/>
  <c r="G22" i="1"/>
  <c r="AB21" i="1"/>
  <c r="O21" i="1"/>
  <c r="G21" i="1"/>
  <c r="AB20" i="1"/>
  <c r="O20" i="1"/>
  <c r="L20" i="1"/>
  <c r="G20" i="1"/>
  <c r="O19" i="1"/>
  <c r="Y19" i="1" s="1"/>
  <c r="AB19" i="1" s="1"/>
  <c r="L19" i="1"/>
  <c r="G19" i="1"/>
  <c r="AB18" i="1"/>
  <c r="N18" i="1"/>
  <c r="O18" i="1" s="1"/>
  <c r="G18" i="1"/>
  <c r="AB17" i="1"/>
  <c r="O17" i="1"/>
  <c r="L17" i="1"/>
  <c r="G17" i="1"/>
  <c r="AB16" i="1"/>
  <c r="O16" i="1"/>
  <c r="G16" i="1"/>
  <c r="S15" i="1"/>
  <c r="O15" i="1"/>
  <c r="J15" i="1"/>
  <c r="G15" i="1"/>
  <c r="Y14" i="1"/>
  <c r="AB14" i="1" s="1"/>
  <c r="O14" i="1"/>
  <c r="G14" i="1"/>
  <c r="AB13" i="1"/>
  <c r="O13" i="1"/>
  <c r="K13" i="1"/>
  <c r="G13" i="1"/>
  <c r="AB12" i="1"/>
  <c r="O12" i="1"/>
  <c r="L12" i="1"/>
  <c r="K12" i="1"/>
  <c r="AB11" i="1"/>
  <c r="AA10" i="1"/>
  <c r="Z10" i="1"/>
  <c r="T10" i="1"/>
  <c r="S10" i="1"/>
  <c r="R10" i="1"/>
  <c r="O10" i="1"/>
  <c r="L10" i="1"/>
  <c r="G10" i="1"/>
  <c r="AB9" i="1"/>
  <c r="W9" i="1"/>
  <c r="U9" i="1"/>
  <c r="M9" i="1"/>
  <c r="O9" i="1" s="1"/>
  <c r="L9" i="1"/>
  <c r="AB8" i="1"/>
  <c r="O8" i="1"/>
  <c r="L8" i="1"/>
  <c r="U7" i="1"/>
  <c r="N7" i="1"/>
  <c r="M7" i="1"/>
  <c r="O7" i="1" s="1"/>
  <c r="L7" i="1"/>
  <c r="AB6" i="1"/>
  <c r="N6" i="1"/>
  <c r="M6" i="1"/>
  <c r="L6" i="1"/>
  <c r="AA5" i="1"/>
  <c r="V5" i="1"/>
  <c r="U5" i="1"/>
  <c r="T5" i="1"/>
  <c r="O5" i="1"/>
  <c r="L5" i="1"/>
  <c r="O4" i="1"/>
  <c r="AA4" i="1" s="1"/>
  <c r="L4" i="1"/>
  <c r="AB3" i="1"/>
  <c r="O3" i="1"/>
  <c r="AB2" i="1"/>
  <c r="O2" i="1"/>
  <c r="L2" i="1"/>
  <c r="AB58" i="1" l="1"/>
  <c r="N91" i="1"/>
  <c r="AB75" i="1"/>
  <c r="AB29" i="1"/>
  <c r="AB78" i="1"/>
  <c r="Y55" i="1"/>
  <c r="Z55" i="1"/>
  <c r="AB4" i="1"/>
  <c r="Z5" i="1"/>
  <c r="M91" i="1"/>
  <c r="O6" i="1"/>
  <c r="O91" i="1" s="1"/>
  <c r="AA7" i="1"/>
  <c r="Y10" i="1"/>
  <c r="K91" i="1"/>
  <c r="R12" i="1"/>
  <c r="J91" i="1"/>
  <c r="AA15" i="1"/>
  <c r="Z15" i="1"/>
  <c r="AA22" i="1"/>
  <c r="AB22" i="1" s="1"/>
  <c r="R22" i="1"/>
  <c r="AA26" i="1"/>
  <c r="AB26" i="1" s="1"/>
  <c r="V26" i="1"/>
  <c r="U26" i="1"/>
  <c r="T26" i="1"/>
  <c r="Z27" i="1"/>
  <c r="AB27" i="1" s="1"/>
  <c r="T27" i="1"/>
  <c r="Y28" i="1"/>
  <c r="AB28" i="1" s="1"/>
  <c r="Z31" i="1"/>
  <c r="AB31" i="1" s="1"/>
  <c r="AA34" i="1"/>
  <c r="Z34" i="1"/>
  <c r="V34" i="1"/>
  <c r="T34" i="1"/>
  <c r="L34" i="1"/>
  <c r="W35" i="1"/>
  <c r="U36" i="1"/>
  <c r="T36" i="1"/>
  <c r="S36" i="1"/>
  <c r="Z37" i="1"/>
  <c r="AB37" i="1" s="1"/>
  <c r="R39" i="1"/>
  <c r="T41" i="1"/>
  <c r="Z42" i="1"/>
  <c r="AB42" i="1" s="1"/>
  <c r="Z43" i="1"/>
  <c r="AB43" i="1" s="1"/>
  <c r="AA44" i="1"/>
  <c r="Z44" i="1"/>
  <c r="Y44" i="1"/>
  <c r="U44" i="1"/>
  <c r="R44" i="1"/>
  <c r="L44" i="1"/>
  <c r="Z45" i="1"/>
  <c r="AB45" i="1" s="1"/>
  <c r="W46" i="1"/>
  <c r="V46" i="1"/>
  <c r="L46" i="1"/>
  <c r="Y47" i="1"/>
  <c r="AB47" i="1" s="1"/>
  <c r="U48" i="1"/>
  <c r="U53" i="1"/>
  <c r="R53" i="1"/>
  <c r="Y54" i="1"/>
  <c r="AB54" i="1" s="1"/>
  <c r="AA55" i="1"/>
  <c r="U56" i="1"/>
  <c r="Z57" i="1"/>
  <c r="AB57" i="1" s="1"/>
  <c r="U57" i="1"/>
  <c r="R57" i="1"/>
  <c r="Z59" i="1"/>
  <c r="AB59" i="1" s="1"/>
  <c r="AA61" i="1"/>
  <c r="AB61" i="1" s="1"/>
  <c r="AA62" i="1"/>
  <c r="Z62" i="1"/>
  <c r="Y62" i="1"/>
  <c r="AA63" i="1"/>
  <c r="Z63" i="1"/>
  <c r="T63" i="1"/>
  <c r="S63" i="1"/>
  <c r="R63" i="1"/>
  <c r="AA64" i="1"/>
  <c r="Z64" i="1"/>
  <c r="Y64" i="1"/>
  <c r="Y67" i="1"/>
  <c r="AB67" i="1" s="1"/>
  <c r="R67" i="1"/>
  <c r="Y68" i="1"/>
  <c r="AB68" i="1" s="1"/>
  <c r="R68" i="1"/>
  <c r="AB69" i="1"/>
  <c r="Y72" i="1"/>
  <c r="U72" i="1"/>
  <c r="AA76" i="1"/>
  <c r="AB76" i="1" s="1"/>
  <c r="Z79" i="1"/>
  <c r="AB79" i="1" s="1"/>
  <c r="W81" i="1"/>
  <c r="U81" i="1"/>
  <c r="T81" i="1"/>
  <c r="Y86" i="1"/>
  <c r="AB86" i="1" s="1"/>
  <c r="R86" i="1"/>
  <c r="AA87" i="1"/>
  <c r="AB87" i="1" s="1"/>
  <c r="Z89" i="1"/>
  <c r="AB89" i="1" s="1"/>
  <c r="AH4" i="9"/>
  <c r="AF4" i="9"/>
  <c r="AC4" i="9"/>
  <c r="AH5" i="9"/>
  <c r="AF5" i="9"/>
  <c r="AC5" i="9"/>
  <c r="K26" i="9"/>
  <c r="AH6" i="9"/>
  <c r="AE6" i="9"/>
  <c r="AB6" i="9"/>
  <c r="AA6" i="9"/>
  <c r="Z6" i="9"/>
  <c r="Y6" i="9"/>
  <c r="X6" i="9"/>
  <c r="W6" i="9"/>
  <c r="V6" i="9"/>
  <c r="U6" i="9"/>
  <c r="AC6" i="9"/>
  <c r="AF7" i="9"/>
  <c r="S7" i="9"/>
  <c r="L26" i="9"/>
  <c r="AH8" i="9"/>
  <c r="AE8" i="9"/>
  <c r="AB8" i="9"/>
  <c r="AA8" i="9"/>
  <c r="Z8" i="9"/>
  <c r="Y8" i="9"/>
  <c r="X8" i="9"/>
  <c r="W8" i="9"/>
  <c r="V8" i="9"/>
  <c r="U8" i="9"/>
  <c r="AC8" i="9" s="1"/>
  <c r="M8" i="9"/>
  <c r="M26" i="9" s="1"/>
  <c r="AF8" i="9"/>
  <c r="AH9" i="9"/>
  <c r="AE9" i="9"/>
  <c r="AB9" i="9"/>
  <c r="AA9" i="9"/>
  <c r="Z9" i="9"/>
  <c r="Y9" i="9"/>
  <c r="X9" i="9"/>
  <c r="W9" i="9"/>
  <c r="V9" i="9"/>
  <c r="AF9" i="9"/>
  <c r="AH10" i="9"/>
  <c r="AE10" i="9"/>
  <c r="AB10" i="9"/>
  <c r="AA10" i="9"/>
  <c r="Z10" i="9"/>
  <c r="Y10" i="9"/>
  <c r="X10" i="9"/>
  <c r="W10" i="9"/>
  <c r="V10" i="9"/>
  <c r="U10" i="9"/>
  <c r="T10" i="9"/>
  <c r="AF10" i="9"/>
  <c r="AH11" i="9"/>
  <c r="AF11" i="9"/>
  <c r="AH12" i="9"/>
  <c r="AF12" i="9"/>
  <c r="S12" i="9"/>
  <c r="N26" i="9"/>
  <c r="P13" i="9"/>
  <c r="AH15" i="9"/>
  <c r="AG15" i="9"/>
  <c r="AG26" i="9" s="1"/>
  <c r="AH16" i="9"/>
  <c r="AF16" i="9"/>
  <c r="AH18" i="9"/>
  <c r="AF18" i="9"/>
  <c r="AH19" i="9"/>
  <c r="AE19" i="9"/>
  <c r="AB19" i="9"/>
  <c r="AA19" i="9"/>
  <c r="Z19" i="9"/>
  <c r="Y19" i="9"/>
  <c r="X19" i="9"/>
  <c r="W19" i="9"/>
  <c r="V19" i="9"/>
  <c r="U19" i="9"/>
  <c r="T19" i="9"/>
  <c r="AC19" i="9" s="1"/>
  <c r="S19" i="9"/>
  <c r="AH24" i="9"/>
  <c r="AE24" i="9"/>
  <c r="AB24" i="9"/>
  <c r="AA24" i="9"/>
  <c r="Z24" i="9"/>
  <c r="Y24" i="9"/>
  <c r="X24" i="9"/>
  <c r="W24" i="9"/>
  <c r="V24" i="9"/>
  <c r="U24" i="9"/>
  <c r="AC24" i="9" s="1"/>
  <c r="AH25" i="9"/>
  <c r="AF25" i="9"/>
  <c r="AH44" i="9"/>
  <c r="AE44" i="9"/>
  <c r="AB44" i="9"/>
  <c r="AA44" i="9"/>
  <c r="Z44" i="9"/>
  <c r="Y44" i="9"/>
  <c r="X44" i="9"/>
  <c r="W44" i="9"/>
  <c r="V44" i="9"/>
  <c r="U44" i="9"/>
  <c r="S44" i="9"/>
  <c r="M44" i="9"/>
  <c r="AG44" i="9"/>
  <c r="AC44" i="9"/>
  <c r="AC46" i="9" s="1"/>
  <c r="K7" i="10"/>
  <c r="L6" i="10"/>
  <c r="L7" i="10" s="1"/>
  <c r="AB55" i="1" l="1"/>
  <c r="AB44" i="1"/>
  <c r="AB34" i="1"/>
  <c r="AB62" i="1"/>
  <c r="AB15" i="1"/>
  <c r="AB64" i="1"/>
  <c r="AB63" i="1"/>
  <c r="AD49" i="9"/>
  <c r="AD63" i="9" s="1"/>
  <c r="AJ17" i="9"/>
  <c r="AJ21" i="9" s="1"/>
  <c r="AJ23" i="9" s="1"/>
  <c r="AH13" i="9"/>
  <c r="P26" i="9"/>
  <c r="AC10" i="9"/>
  <c r="T26" i="9"/>
  <c r="S26" i="9"/>
  <c r="U26" i="9"/>
  <c r="V26" i="9"/>
  <c r="W26" i="9"/>
  <c r="X26" i="9"/>
  <c r="Y26" i="9"/>
  <c r="Z26" i="9"/>
  <c r="AA26" i="9"/>
  <c r="AB26" i="9"/>
  <c r="AE26" i="9"/>
  <c r="AC26" i="9"/>
  <c r="AC49" i="9" s="1"/>
  <c r="AJ14" i="9"/>
  <c r="AJ15" i="9" s="1"/>
  <c r="AJ13" i="9"/>
  <c r="AJ19" i="9" s="1"/>
  <c r="AF26" i="9"/>
  <c r="AH26" i="9"/>
  <c r="AB72" i="1"/>
  <c r="S91" i="1"/>
  <c r="W91" i="1"/>
  <c r="L91" i="1"/>
  <c r="T91" i="1"/>
  <c r="U91" i="1"/>
  <c r="V91" i="1"/>
  <c r="R91" i="1"/>
  <c r="Y91" i="1"/>
  <c r="AB10" i="1"/>
  <c r="AB7" i="1"/>
  <c r="AA91" i="1"/>
  <c r="Z91" i="1"/>
  <c r="AB5" i="1"/>
  <c r="AB9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72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>Valor inicial, deverá ser corrigido.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21" authorId="0" shapeId="0" xr:uid="{00000000-0006-0000-0800-000001000000}">
      <text>
        <r>
          <rPr>
            <sz val="11"/>
            <color rgb="FF000000"/>
            <rFont val="Calibri"/>
            <family val="2"/>
            <charset val="1"/>
          </rPr>
          <t>Valor inicial, deverá ser corrigido.</t>
        </r>
      </text>
    </comment>
  </commentList>
</comments>
</file>

<file path=xl/sharedStrings.xml><?xml version="1.0" encoding="utf-8"?>
<sst xmlns="http://schemas.openxmlformats.org/spreadsheetml/2006/main" count="1020" uniqueCount="425">
  <si>
    <t>Acompanhamento de Contratos*</t>
  </si>
  <si>
    <t>continuados</t>
  </si>
  <si>
    <t>Descrição das despesas</t>
  </si>
  <si>
    <t>UGR</t>
  </si>
  <si>
    <t>PI 2025</t>
  </si>
  <si>
    <t>CNPJ</t>
  </si>
  <si>
    <t>Processo</t>
  </si>
  <si>
    <t>Vigência</t>
  </si>
  <si>
    <t>Status do Contrato</t>
  </si>
  <si>
    <t>Situação da prorrogação</t>
  </si>
  <si>
    <t>nº  Contrato</t>
  </si>
  <si>
    <t>Valor Contrato Média mensal</t>
  </si>
  <si>
    <t xml:space="preserve">Valor Cont Continuado Mensal </t>
  </si>
  <si>
    <t>Total estimado Anual</t>
  </si>
  <si>
    <t>Saldo Empenhos 2025</t>
  </si>
  <si>
    <t>Saldo
de Empenhos RAP</t>
  </si>
  <si>
    <t>Total RAP + Empenho</t>
  </si>
  <si>
    <t>Total necessário</t>
  </si>
  <si>
    <t>- Estagiários UnB (novo PI - estagiários)</t>
  </si>
  <si>
    <t>DGP/ folha</t>
  </si>
  <si>
    <t>VGM01N01N2N</t>
  </si>
  <si>
    <t>Estagiários - auxílio transporte</t>
  </si>
  <si>
    <t>VGM01N01N7N</t>
  </si>
  <si>
    <t>Pasep - HUB</t>
  </si>
  <si>
    <t>HUB</t>
  </si>
  <si>
    <t>VGM01N01N1N</t>
  </si>
  <si>
    <t>Pasep - UnB</t>
  </si>
  <si>
    <r>
      <rPr>
        <sz val="11"/>
        <color rgb="FF000000"/>
        <rFont val="Arial"/>
        <family val="2"/>
        <charset val="1"/>
      </rPr>
      <t xml:space="preserve">'- Serviços de Energia Elétrica (PRC) </t>
    </r>
    <r>
      <rPr>
        <sz val="11"/>
        <color rgb="FFC9211E"/>
        <rFont val="Arial"/>
        <family val="2"/>
        <charset val="1"/>
      </rPr>
      <t>– já com CI</t>
    </r>
  </si>
  <si>
    <t>VGM01N01I2N</t>
  </si>
  <si>
    <t>075522669/000192</t>
  </si>
  <si>
    <t xml:space="preserve">- Serviços de Água e Esgoto (PRC) </t>
  </si>
  <si>
    <t>INFRA</t>
  </si>
  <si>
    <t>VGM01N01I3N</t>
  </si>
  <si>
    <t xml:space="preserve"> SANEAGO - Água e esgoto UnB Cerrado (corrigir a média)</t>
  </si>
  <si>
    <t>UnB Cerrado</t>
  </si>
  <si>
    <t>01616929000102</t>
  </si>
  <si>
    <t>Energia Elétrica UnB Cerrado - CONTRATO CCER - ENEL N. 36/2020 e CELG DISTRIBUIÇÃO S.A - CELG D,  Equatorial Goiás Distribuidora de Energia S/A</t>
  </si>
  <si>
    <t>23106.044802/2020-09 23106.083937/2023-24</t>
  </si>
  <si>
    <t>36/2020</t>
  </si>
  <si>
    <t>OI SA recuperação judicial</t>
  </si>
  <si>
    <t>STI</t>
  </si>
  <si>
    <t>VGM01N01I4N</t>
  </si>
  <si>
    <t>76535764000143</t>
  </si>
  <si>
    <t>23106.012727/2018-94</t>
  </si>
  <si>
    <t>515/2021</t>
  </si>
  <si>
    <r>
      <rPr>
        <sz val="11"/>
        <color rgb="FF000000"/>
        <rFont val="Arial"/>
        <family val="2"/>
        <charset val="1"/>
      </rPr>
      <t xml:space="preserve">Novo contrato (serviço de manutenção preventiva programada e corretiva da </t>
    </r>
    <r>
      <rPr>
        <sz val="11"/>
        <color rgb="FFFF0000"/>
        <rFont val="Arial"/>
        <family val="2"/>
        <charset val="1"/>
      </rPr>
      <t>sala cofre</t>
    </r>
    <r>
      <rPr>
        <sz val="11"/>
        <color rgb="FF000000"/>
        <rFont val="Arial"/>
        <family val="2"/>
        <charset val="1"/>
      </rPr>
      <t xml:space="preserve"> instalada na STI/UnB)</t>
    </r>
  </si>
  <si>
    <t>VGM01N01A2N</t>
  </si>
  <si>
    <t>23106.020472/2024-81</t>
  </si>
  <si>
    <t>Ultimo despacho DPO informa certificação orçamentária apenas, a licitação está correndo em outro SEI.</t>
  </si>
  <si>
    <t>- Central IT  - Suporte TI (Serviços de Manutenção dos Computadores da UnB)</t>
  </si>
  <si>
    <t>VGM01N01A3N</t>
  </si>
  <si>
    <t>07171299000196</t>
  </si>
  <si>
    <t>23106.007549/2018-80</t>
  </si>
  <si>
    <t>Não será prorrogado
anular NE?</t>
  </si>
  <si>
    <t>507/2019</t>
  </si>
  <si>
    <t>QUALIFICAR - Suporte TI (Serviços de Manutenção dos Computadores da UnB)</t>
  </si>
  <si>
    <t>04.752.792/0001-01</t>
  </si>
  <si>
    <t>23106.016945/2023-65</t>
  </si>
  <si>
    <t>512/2025</t>
  </si>
  <si>
    <t xml:space="preserve">- Rede Gigacandanga - Convênio FUB/ RNT </t>
  </si>
  <si>
    <t>VGM01N01K8N</t>
  </si>
  <si>
    <t>23106.032698/2019-68
23106.108762/2019-99
23106.027099/2024-90</t>
  </si>
  <si>
    <t>-SIG SOFTWARE &amp; CONSULTORIA EM TECNOLOGIA DA I (Serviço de apoio especializado nas atividades necessárias ao suporte negocial, customização e sustentação do Sistemas Institucionais Integrados de Gestão (SIG))</t>
  </si>
  <si>
    <t>VGM01N01Q4N</t>
  </si>
  <si>
    <t xml:space="preserve">13.406.686/0001-67 </t>
  </si>
  <si>
    <t>23106.125254/2022-71</t>
  </si>
  <si>
    <t>505/2024</t>
  </si>
  <si>
    <t>ainda sem histórico de liquidação</t>
  </si>
  <si>
    <t>Inframérica - Agenciamento de Carga Internacional (conforme demanda)</t>
  </si>
  <si>
    <t>Contratos DCO</t>
  </si>
  <si>
    <t>VGM01N01L3N</t>
  </si>
  <si>
    <t>15559082000186</t>
  </si>
  <si>
    <t>23106.011.137/2014-11
23106.086385/2019-20</t>
  </si>
  <si>
    <t>026/2020</t>
  </si>
  <si>
    <t>Inframérica - prestação de serviços de armazenagem e capatazia de cargas importadas (conforme demanda)</t>
  </si>
  <si>
    <t xml:space="preserve"> 15.559.082/0001-86</t>
  </si>
  <si>
    <t>23106.010064/2025-01</t>
  </si>
  <si>
    <t>1203/2025</t>
  </si>
  <si>
    <r>
      <rPr>
        <sz val="11"/>
        <color rgb="FF000000"/>
        <rFont val="Arial"/>
        <family val="2"/>
        <charset val="1"/>
      </rPr>
      <t xml:space="preserve">Agenciamento de Transportes de Cargas Internacionais WeghLogística (Aéreos e Marítimos)   (conforme demanda) </t>
    </r>
    <r>
      <rPr>
        <b/>
        <sz val="11"/>
        <color rgb="FFFF0000"/>
        <rFont val="Arial"/>
        <family val="2"/>
        <charset val="1"/>
      </rPr>
      <t>não será prorrogado, licitação em andamento</t>
    </r>
  </si>
  <si>
    <t>Contratos DCO/ DIMEX</t>
  </si>
  <si>
    <t>65494742000166</t>
  </si>
  <si>
    <t>23106.099324/2016-80</t>
  </si>
  <si>
    <t>081/2017</t>
  </si>
  <si>
    <t>WEGH Assessoria e Logística Internacional Ltda, Agenciamento de Transportes de Cargas Internacionais WeghLogística</t>
  </si>
  <si>
    <t>23106.019323/2023-99
23106.087339/2024-13 (importação/ressarcimento)</t>
  </si>
  <si>
    <t>142/2023</t>
  </si>
  <si>
    <t>NK LOGISTICA E TRANSPORTES LTDA (serviços de transporte de cargas por via aérea)</t>
  </si>
  <si>
    <t>VGM01N01P2N</t>
  </si>
  <si>
    <t>32270711000172</t>
  </si>
  <si>
    <t>23106.068904/2022-73</t>
  </si>
  <si>
    <t>em renovação</t>
  </si>
  <si>
    <t>130/2022</t>
  </si>
  <si>
    <t>- Seguro de aluno/ estagiário (MBM Seguradora S.A)</t>
  </si>
  <si>
    <t>87883807000106</t>
  </si>
  <si>
    <t>23106.085902/2019-43</t>
  </si>
  <si>
    <t>024/2020</t>
  </si>
  <si>
    <t>BELFORT GERENCIAMENTO DE RESIDUOS LTDA - empresa especializada nos serviços continuados de coleta, transporte, tratamento e disposição final de resíduos de serviços de saúde (RSS)</t>
  </si>
  <si>
    <t>Contratos DCA</t>
  </si>
  <si>
    <t>VGM01N01E4N</t>
  </si>
  <si>
    <t>10865146000153</t>
  </si>
  <si>
    <t>23106.065223/2022-53</t>
  </si>
  <si>
    <t>1204/2023</t>
  </si>
  <si>
    <t>- NORESA NOVO RIO ENERGIA E SERVICOS AMBIENTAIS (empresa especializada na prestação de serviços de coleta, transporte, triagem e destinação final de
resíduos sólidos orgânicos)</t>
  </si>
  <si>
    <t>PRC</t>
  </si>
  <si>
    <t>23106.076421/2022-42</t>
  </si>
  <si>
    <t>DCA 12646146 Não será prorrogado, veirificar se há novo processo</t>
  </si>
  <si>
    <t>1213/2023</t>
  </si>
  <si>
    <t>PRIME EXTINTORES EIRELI – ME – recarga de extintores</t>
  </si>
  <si>
    <t>VGM01N01I6N</t>
  </si>
  <si>
    <t>09.098.197/0001-18</t>
  </si>
  <si>
    <t>23106.101317/2023-84</t>
  </si>
  <si>
    <t>618/2024</t>
  </si>
  <si>
    <t>- Fornecimento de combustível
(Novo fornecer para 2019 - Ticket soluções HDFGT S/A) (NÃO DEVE SER ANULADO)</t>
  </si>
  <si>
    <t>VGM01N01I5N</t>
  </si>
  <si>
    <t>23106.116807/2021-13</t>
  </si>
  <si>
    <t>1222/2022</t>
  </si>
  <si>
    <t xml:space="preserve">CRUZEIRO CONTROLE DE PRAGAS E DESENTUPIMENTO </t>
  </si>
  <si>
    <t>VGM01N01D3N</t>
  </si>
  <si>
    <t xml:space="preserve"> 22.575.793/0001-00</t>
  </si>
  <si>
    <t>23106.058637/2021-45</t>
  </si>
  <si>
    <t>Em fase de prorrogação</t>
  </si>
  <si>
    <t>1222/2024</t>
  </si>
  <si>
    <t>VILELA SERVIÇO DE PAISAGISMO, PARQUES E JARDINS LTDA (jardinagem)</t>
  </si>
  <si>
    <t>VGM01N01A5N</t>
  </si>
  <si>
    <t>32.751.565/0001-05</t>
  </si>
  <si>
    <t>23106.028705/2019-27</t>
  </si>
  <si>
    <t>1217/2023</t>
  </si>
  <si>
    <t>- TRANSMONICI TRANSPORTE E TURISMO  (ônibus rodoviário executivo)</t>
  </si>
  <si>
    <t>VGM01N01K1N</t>
  </si>
  <si>
    <t>09169349000126</t>
  </si>
  <si>
    <t>23106.000890/2021-18</t>
  </si>
  <si>
    <t>604/2022</t>
  </si>
  <si>
    <t>Tafa Engenharia (serviços continuados de manutenção preventiva e corretiva de equipamentos e sistemas de ar condicionado, com fornecimento de peças e materiais)</t>
  </si>
  <si>
    <t>VGM01N01F1N</t>
  </si>
  <si>
    <t>23106.056117/2023-60</t>
  </si>
  <si>
    <t>616/2024</t>
  </si>
  <si>
    <t>- Taxigov (demanda) - VIP service</t>
  </si>
  <si>
    <t>VGM01N01A4N</t>
  </si>
  <si>
    <t>02605452000122</t>
  </si>
  <si>
    <t>23106.010532/2020-24</t>
  </si>
  <si>
    <t>036/2020</t>
  </si>
  <si>
    <t xml:space="preserve">3P HGM solução visual (serviços de comunicação visual) </t>
  </si>
  <si>
    <t>VGM01N01O7N</t>
  </si>
  <si>
    <t>34.998.513/0001-55</t>
  </si>
  <si>
    <t>23106.089249/2019-91</t>
  </si>
  <si>
    <t>1217/2022</t>
  </si>
  <si>
    <t>NP TECNOLOGIA E GESTAO DE DADOS LTDA - ferramenta de pesquisa e comparação de preços praticados pela Administração Pública</t>
  </si>
  <si>
    <t>VGM01N01P6N</t>
  </si>
  <si>
    <t xml:space="preserve">07.797.967/0001-95 </t>
  </si>
  <si>
    <t>23106.108257/2021-69</t>
  </si>
  <si>
    <t>contrato anual</t>
  </si>
  <si>
    <t>605/2022</t>
  </si>
  <si>
    <t>contratação de empresa especializada na prestação de serviços continuados, sem dedicação exclusiva de mão de obra, para realização de serviços de acondicionamento, coleta, transporte, tratamento e disposição final de resíduos químicos perigosos</t>
  </si>
  <si>
    <t>VGM01N01B8</t>
  </si>
  <si>
    <t>23106.043884/2024-90</t>
  </si>
  <si>
    <r>
      <rPr>
        <sz val="11"/>
        <color rgb="FF000000"/>
        <rFont val="Arial"/>
        <family val="2"/>
        <charset val="1"/>
      </rPr>
      <t>ARTES GRÁFICA COMÉRCIO E REPRESENTAÇÕES EIRELI (serviços continuados de Designer Gráfico)</t>
    </r>
    <r>
      <rPr>
        <sz val="11"/>
        <color rgb="FFFF0000"/>
        <rFont val="Arial"/>
        <family val="2"/>
        <charset val="1"/>
      </rPr>
      <t xml:space="preserve"> - foi solicitada prorrogação por 20 meses</t>
    </r>
  </si>
  <si>
    <t>VGM01N01P4N</t>
  </si>
  <si>
    <t>05606994000108</t>
  </si>
  <si>
    <t>23106.148085/2022-47</t>
  </si>
  <si>
    <t>147/2022</t>
  </si>
  <si>
    <r>
      <rPr>
        <sz val="11"/>
        <color rgb="FF000000"/>
        <rFont val="Arial"/>
        <family val="2"/>
        <charset val="1"/>
      </rPr>
      <t xml:space="preserve">ELYON BRASIL - </t>
    </r>
    <r>
      <rPr>
        <b/>
        <sz val="11"/>
        <color rgb="FF000000"/>
        <rFont val="Arial"/>
        <family val="2"/>
        <charset val="1"/>
      </rPr>
      <t>ESPLANADA</t>
    </r>
    <r>
      <rPr>
        <sz val="11"/>
        <color rgb="FF000000"/>
        <rFont val="Arial"/>
        <family val="2"/>
        <charset val="1"/>
      </rPr>
      <t xml:space="preserve"> SERVICOS TERCEIRIZADOS EIRELI - serviços continuados de pessoal - coletores de resíduos de serviços de saúde</t>
    </r>
  </si>
  <si>
    <t>01099686000182</t>
  </si>
  <si>
    <t xml:space="preserve">23106.031888/2020-00 </t>
  </si>
  <si>
    <t>111/2020</t>
  </si>
  <si>
    <t xml:space="preserve">- ALFA E OMEGA Apoio Técnico EDU </t>
  </si>
  <si>
    <t>VGM01N01D5N</t>
  </si>
  <si>
    <t>16650774000106</t>
  </si>
  <si>
    <t>23106.011967/2019-52</t>
  </si>
  <si>
    <t>022/2021</t>
  </si>
  <si>
    <t xml:space="preserve">RCS Tecnologia LTDA - copeiragem </t>
  </si>
  <si>
    <t>VGM01N01O2N</t>
  </si>
  <si>
    <t>23106.125355/2019-46
23106.035022/2021-41</t>
  </si>
  <si>
    <t>não será renovado</t>
  </si>
  <si>
    <t>07/2021</t>
  </si>
  <si>
    <t>OBJETIVA SERVIÇOS TERCEIRIZADOS LTDA - copeiragem</t>
  </si>
  <si>
    <t>10.874.523/0001-10</t>
  </si>
  <si>
    <t>23106.030343/2024-00</t>
  </si>
  <si>
    <t>24/2025</t>
  </si>
  <si>
    <t>T&amp;S Engenharia Telemática e Sistemas LTDA - contínuo</t>
  </si>
  <si>
    <t>VGM01N01B7N</t>
  </si>
  <si>
    <t>00712411000100</t>
  </si>
  <si>
    <t xml:space="preserve">23106.034924/2021-60 </t>
  </si>
  <si>
    <t>006/2021</t>
  </si>
  <si>
    <t>OBJETIVA SERVIÇOS TERCEIRIZADOS LTDA - contínuo</t>
  </si>
  <si>
    <t>23/2025</t>
  </si>
  <si>
    <t>Phoenix Comércio e Serviços de Limpeza LTDA - Almoxarifado e de transporte interno de móveis e materiais</t>
  </si>
  <si>
    <t>VGM01N01F7N</t>
  </si>
  <si>
    <t xml:space="preserve">12978051000171
</t>
  </si>
  <si>
    <t>23106.001099/2022-06</t>
  </si>
  <si>
    <t>111/2022</t>
  </si>
  <si>
    <t xml:space="preserve">- RCA (Limpeza e Conservação) </t>
  </si>
  <si>
    <t>VGM01N01A7N</t>
  </si>
  <si>
    <t xml:space="preserve"> 69.207.850/0001-61</t>
  </si>
  <si>
    <t>23106.057738/2021-07</t>
  </si>
  <si>
    <t>02/2022</t>
  </si>
  <si>
    <t xml:space="preserve">Life Defense (Segurança) </t>
  </si>
  <si>
    <t>VGM01N01A8N</t>
  </si>
  <si>
    <t>02674687000176</t>
  </si>
  <si>
    <r>
      <rPr>
        <sz val="11"/>
        <color rgb="FF000000"/>
        <rFont val="Arial"/>
        <family val="2"/>
        <charset val="1"/>
      </rPr>
      <t xml:space="preserve">23106.016977/2013-99
</t>
    </r>
    <r>
      <rPr>
        <sz val="11"/>
        <color rgb="FF00A933"/>
        <rFont val="Arial"/>
        <family val="2"/>
        <charset val="1"/>
      </rPr>
      <t xml:space="preserve">23106.083943/2018-14
</t>
    </r>
    <r>
      <rPr>
        <sz val="11"/>
        <color rgb="FF000000"/>
        <rFont val="Arial"/>
        <family val="2"/>
        <charset val="1"/>
      </rPr>
      <t>23106.047642/2024-75</t>
    </r>
  </si>
  <si>
    <t>Foi solicitado parecer à PF para prorrogação.</t>
  </si>
  <si>
    <t>011/2020</t>
  </si>
  <si>
    <t xml:space="preserve">G&amp;E SERVICOS TERCEIRIZADOS LTDA (PORTARIA) </t>
  </si>
  <si>
    <t>VGM01N01A9N</t>
  </si>
  <si>
    <t>08744139000151</t>
  </si>
  <si>
    <t>23106.085840/2022-75
23106.005560/2022-91
23106.046596/2024-97</t>
  </si>
  <si>
    <t>081/2022</t>
  </si>
  <si>
    <r>
      <rPr>
        <sz val="11"/>
        <color rgb="FF000000"/>
        <rFont val="Arial"/>
        <family val="2"/>
        <charset val="1"/>
      </rPr>
      <t>G&amp;E SERVICOS TERCEIRIZADOS LTDA - serviços continuados de</t>
    </r>
    <r>
      <rPr>
        <b/>
        <sz val="11"/>
        <color rgb="FF000000"/>
        <rFont val="Arial"/>
        <family val="2"/>
        <charset val="1"/>
      </rPr>
      <t xml:space="preserve"> motorista</t>
    </r>
  </si>
  <si>
    <t>VGM01N01P5N</t>
  </si>
  <si>
    <t>23106.038810/2022-70</t>
  </si>
  <si>
    <t>001/2023</t>
  </si>
  <si>
    <t xml:space="preserve">GRIFFO (recepcionista) </t>
  </si>
  <si>
    <t>VGM01N01B3N</t>
  </si>
  <si>
    <t>26426650000197</t>
  </si>
  <si>
    <t>23106.127519/2018-99; 23106.069857/2019-80</t>
  </si>
  <si>
    <t>32/2019</t>
  </si>
  <si>
    <r>
      <rPr>
        <sz val="11"/>
        <color rgb="FF000000"/>
        <rFont val="Arial"/>
        <family val="2"/>
      </rPr>
      <t xml:space="preserve">MPE ENGENHARIA E SERVICOS S/A (serviços comuns de engenharia, incluindo manutenção, conservação, adaptação, reparação e instalação de infraestruturas prediais e imobiliárias) - </t>
    </r>
    <r>
      <rPr>
        <sz val="11"/>
        <color rgb="FFC9211E"/>
        <rFont val="Arial"/>
        <family val="2"/>
      </rPr>
      <t>(exceto DAC)</t>
    </r>
  </si>
  <si>
    <t>VGM01N01H3N</t>
  </si>
  <si>
    <t>04743858000105</t>
  </si>
  <si>
    <t>23106.149436/2022-37</t>
  </si>
  <si>
    <t>1201/2023</t>
  </si>
  <si>
    <t xml:space="preserve">MPE - Adequação e impermeabilização </t>
  </si>
  <si>
    <t>VGA02N43E3N</t>
  </si>
  <si>
    <t>23106.149228/2022-38</t>
  </si>
  <si>
    <t>1110/2024</t>
  </si>
  <si>
    <r>
      <rPr>
        <sz val="11"/>
        <color rgb="FF000000"/>
        <rFont val="Arial"/>
        <family val="2"/>
      </rPr>
      <t xml:space="preserve">POLI ENGENHARIA LTDA (serviços comuns de engenharia, incluindo manutenção, conservação, adaptação, reparação e instalação de infraestruturas prediais e imobiliárias) </t>
    </r>
    <r>
      <rPr>
        <sz val="11"/>
        <color rgb="FFFF0000"/>
        <rFont val="Arial"/>
        <family val="2"/>
      </rPr>
      <t>- contrato 20 meses</t>
    </r>
  </si>
  <si>
    <t>00700518000138</t>
  </si>
  <si>
    <t>23106.117479/2022-53</t>
  </si>
  <si>
    <t>1226/2022</t>
  </si>
  <si>
    <t xml:space="preserve">Ágil (Serviços Agropecuários) </t>
  </si>
  <si>
    <t>VGM01N01C5N</t>
  </si>
  <si>
    <t>72620735000129</t>
  </si>
  <si>
    <t>23106.076196/2018-68
23106.030688/2022-93</t>
  </si>
  <si>
    <t>Solicitado parecer à PF para prorrogação.</t>
  </si>
  <si>
    <t>25/2020</t>
  </si>
  <si>
    <t>RB GRÁFICA DIGITAL LTDA</t>
  </si>
  <si>
    <t>VGM01N01Q1N</t>
  </si>
  <si>
    <t>16.951.665/0001-10</t>
  </si>
  <si>
    <t>23106.041918/2022-40</t>
  </si>
  <si>
    <t>104/2023</t>
  </si>
  <si>
    <t>ARTECOR GRÁFICO E EDITORA LTDA</t>
  </si>
  <si>
    <t>38.013.991/0001-10</t>
  </si>
  <si>
    <t>105/2023</t>
  </si>
  <si>
    <t>Contrato de Limpeza -  UnB Cerrado (AP PISCINAS EIRELI)</t>
  </si>
  <si>
    <t>VGM01N01A7N
(VGM01N1F2N-PI indevido)</t>
  </si>
  <si>
    <t>08475822000130</t>
  </si>
  <si>
    <t>23106.116355/2019-55</t>
  </si>
  <si>
    <t>112/2020</t>
  </si>
  <si>
    <t>- Segurança - ULTRASEG Segurança Patrimonial Ltda</t>
  </si>
  <si>
    <t>09151154000159</t>
  </si>
  <si>
    <t>23106.020717/2022-17</t>
  </si>
  <si>
    <t>1207/2022</t>
  </si>
  <si>
    <r>
      <rPr>
        <sz val="11"/>
        <color rgb="FF000000"/>
        <rFont val="Arial"/>
        <family val="2"/>
        <charset val="1"/>
      </rPr>
      <t>Jardinagem - UnB Cerrado</t>
    </r>
    <r>
      <rPr>
        <sz val="11"/>
        <rFont val="Arial"/>
        <family val="2"/>
        <charset val="1"/>
      </rPr>
      <t xml:space="preserve"> - AMBIENTAL DO BRASIL ESTUDOS E PROJETOS AMBIENTAIS LTDA</t>
    </r>
  </si>
  <si>
    <t>09150575000165</t>
  </si>
  <si>
    <t>23106.092536/2018-06</t>
  </si>
  <si>
    <t>659/2020</t>
  </si>
  <si>
    <t>Recepcionista – AMR LIMPEZA E LOCACAO DE AUTOMOVEIS LTDA</t>
  </si>
  <si>
    <t>10.258.826/0001-09</t>
  </si>
  <si>
    <t>23106.100112/2023-81</t>
  </si>
  <si>
    <t>Contrato Encerrado</t>
  </si>
  <si>
    <t>12/2024</t>
  </si>
  <si>
    <t>'- GESTOR SERVICOS EMPRESARIAIS (Portaria - SPI)</t>
  </si>
  <si>
    <t>Contratos SPI</t>
  </si>
  <si>
    <t>VGM01N01E8N</t>
  </si>
  <si>
    <t>02.685.728/0001-20</t>
  </si>
  <si>
    <t>23106.047067/2021-68</t>
  </si>
  <si>
    <t>001/2022</t>
  </si>
  <si>
    <t>- SEFIX (Limpeza e Conservação - SPI)</t>
  </si>
  <si>
    <t>VGM01N01E9N</t>
  </si>
  <si>
    <t>13258899000199</t>
  </si>
  <si>
    <t>23106.047036/2021-15</t>
  </si>
  <si>
    <t>033/2022</t>
  </si>
  <si>
    <t>Engemega - (Manutenção de Imóveis gerenciados pela Secretaria de Patrimônio Imobiliário (SPI)) – contrato 1 (contrato antigo)</t>
  </si>
  <si>
    <t>VGM01N01D4N</t>
  </si>
  <si>
    <t>33480104/0001-08</t>
  </si>
  <si>
    <t xml:space="preserve">23106.059077/2021-46 </t>
  </si>
  <si>
    <t>1223/2022</t>
  </si>
  <si>
    <t>Engemega - (Manutenção de Imóveis gerenciados pela Secretaria de Patrimônio Imobiliário (SPI)) – contrato 2 (novo contrato)</t>
  </si>
  <si>
    <t>23106.066341/2023-60</t>
  </si>
  <si>
    <t>1206/2024</t>
  </si>
  <si>
    <t>FORMIGA ENGENHARIA E ARQUITETURA LTDA, especializada na prestação de serviços continuados, sem dedicação exclusiva de mão de obra, para realização de vistorias de entrada e saída nos imóveis de propriedade da Universidade de Brasília</t>
  </si>
  <si>
    <t>VGM01N01D2N</t>
  </si>
  <si>
    <t>22.352.353/0001-93</t>
  </si>
  <si>
    <t>23106.013588/2024-64</t>
  </si>
  <si>
    <t>93/2024</t>
  </si>
  <si>
    <t>QUANTUM SOLUÇÕES E INOVAÇÕES LTDA - emissão de laudos técnicos de avaliação de valores imobiliários</t>
  </si>
  <si>
    <t>VGM01N01Q7N</t>
  </si>
  <si>
    <t>43.946.228/0001-81</t>
  </si>
  <si>
    <t>23106.019008/2024-42</t>
  </si>
  <si>
    <t>05/11/2025</t>
  </si>
  <si>
    <t>1221/2024</t>
  </si>
  <si>
    <t>SILVA EDIFICAÇÕES LTDA - emissão de laudos técnicos de avaliação de valores imobiliários</t>
  </si>
  <si>
    <t>44.532.592/0001-68</t>
  </si>
  <si>
    <t>HONIX (elevadores) (01 de um mês a 30 do mesmo mês)</t>
  </si>
  <si>
    <t>VGM01N01I7N</t>
  </si>
  <si>
    <t>21051130000123</t>
  </si>
  <si>
    <t>23106.053280/2018-11</t>
  </si>
  <si>
    <t>Não será renovado</t>
  </si>
  <si>
    <t>090/2019</t>
  </si>
  <si>
    <t xml:space="preserve">ONE ELEVADORES DF LTDA </t>
  </si>
  <si>
    <t>02.633.335/0001-72</t>
  </si>
  <si>
    <t>23106.077388/2024-30</t>
  </si>
  <si>
    <t>94/2024</t>
  </si>
  <si>
    <t>- ENERGIA ELÉTRICA - SPI</t>
  </si>
  <si>
    <t>07522669000192</t>
  </si>
  <si>
    <t xml:space="preserve">- CAESB - SPI </t>
  </si>
  <si>
    <t>00082024000137</t>
  </si>
  <si>
    <t xml:space="preserve">- Despesas de Condomínio </t>
  </si>
  <si>
    <t>VGM01N01K6N</t>
  </si>
  <si>
    <t>23106.134844/2020-22</t>
  </si>
  <si>
    <t xml:space="preserve">Restaurante ISM EIRELI (diretoria RU) - Ação 20RK planilha DRU </t>
  </si>
  <si>
    <t>Contrato DAC/RU</t>
  </si>
  <si>
    <t>VGM01N01B5N</t>
  </si>
  <si>
    <t>04228626001263</t>
  </si>
  <si>
    <t>23106.013653/2020-28</t>
  </si>
  <si>
    <t>31/2021</t>
  </si>
  <si>
    <t>- Serviço manutenção piscinas Casa Niemeyer</t>
  </si>
  <si>
    <t>Contratos Diversos</t>
  </si>
  <si>
    <t>VGM01N01N5N</t>
  </si>
  <si>
    <t>Auxílio Moradia - Processos judiciais residentes médicos</t>
  </si>
  <si>
    <t>VEP01S19A1N</t>
  </si>
  <si>
    <t xml:space="preserve"> 00424.086713/2023-76 00424.187663/2022-62 00424.084224/2023-80 00424.158540/2022-14
00424.081691/2024-39
00424.126909/2024-91 00424.190315/2023-53 00424.124332/2024-83</t>
  </si>
  <si>
    <r>
      <rPr>
        <sz val="11"/>
        <color rgb="FF000000"/>
        <rFont val="Arial"/>
        <family val="2"/>
      </rPr>
      <t xml:space="preserve">PGFN: 1° ATI, negociação conta n°: 7300348 ( Consulta Acordo n°1 - Conta da Negociação 7300348 (SEI nº 10575553)
</t>
    </r>
    <r>
      <rPr>
        <b/>
        <sz val="11"/>
        <color rgb="FF000000"/>
        <rFont val="Arial"/>
        <family val="2"/>
      </rPr>
      <t xml:space="preserve">SEI origem: 23106.094258/2021-19
SEI pagamento em 2023: 23106.005996/2023-61
Despacho que contém explicação: 10567234 do SEI 23106.132563/2023-88
</t>
    </r>
    <r>
      <rPr>
        <sz val="11"/>
        <color rgb="FF000000"/>
        <rFont val="Arial"/>
        <family val="2"/>
      </rPr>
      <t>Acordo de Transação Individual (ATI), referente à dívida ativa tributária junto à PGFN -débitos previdenciários
Empenho atual: 2024NE000285</t>
    </r>
  </si>
  <si>
    <t>VGH01N0112N</t>
  </si>
  <si>
    <t>23106.094258/2021-19
23106.001775/2022-33 23106.005996/2023-61
23106.044758/2024-52
23106.132563/2023-88</t>
  </si>
  <si>
    <t>60 parcelas
(já pagou 20/60)</t>
  </si>
  <si>
    <r>
      <rPr>
        <sz val="11"/>
        <color rgb="FF000000"/>
        <rFont val="Arial"/>
        <family val="2"/>
        <charset val="1"/>
      </rPr>
      <t xml:space="preserve">PGFN: 2° ATI, negociação conta n°: 8815031 (Consulta Acordo n°2 - Conta da Negociação 8815031 (SEI nº 10576277))
</t>
    </r>
    <r>
      <rPr>
        <b/>
        <sz val="11"/>
        <color rgb="FF000000"/>
        <rFont val="Arial"/>
        <family val="2"/>
        <charset val="1"/>
      </rPr>
      <t xml:space="preserve">SEI origem: 23106.059565/2023-15
SEI pagamento 2023:23106.123083/2023-26 que foi realizado o pagamento da entrada e no  23106.128684/2023-25 constará os demais pagamentos.
Despacho que contém explicação: 10567234 do SEI 23106.132563/2023-88
</t>
    </r>
    <r>
      <rPr>
        <sz val="11"/>
        <color rgb="FF000000"/>
        <rFont val="Arial"/>
        <family val="2"/>
        <charset val="1"/>
      </rPr>
      <t>Guias de Recolhimento de FGTS e Informações à Previdência Social (GFIP) das competências de janeiro/2011, fevereiro/2011, abril/2011, junho/2011 e novembro/2011
Empenho atual: 2023NE003705; 2024NE000487</t>
    </r>
  </si>
  <si>
    <r>
      <rPr>
        <b/>
        <sz val="11"/>
        <color rgb="FF000000"/>
        <rFont val="Arial"/>
        <family val="2"/>
        <charset val="1"/>
      </rPr>
      <t xml:space="preserve">23106.059565/2023-15
</t>
    </r>
    <r>
      <rPr>
        <sz val="11"/>
        <color rgb="FF000000"/>
        <rFont val="Arial"/>
        <family val="2"/>
        <charset val="1"/>
      </rPr>
      <t>23106.128684/2023-25 
23106.044758/2024-52
23106.132563/2023-88</t>
    </r>
  </si>
  <si>
    <t>60 parcelas
(já pagou 10/60)</t>
  </si>
  <si>
    <r>
      <rPr>
        <sz val="11"/>
        <color rgb="FF000000"/>
        <rFont val="Arial"/>
        <family val="2"/>
        <charset val="1"/>
      </rPr>
      <t xml:space="preserve">RFB: Conta da Negociação 0211000120 (Consulta Parcelamento n°1 - Conta da Negociação 0211000120 (SEI nº 10580261))
</t>
    </r>
    <r>
      <rPr>
        <b/>
        <sz val="11"/>
        <color rgb="FF000000"/>
        <rFont val="Arial"/>
        <family val="2"/>
        <charset val="1"/>
      </rPr>
      <t xml:space="preserve">SEI origem: 23106.059634/2023-91
SEI pagamento em 2023: 23106.087581/2023-06
Despacho que contém explicação: 10567234 do SEI 23106.132563/2023-88
</t>
    </r>
    <r>
      <rPr>
        <sz val="11"/>
        <color rgb="FF000000"/>
        <rFont val="Arial"/>
        <family val="2"/>
        <charset val="1"/>
      </rPr>
      <t>Atraso das Guias de Recolhimento de FGTS e Informações à Previdência Social (GFIP) das competências de julho/2010, outubro/2010, novembro/2010, dezembro/2011 e 13°/2011
Empenho atual: 2023NE003850 e 2024NE000284</t>
    </r>
  </si>
  <si>
    <r>
      <rPr>
        <b/>
        <sz val="11"/>
        <color rgb="FF000000"/>
        <rFont val="Arial"/>
        <family val="2"/>
        <charset val="1"/>
      </rPr>
      <t xml:space="preserve">23106.059634/2023-91
</t>
    </r>
    <r>
      <rPr>
        <sz val="11"/>
        <color rgb="FF000000"/>
        <rFont val="Arial"/>
        <family val="2"/>
        <charset val="1"/>
      </rPr>
      <t>23106.087581/2023-06
23106.044758/2024-52
23106.132563/2023-88</t>
    </r>
  </si>
  <si>
    <t>60 parcelas
(já pagou 13/60)</t>
  </si>
  <si>
    <r>
      <rPr>
        <sz val="11"/>
        <color rgb="FF000000"/>
        <rFont val="Arial"/>
        <family val="2"/>
        <charset val="1"/>
      </rPr>
      <t>- Ajuda de custo (Redistribuição de servidores)</t>
    </r>
    <r>
      <rPr>
        <sz val="11"/>
        <color rgb="FFFF0000"/>
        <rFont val="Arial"/>
        <family val="2"/>
        <charset val="1"/>
      </rPr>
      <t xml:space="preserve"> </t>
    </r>
  </si>
  <si>
    <t>VGH01N0111N</t>
  </si>
  <si>
    <t>Cespe (despesas diversas)</t>
  </si>
  <si>
    <t>CESPE</t>
  </si>
  <si>
    <t>VGR02N01A1N</t>
  </si>
  <si>
    <t>23106.019902/2017-93</t>
  </si>
  <si>
    <r>
      <rPr>
        <sz val="11"/>
        <color rgb="FF000000"/>
        <rFont val="Arial"/>
        <family val="2"/>
        <charset val="1"/>
      </rPr>
      <t>Contrato de serviços especializados com vistas à realização de estudos técnicos, de planejamentos, projetos básicos ou executivos, assessoria técnica e apoio técnico nas áreas de Tecnologia da Informação (TI) e Logística,</t>
    </r>
    <r>
      <rPr>
        <b/>
        <sz val="11"/>
        <color rgb="FF000000"/>
        <rFont val="Arial"/>
        <family val="2"/>
        <charset val="1"/>
      </rPr>
      <t xml:space="preserve"> entre a UnB e o CEBRASPE</t>
    </r>
  </si>
  <si>
    <t>DEG</t>
  </si>
  <si>
    <t>VGR02N01A2N</t>
  </si>
  <si>
    <t>23106.040707/2022-90
(60 parcelas)</t>
  </si>
  <si>
    <t>1205/2022</t>
  </si>
  <si>
    <t xml:space="preserve">CEBRASPE (Processos seletivos UnB) </t>
  </si>
  <si>
    <t>VGM01N01J5N</t>
  </si>
  <si>
    <t>23106.098851/2020-53
23106.018871/2022-11
23106.093468/2021-90 23106.065413/2023-51 23106.065557/2023-16 
23106.035963/2024-27</t>
  </si>
  <si>
    <t>diversos</t>
  </si>
  <si>
    <t>CONCEIÇÃO Aparecida Braga 67186920691 ME (análise e levantamento de conjuntos documentais do arquivo do Cespe/UnB)</t>
  </si>
  <si>
    <t>VGM01N01P1N</t>
  </si>
  <si>
    <t>41423145000182</t>
  </si>
  <si>
    <t xml:space="preserve">23106.059346/2020-93 </t>
  </si>
  <si>
    <t>Termo Aditivo Assinado 11950796</t>
  </si>
  <si>
    <t xml:space="preserve">1230/2022 </t>
  </si>
  <si>
    <r>
      <rPr>
        <sz val="11"/>
        <color rgb="FF000000"/>
        <rFont val="Arial"/>
        <family val="2"/>
        <charset val="1"/>
      </rPr>
      <t>- Prisma SYS/ DCF (Licença de Uso e suporte técnico Consiafi)</t>
    </r>
    <r>
      <rPr>
        <sz val="11"/>
        <color rgb="FFFF0000"/>
        <rFont val="Arial"/>
        <family val="2"/>
        <charset val="1"/>
      </rPr>
      <t xml:space="preserve"> - parcela única</t>
    </r>
  </si>
  <si>
    <t>VGM01N01L7N</t>
  </si>
  <si>
    <t>38068664000165</t>
  </si>
  <si>
    <t>23106.009.366/2016-37
23106.050235/2020-11</t>
  </si>
  <si>
    <t>Não Pode ser renovado 11559576</t>
  </si>
  <si>
    <t>504/2020</t>
  </si>
  <si>
    <t xml:space="preserve">Tratador de Piscinas CO e casa Oscar Niemayer - (AP Piscinas EIRELI) </t>
  </si>
  <si>
    <t>VGM01N01E2N</t>
  </si>
  <si>
    <t>23106.013349/2019-47</t>
  </si>
  <si>
    <t>93/2020</t>
  </si>
  <si>
    <t>PLUS TERCEIRIZACAO LTDA (serviços continuados de tratador de piscina)</t>
  </si>
  <si>
    <t>23106.062907/2024-65</t>
  </si>
  <si>
    <t>Pregão: 90003/2025</t>
  </si>
  <si>
    <t>- STI UFRN/ GRE (5 parcelas)</t>
  </si>
  <si>
    <t>VGM01N01M5N</t>
  </si>
  <si>
    <t>23106.073966/2017-30
23106.091209/2020-43</t>
  </si>
  <si>
    <t>Destaque realizado</t>
  </si>
  <si>
    <t>TED nº 8444.12.0820/2021</t>
  </si>
  <si>
    <t>- Correios - ECT -reduziu porque não temos mais contrato de encomendas</t>
  </si>
  <si>
    <t>Comunicação</t>
  </si>
  <si>
    <t>VGM01N01J1N</t>
  </si>
  <si>
    <t>34028316000707</t>
  </si>
  <si>
    <t>23106.137850/2017-36; 23106.070712/2018-41
23106.015565/2023-11</t>
  </si>
  <si>
    <t>1207/2023</t>
  </si>
  <si>
    <t>- Empresa Brasil de Comunicação (EBC)</t>
  </si>
  <si>
    <t>VGM01N01I9N</t>
  </si>
  <si>
    <t>23106.048294/2020-20</t>
  </si>
  <si>
    <t>213/2020</t>
  </si>
  <si>
    <t>- Andromeda (serviços de becário e brigadista nas cerimônias de colação de grau)</t>
  </si>
  <si>
    <t>Cerimonial</t>
  </si>
  <si>
    <t>VGM01N01B9N</t>
  </si>
  <si>
    <t>20882119000142</t>
  </si>
  <si>
    <t>23106.072605/2019-38</t>
  </si>
  <si>
    <t>Não Pode ser renovado 10809034 Verificar saldo de Empenho</t>
  </si>
  <si>
    <t>135/2019</t>
  </si>
  <si>
    <t>Casablanca (Serviço de Mobiliário (Cadeiras) - manifestação de interesse de prorrogação ( Ofício 24-2024 (10948905)</t>
  </si>
  <si>
    <t>03370903000152</t>
  </si>
  <si>
    <t>23106.138096/2020-57
23106.042068/2025-40 
23106.105637/2024-94
(novo contrato)</t>
  </si>
  <si>
    <t>083/2024</t>
  </si>
  <si>
    <t>Lavanderia Cristal Serviços Expressos Ltda (higienização e passadoria de becas)</t>
  </si>
  <si>
    <t>01319181000186</t>
  </si>
  <si>
    <t>23106.001918/2023-98</t>
  </si>
  <si>
    <t>Dispensa. Nº 10002/2023</t>
  </si>
  <si>
    <t>- SIMPRESS - Outsourcing de serviços de impressão</t>
  </si>
  <si>
    <t>Contratos custeados pelas Unidades (STI)</t>
  </si>
  <si>
    <t>VGM01N01M8N</t>
  </si>
  <si>
    <t>07432517000107</t>
  </si>
  <si>
    <t>23106.000978/2016-64
23106.010988/2019-51</t>
  </si>
  <si>
    <t>512/2021</t>
  </si>
  <si>
    <t>Total da despesa</t>
  </si>
  <si>
    <t>Prioridade</t>
  </si>
  <si>
    <t>Tratador de Piscinas CO e casa Oscar Niemayer - (AP Piscinas EIRELI) - em fase de renovação</t>
  </si>
  <si>
    <t>Programação de Despesas</t>
  </si>
  <si>
    <t>PGFN: 1° ATI, negociação conta n°: 7300348 ( Consulta Acordo n°1 - Conta da Negociação 7300348 (SEI nº 10575553)</t>
  </si>
  <si>
    <t>Data de Atualização: 11/03/2025</t>
  </si>
  <si>
    <t xml:space="preserve">POLI ENGENHARIA LTDA (serviços comuns de engenharia, incluindo manutenção, conservação, adaptação, reparação e instalação de infraestruturas prediais e imobiliárias) </t>
  </si>
  <si>
    <t>PGFN: 2° ATI, negociação conta n°: 8815031 (Consulta Acordo n°2 - Conta da Negociação 8815031 (SEI nº 10576277))</t>
  </si>
  <si>
    <t>08220952000122</t>
  </si>
  <si>
    <t>Foi para a PF solicitando prorrogação com vigência em 29/09/2025</t>
  </si>
  <si>
    <t>Foi para PF, prorrogação excepcional</t>
  </si>
  <si>
    <r>
      <rPr>
        <sz val="11"/>
        <color rgb="FF000000"/>
        <rFont val="Arial"/>
        <family val="2"/>
        <charset val="1"/>
      </rPr>
      <t xml:space="preserve">POLI ENGENHARIA LTDA (serviços comuns de engenharia, incluindo manutenção, conservação, adaptação, reparação e instalação de infraestruturas prediais e imobiliárias) </t>
    </r>
    <r>
      <rPr>
        <sz val="11"/>
        <color rgb="FFFF0000"/>
        <rFont val="Arial"/>
        <family val="2"/>
        <charset val="1"/>
      </rPr>
      <t>- contrato 20 meses</t>
    </r>
  </si>
  <si>
    <t>MPE ENGENHARIA E SERVICOS S/A (serviços comuns de engenharia, incluindo manutenção, conservação, adaptação, reparação e instalação de infraestruturas prediais e imobiliárias)</t>
  </si>
  <si>
    <t>Valor a Empenhar</t>
  </si>
  <si>
    <r>
      <rPr>
        <sz val="11"/>
        <color rgb="FF000000"/>
        <rFont val="Arial"/>
        <family val="2"/>
        <charset val="1"/>
      </rPr>
      <t xml:space="preserve">ELYON BRASIL - </t>
    </r>
    <r>
      <rPr>
        <b/>
        <sz val="11"/>
        <color rgb="FF000000"/>
        <rFont val="Arial"/>
        <family val="2"/>
        <charset val="1"/>
      </rPr>
      <t>ESPLANADA</t>
    </r>
    <r>
      <rPr>
        <sz val="11"/>
        <color rgb="FF000000"/>
        <rFont val="Arial"/>
        <family val="2"/>
        <charset val="1"/>
      </rPr>
      <t xml:space="preserve"> SERVICOS TERCEIRIZADOS EIRELI </t>
    </r>
  </si>
  <si>
    <t>02685728000120</t>
  </si>
  <si>
    <r>
      <rPr>
        <sz val="11"/>
        <color rgb="FF000000"/>
        <rFont val="Arial"/>
        <family val="2"/>
        <charset val="1"/>
      </rPr>
      <t xml:space="preserve">RFB: Conta da Negociação 0211000120 (Consulta Parcelamento n°1 - Conta da Negociação 0211000120 (SEI nº 10580261))
</t>
    </r>
  </si>
  <si>
    <t>Fonte</t>
  </si>
  <si>
    <t>RFB: Conta da Negociação 0211000120 (Consulta Parcelamento n°1 - Conta da Negociação 0211000120 (SEI nº 10580261))</t>
  </si>
  <si>
    <t>Engemega - (Manutenção de Imóveis gerenciados pela Secretaria de Patrimônio Imobiliário (SPI)) – contrato 1</t>
  </si>
  <si>
    <t>Data de Atualização: 12/03/2025</t>
  </si>
  <si>
    <t>Fonte da Ação 20RK</t>
  </si>
  <si>
    <t>07044248000101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</si>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</sst>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&quot;R$ &quot;* #,##0.00_-;&quot;-R$ &quot;* #,##0.00_-;_-&quot;R$ &quot;* \-??_-;_-@_-"/>
    <numFmt numFmtId="165" formatCode="_(&quot;R$&quot;* #,##0.00_);_(&quot;R$&quot;* \(#,##0.00\);_(&quot;R$&quot;* \-??_);_(@_)"/>
    <numFmt numFmtId="166" formatCode="_(* #,##0.00_);_(* \(#,##0.00\);_(* \-??_);_(@_)"/>
    <numFmt numFmtId="167" formatCode="_(* #,##0_);_(* \(#,##0\);_(* \-_);_(@_)"/>
    <numFmt numFmtId="168" formatCode="_(* #,##0_);_(* \(#,##0\);_(* \-??_);_(@_)"/>
    <numFmt numFmtId="169" formatCode="_-* #,##0_-;\-* #,##0_-;_-* \-??_-;_-@_-"/>
    <numFmt numFmtId="170" formatCode="[$-416]mmm\-yy;@"/>
    <numFmt numFmtId="171" formatCode="#,##0.00_);\(#,##0.00\)"/>
    <numFmt numFmtId="172" formatCode="#,##0_);\(#,##0\)"/>
    <numFmt numFmtId="173" formatCode="d/m/yyyy"/>
    <numFmt numFmtId="174" formatCode="#,##0.0"/>
    <numFmt numFmtId="175" formatCode=";;;"/>
    <numFmt numFmtId="176" formatCode="0.0"/>
    <numFmt numFmtId="177" formatCode="_-* #,##0.00_-;\-* #,##0.00_-;_-* \-??_-;_-@_-"/>
  </numFmts>
  <fonts count="24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:ss01=0&amp;ss02=0&amp;ss03=0"/>
      <family val="2"/>
      <charset val="1"/>
    </font>
    <font>
      <sz val="11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color rgb="FFC9211E"/>
      <name val="Arial"/>
      <family val="2"/>
      <charset val="1"/>
    </font>
    <font>
      <sz val="11"/>
      <color rgb="FFFF0000"/>
      <name val="Arial"/>
      <family val="2"/>
      <charset val="1"/>
    </font>
    <font>
      <u/>
      <sz val="11"/>
      <color rgb="FF0000FF"/>
      <name val="Calibri"/>
      <family val="2"/>
      <charset val="1"/>
    </font>
    <font>
      <b/>
      <sz val="11"/>
      <color rgb="FFFF0000"/>
      <name val="Arial"/>
      <family val="2"/>
      <charset val="1"/>
    </font>
    <font>
      <sz val="11"/>
      <color rgb="FF00A933"/>
      <name val="Arial"/>
      <family val="2"/>
      <charset val="1"/>
    </font>
    <font>
      <sz val="11"/>
      <color rgb="FF000000"/>
      <name val="Arial"/>
      <family val="2"/>
    </font>
    <font>
      <sz val="11"/>
      <color rgb="FFC9211E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2"/>
    </font>
    <font>
      <sz val="8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F0000"/>
        <bgColor rgb="FFCC0000"/>
      </patternFill>
    </fill>
    <fill>
      <patternFill patternType="solid">
        <fgColor rgb="FF00A933"/>
        <bgColor rgb="FF00B050"/>
      </patternFill>
    </fill>
    <fill>
      <patternFill patternType="solid">
        <fgColor rgb="FFFFFF00"/>
        <bgColor rgb="FFFFC000"/>
      </patternFill>
    </fill>
    <fill>
      <patternFill patternType="solid">
        <fgColor rgb="FFFFC000"/>
        <bgColor rgb="FFEDB506"/>
      </patternFill>
    </fill>
    <fill>
      <patternFill patternType="solid">
        <fgColor rgb="FF315F92"/>
        <bgColor rgb="FF2F5597"/>
      </patternFill>
    </fill>
    <fill>
      <patternFill patternType="solid">
        <fgColor rgb="FFC9211E"/>
        <bgColor rgb="FFCC0000"/>
      </patternFill>
    </fill>
    <fill>
      <patternFill patternType="solid">
        <fgColor rgb="FF505050"/>
        <bgColor rgb="FF2F5597"/>
      </patternFill>
    </fill>
    <fill>
      <patternFill patternType="solid">
        <fgColor rgb="FF8FAADC"/>
        <bgColor rgb="FF93CDDD"/>
      </patternFill>
    </fill>
    <fill>
      <patternFill patternType="solid">
        <fgColor rgb="FFFFFFFF"/>
        <bgColor rgb="FFF2F2F2"/>
      </patternFill>
    </fill>
    <fill>
      <patternFill patternType="solid">
        <fgColor rgb="FFC7C3AD"/>
        <bgColor rgb="FFC9C8C2"/>
      </patternFill>
    </fill>
    <fill>
      <patternFill patternType="solid">
        <fgColor rgb="FF93CDDD"/>
        <bgColor rgb="FFBDD7EE"/>
      </patternFill>
    </fill>
    <fill>
      <patternFill patternType="solid">
        <fgColor rgb="FFFF4000"/>
        <bgColor rgb="FFED4C05"/>
      </patternFill>
    </fill>
    <fill>
      <patternFill patternType="solid">
        <fgColor rgb="FF111C37"/>
        <bgColor rgb="FF003300"/>
      </patternFill>
    </fill>
    <fill>
      <patternFill patternType="solid">
        <fgColor rgb="FF91D04B"/>
        <bgColor rgb="FF9BBB59"/>
      </patternFill>
    </fill>
    <fill>
      <patternFill patternType="solid">
        <fgColor rgb="FFF2F2F2"/>
        <bgColor rgb="FFE7E6E6"/>
      </patternFill>
    </fill>
    <fill>
      <patternFill patternType="solid">
        <fgColor rgb="FFBDD7EE"/>
        <bgColor rgb="FFC9C8C2"/>
      </patternFill>
    </fill>
    <fill>
      <patternFill patternType="solid">
        <fgColor rgb="FF00B0F0"/>
        <bgColor rgb="FF008080"/>
      </patternFill>
    </fill>
    <fill>
      <patternFill patternType="solid">
        <fgColor rgb="FF00B050"/>
        <bgColor rgb="FF00A933"/>
      </patternFill>
    </fill>
    <fill>
      <patternFill patternType="solid">
        <fgColor rgb="FF7030A0"/>
        <bgColor rgb="FF800080"/>
      </patternFill>
    </fill>
    <fill>
      <patternFill patternType="solid">
        <fgColor rgb="FFFFFFA6"/>
        <bgColor rgb="FFF2F2F2"/>
      </patternFill>
    </fill>
    <fill>
      <patternFill patternType="solid">
        <fgColor rgb="FF558ED5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2F5597"/>
        <bgColor rgb="FF315F92"/>
      </patternFill>
    </fill>
    <fill>
      <patternFill patternType="solid">
        <fgColor rgb="FF2E75B6"/>
        <bgColor rgb="FF4472C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006F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166" fontId="22" fillId="0" borderId="0" applyBorder="0" applyProtection="0"/>
    <xf numFmtId="0" fontId="14" fillId="0" borderId="0" applyBorder="0" applyProtection="0"/>
    <xf numFmtId="164" fontId="22" fillId="0" borderId="0" applyBorder="0" applyProtection="0"/>
    <xf numFmtId="164" fontId="22" fillId="0" borderId="0" applyBorder="0" applyProtection="0"/>
    <xf numFmtId="164" fontId="1" fillId="0" borderId="0" applyBorder="0" applyProtection="0"/>
    <xf numFmtId="164" fontId="22" fillId="0" borderId="0" applyBorder="0" applyProtection="0"/>
    <xf numFmtId="164" fontId="22" fillId="0" borderId="0" applyBorder="0" applyProtection="0"/>
    <xf numFmtId="164" fontId="22" fillId="0" borderId="0" applyBorder="0" applyProtection="0"/>
    <xf numFmtId="165" fontId="22" fillId="0" borderId="0" applyBorder="0" applyProtection="0"/>
    <xf numFmtId="164" fontId="22" fillId="0" borderId="0" applyBorder="0" applyProtection="0"/>
    <xf numFmtId="0" fontId="1" fillId="0" borderId="0"/>
    <xf numFmtId="0" fontId="1" fillId="0" borderId="0"/>
    <xf numFmtId="0" fontId="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1" fillId="0" borderId="0"/>
    <xf numFmtId="0" fontId="22" fillId="0" borderId="0"/>
    <xf numFmtId="0" fontId="1" fillId="0" borderId="0"/>
    <xf numFmtId="0" fontId="1" fillId="0" borderId="0"/>
    <xf numFmtId="9" fontId="22" fillId="0" borderId="0" applyBorder="0" applyProtection="0"/>
    <xf numFmtId="0" fontId="4" fillId="2" borderId="0" applyProtection="0"/>
    <xf numFmtId="0" fontId="5" fillId="3" borderId="0" applyBorder="0" applyProtection="0"/>
    <xf numFmtId="0" fontId="5" fillId="2" borderId="0" applyBorder="0" applyProtection="0"/>
    <xf numFmtId="0" fontId="22" fillId="4" borderId="0" applyBorder="0" applyProtection="0"/>
    <xf numFmtId="0" fontId="5" fillId="4" borderId="0" applyBorder="0" applyProtection="0"/>
    <xf numFmtId="166" fontId="22" fillId="0" borderId="0" applyBorder="0" applyProtection="0"/>
    <xf numFmtId="166" fontId="22" fillId="0" borderId="0" applyBorder="0" applyProtection="0"/>
    <xf numFmtId="166" fontId="22" fillId="0" borderId="0" applyBorder="0" applyProtection="0"/>
    <xf numFmtId="166" fontId="22" fillId="0" borderId="0" applyBorder="0" applyProtection="0"/>
    <xf numFmtId="166" fontId="22" fillId="0" borderId="0" applyBorder="0" applyProtection="0"/>
    <xf numFmtId="166" fontId="22" fillId="0" borderId="0" applyBorder="0" applyProtection="0"/>
    <xf numFmtId="166" fontId="22" fillId="0" borderId="0" applyBorder="0" applyProtection="0"/>
    <xf numFmtId="166" fontId="22" fillId="0" borderId="0" applyBorder="0" applyProtection="0"/>
    <xf numFmtId="166" fontId="22" fillId="0" borderId="0" applyBorder="0" applyProtection="0"/>
    <xf numFmtId="167" fontId="22" fillId="0" borderId="0" applyBorder="0" applyProtection="0"/>
    <xf numFmtId="166" fontId="22" fillId="0" borderId="0" applyBorder="0" applyProtection="0"/>
  </cellStyleXfs>
  <cellXfs count="203">
    <xf numFmtId="0" fontId="0" fillId="0" borderId="0" xfId="0"/>
    <xf numFmtId="0" fontId="8" fillId="6" borderId="2" xfId="0" applyFont="1" applyFill="1" applyBorder="1" applyAlignment="1">
      <alignment horizontal="center" vertical="center" wrapText="1"/>
    </xf>
    <xf numFmtId="0" fontId="8" fillId="25" borderId="2" xfId="0" applyFont="1" applyFill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right" vertical="center" wrapText="1"/>
    </xf>
    <xf numFmtId="3" fontId="5" fillId="0" borderId="2" xfId="1" applyNumberFormat="1" applyFont="1" applyBorder="1" applyAlignment="1" applyProtection="1">
      <alignment horizontal="center" vertical="center" wrapText="1"/>
    </xf>
    <xf numFmtId="3" fontId="5" fillId="11" borderId="2" xfId="1" applyNumberFormat="1" applyFont="1" applyFill="1" applyBorder="1" applyAlignment="1" applyProtection="1">
      <alignment horizontal="right" vertical="center" wrapText="1"/>
    </xf>
    <xf numFmtId="3" fontId="5" fillId="0" borderId="2" xfId="1" applyNumberFormat="1" applyFont="1" applyBorder="1" applyAlignment="1" applyProtection="1">
      <alignment horizontal="right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168" fontId="5" fillId="0" borderId="0" xfId="1" applyNumberFormat="1" applyFont="1" applyBorder="1" applyAlignment="1" applyProtection="1">
      <alignment horizontal="right" vertical="center"/>
    </xf>
    <xf numFmtId="3" fontId="5" fillId="0" borderId="0" xfId="0" applyNumberFormat="1" applyFont="1" applyAlignment="1">
      <alignment vertical="center"/>
    </xf>
    <xf numFmtId="3" fontId="0" fillId="0" borderId="0" xfId="0" applyNumberFormat="1"/>
    <xf numFmtId="4" fontId="0" fillId="0" borderId="0" xfId="0" applyNumberFormat="1" applyAlignment="1">
      <alignment vertical="center"/>
    </xf>
    <xf numFmtId="4" fontId="0" fillId="0" borderId="0" xfId="0" applyNumberFormat="1"/>
    <xf numFmtId="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166" fontId="22" fillId="0" borderId="0" xfId="1" applyBorder="1" applyProtection="1"/>
    <xf numFmtId="16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vertical="center"/>
    </xf>
    <xf numFmtId="4" fontId="5" fillId="5" borderId="0" xfId="0" applyNumberFormat="1" applyFont="1" applyFill="1" applyAlignment="1">
      <alignment vertical="center"/>
    </xf>
    <xf numFmtId="168" fontId="5" fillId="0" borderId="0" xfId="0" applyNumberFormat="1" applyFont="1" applyAlignment="1">
      <alignment horizontal="right" vertical="center"/>
    </xf>
    <xf numFmtId="4" fontId="5" fillId="2" borderId="0" xfId="0" applyNumberFormat="1" applyFont="1" applyFill="1" applyAlignment="1">
      <alignment vertical="center"/>
    </xf>
    <xf numFmtId="0" fontId="8" fillId="7" borderId="2" xfId="0" applyFont="1" applyFill="1" applyBorder="1" applyAlignment="1">
      <alignment horizontal="center" vertical="center" wrapText="1"/>
    </xf>
    <xf numFmtId="168" fontId="8" fillId="6" borderId="2" xfId="1" applyNumberFormat="1" applyFont="1" applyFill="1" applyBorder="1" applyAlignment="1" applyProtection="1">
      <alignment horizontal="center" vertical="center" wrapText="1"/>
    </xf>
    <xf numFmtId="170" fontId="8" fillId="6" borderId="2" xfId="0" applyNumberFormat="1" applyFont="1" applyFill="1" applyBorder="1" applyAlignment="1">
      <alignment horizontal="center" vertical="center" wrapText="1"/>
    </xf>
    <xf numFmtId="170" fontId="8" fillId="8" borderId="2" xfId="0" applyNumberFormat="1" applyFont="1" applyFill="1" applyBorder="1" applyAlignment="1">
      <alignment horizontal="center" vertical="center" wrapText="1"/>
    </xf>
    <xf numFmtId="4" fontId="9" fillId="9" borderId="0" xfId="0" applyNumberFormat="1" applyFont="1" applyFill="1" applyAlignment="1">
      <alignment horizontal="right" vertical="center" wrapText="1"/>
    </xf>
    <xf numFmtId="4" fontId="9" fillId="0" borderId="0" xfId="0" applyNumberFormat="1" applyFont="1" applyAlignment="1">
      <alignment horizontal="right" vertical="center" wrapText="1"/>
    </xf>
    <xf numFmtId="169" fontId="5" fillId="0" borderId="2" xfId="1" applyNumberFormat="1" applyFont="1" applyBorder="1" applyAlignment="1" applyProtection="1">
      <alignment vertical="center" wrapText="1" shrinkToFit="1"/>
    </xf>
    <xf numFmtId="169" fontId="5" fillId="0" borderId="2" xfId="1" applyNumberFormat="1" applyFont="1" applyBorder="1" applyAlignment="1" applyProtection="1">
      <alignment horizontal="center" vertical="center" wrapText="1" shrinkToFit="1"/>
    </xf>
    <xf numFmtId="166" fontId="5" fillId="0" borderId="2" xfId="1" applyFont="1" applyBorder="1" applyAlignment="1" applyProtection="1">
      <alignment horizontal="center" vertical="center" wrapText="1"/>
    </xf>
    <xf numFmtId="166" fontId="10" fillId="10" borderId="2" xfId="1" applyFont="1" applyFill="1" applyBorder="1" applyAlignment="1" applyProtection="1">
      <alignment horizontal="center" vertical="center" wrapText="1"/>
    </xf>
    <xf numFmtId="166" fontId="22" fillId="0" borderId="2" xfId="1" applyBorder="1" applyProtection="1"/>
    <xf numFmtId="4" fontId="5" fillId="10" borderId="2" xfId="1" applyNumberFormat="1" applyFont="1" applyFill="1" applyBorder="1" applyAlignment="1" applyProtection="1">
      <alignment horizontal="right" vertical="center" wrapText="1"/>
    </xf>
    <xf numFmtId="168" fontId="5" fillId="10" borderId="2" xfId="1" applyNumberFormat="1" applyFont="1" applyFill="1" applyBorder="1" applyAlignment="1" applyProtection="1">
      <alignment horizontal="right" vertical="center" wrapText="1"/>
    </xf>
    <xf numFmtId="3" fontId="5" fillId="10" borderId="2" xfId="1" applyNumberFormat="1" applyFont="1" applyFill="1" applyBorder="1" applyAlignment="1" applyProtection="1">
      <alignment horizontal="right" vertical="center" wrapText="1"/>
    </xf>
    <xf numFmtId="171" fontId="5" fillId="10" borderId="2" xfId="0" applyNumberFormat="1" applyFont="1" applyFill="1" applyBorder="1" applyAlignment="1">
      <alignment horizontal="right" vertical="center"/>
    </xf>
    <xf numFmtId="4" fontId="5" fillId="12" borderId="2" xfId="1" applyNumberFormat="1" applyFont="1" applyFill="1" applyBorder="1" applyAlignment="1" applyProtection="1">
      <alignment horizontal="right" vertical="center" wrapText="1"/>
    </xf>
    <xf numFmtId="4" fontId="5" fillId="0" borderId="2" xfId="0" applyNumberFormat="1" applyFont="1" applyBorder="1" applyAlignment="1">
      <alignment vertical="center"/>
    </xf>
    <xf numFmtId="4" fontId="11" fillId="0" borderId="0" xfId="0" applyNumberFormat="1" applyFont="1" applyAlignment="1">
      <alignment vertical="center"/>
    </xf>
    <xf numFmtId="166" fontId="5" fillId="10" borderId="2" xfId="1" applyFont="1" applyFill="1" applyBorder="1" applyAlignment="1" applyProtection="1">
      <alignment horizontal="center" vertical="center" wrapText="1"/>
    </xf>
    <xf numFmtId="172" fontId="5" fillId="0" borderId="2" xfId="0" applyNumberFormat="1" applyFont="1" applyBorder="1" applyAlignment="1">
      <alignment horizontal="right" vertical="center" wrapText="1"/>
    </xf>
    <xf numFmtId="4" fontId="5" fillId="0" borderId="2" xfId="1" applyNumberFormat="1" applyFont="1" applyBorder="1" applyAlignment="1" applyProtection="1">
      <alignment horizontal="right" vertical="center" wrapText="1"/>
    </xf>
    <xf numFmtId="3" fontId="5" fillId="12" borderId="2" xfId="1" applyNumberFormat="1" applyFont="1" applyFill="1" applyBorder="1" applyAlignment="1" applyProtection="1">
      <alignment horizontal="right" vertical="center" wrapText="1"/>
    </xf>
    <xf numFmtId="169" fontId="5" fillId="4" borderId="2" xfId="1" applyNumberFormat="1" applyFont="1" applyFill="1" applyBorder="1" applyAlignment="1" applyProtection="1">
      <alignment vertical="center" wrapText="1" shrinkToFit="1"/>
    </xf>
    <xf numFmtId="173" fontId="5" fillId="10" borderId="2" xfId="1" applyNumberFormat="1" applyFont="1" applyFill="1" applyBorder="1" applyAlignment="1" applyProtection="1">
      <alignment horizontal="center" vertical="center" wrapText="1"/>
    </xf>
    <xf numFmtId="169" fontId="5" fillId="0" borderId="2" xfId="1" applyNumberFormat="1" applyFont="1" applyBorder="1" applyAlignment="1" applyProtection="1">
      <alignment horizontal="left" vertical="center" wrapText="1" shrinkToFit="1"/>
    </xf>
    <xf numFmtId="169" fontId="5" fillId="10" borderId="2" xfId="1" applyNumberFormat="1" applyFont="1" applyFill="1" applyBorder="1" applyAlignment="1" applyProtection="1">
      <alignment vertical="center" wrapText="1" shrinkToFit="1"/>
    </xf>
    <xf numFmtId="172" fontId="5" fillId="0" borderId="2" xfId="0" applyNumberFormat="1" applyFont="1" applyBorder="1" applyAlignment="1">
      <alignment horizontal="right" vertical="center"/>
    </xf>
    <xf numFmtId="0" fontId="5" fillId="10" borderId="2" xfId="0" applyFont="1" applyFill="1" applyBorder="1" applyAlignment="1">
      <alignment horizontal="left" vertical="center" wrapText="1" shrinkToFit="1"/>
    </xf>
    <xf numFmtId="0" fontId="5" fillId="10" borderId="2" xfId="0" applyFont="1" applyFill="1" applyBorder="1" applyAlignment="1">
      <alignment horizontal="center" vertical="center" wrapText="1" shrinkToFit="1"/>
    </xf>
    <xf numFmtId="173" fontId="5" fillId="0" borderId="2" xfId="1" applyNumberFormat="1" applyFont="1" applyBorder="1" applyAlignment="1" applyProtection="1">
      <alignment horizontal="center" vertical="center" wrapText="1"/>
    </xf>
    <xf numFmtId="166" fontId="5" fillId="0" borderId="2" xfId="1" applyFont="1" applyBorder="1" applyAlignment="1" applyProtection="1">
      <alignment horizontal="center" vertical="center"/>
    </xf>
    <xf numFmtId="49" fontId="5" fillId="10" borderId="2" xfId="1" applyNumberFormat="1" applyFont="1" applyFill="1" applyBorder="1" applyAlignment="1" applyProtection="1">
      <alignment horizontal="center" vertical="center" wrapText="1"/>
    </xf>
    <xf numFmtId="3" fontId="5" fillId="2" borderId="2" xfId="1" applyNumberFormat="1" applyFont="1" applyFill="1" applyBorder="1" applyAlignment="1" applyProtection="1">
      <alignment horizontal="right" vertical="center" wrapText="1"/>
    </xf>
    <xf numFmtId="0" fontId="5" fillId="4" borderId="2" xfId="0" applyFont="1" applyFill="1" applyBorder="1" applyAlignment="1">
      <alignment horizontal="left" vertical="center" wrapText="1" shrinkToFit="1"/>
    </xf>
    <xf numFmtId="0" fontId="5" fillId="10" borderId="2" xfId="0" applyFont="1" applyFill="1" applyBorder="1" applyAlignment="1">
      <alignment horizontal="center" vertical="center" wrapText="1"/>
    </xf>
    <xf numFmtId="173" fontId="5" fillId="0" borderId="2" xfId="0" applyNumberFormat="1" applyFont="1" applyBorder="1" applyAlignment="1">
      <alignment horizontal="center" vertical="center" wrapText="1"/>
    </xf>
    <xf numFmtId="0" fontId="5" fillId="10" borderId="2" xfId="2" applyFont="1" applyFill="1" applyBorder="1" applyAlignment="1" applyProtection="1">
      <alignment horizontal="center" vertical="center" wrapText="1"/>
    </xf>
    <xf numFmtId="3" fontId="5" fillId="0" borderId="2" xfId="0" applyNumberFormat="1" applyFont="1" applyBorder="1" applyAlignment="1">
      <alignment vertical="center"/>
    </xf>
    <xf numFmtId="166" fontId="5" fillId="10" borderId="2" xfId="1" applyFont="1" applyFill="1" applyBorder="1" applyAlignment="1" applyProtection="1">
      <alignment horizontal="center" vertical="center" wrapText="1" shrinkToFit="1"/>
    </xf>
    <xf numFmtId="0" fontId="11" fillId="10" borderId="2" xfId="0" applyFont="1" applyFill="1" applyBorder="1" applyAlignment="1">
      <alignment horizontal="center" vertical="center" wrapText="1"/>
    </xf>
    <xf numFmtId="173" fontId="5" fillId="10" borderId="2" xfId="0" applyNumberFormat="1" applyFont="1" applyFill="1" applyBorder="1" applyAlignment="1">
      <alignment horizontal="center" vertical="center" wrapText="1"/>
    </xf>
    <xf numFmtId="166" fontId="13" fillId="0" borderId="2" xfId="1" applyFont="1" applyBorder="1" applyAlignment="1" applyProtection="1">
      <alignment horizontal="center" vertical="center" wrapText="1"/>
    </xf>
    <xf numFmtId="0" fontId="5" fillId="0" borderId="2" xfId="0" applyFont="1" applyBorder="1" applyAlignment="1">
      <alignment horizontal="left" vertical="center" wrapText="1" shrinkToFit="1"/>
    </xf>
    <xf numFmtId="0" fontId="5" fillId="0" borderId="2" xfId="0" applyFont="1" applyBorder="1" applyAlignment="1">
      <alignment horizontal="center" vertical="center" wrapText="1" shrinkToFit="1"/>
    </xf>
    <xf numFmtId="166" fontId="5" fillId="0" borderId="2" xfId="1" applyFont="1" applyBorder="1" applyAlignment="1" applyProtection="1">
      <alignment horizontal="center" vertical="center" wrapText="1" shrinkToFit="1"/>
    </xf>
    <xf numFmtId="0" fontId="1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168" fontId="5" fillId="0" borderId="2" xfId="1" applyNumberFormat="1" applyFont="1" applyBorder="1" applyAlignment="1" applyProtection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right" vertical="center"/>
    </xf>
    <xf numFmtId="3" fontId="5" fillId="10" borderId="2" xfId="0" applyNumberFormat="1" applyFont="1" applyFill="1" applyBorder="1" applyAlignment="1">
      <alignment horizontal="right" vertical="center" wrapText="1"/>
    </xf>
    <xf numFmtId="0" fontId="5" fillId="0" borderId="2" xfId="2" applyFont="1" applyBorder="1" applyAlignment="1" applyProtection="1">
      <alignment horizontal="center" vertical="center" wrapText="1"/>
    </xf>
    <xf numFmtId="168" fontId="5" fillId="4" borderId="2" xfId="1" applyNumberFormat="1" applyFont="1" applyFill="1" applyBorder="1" applyAlignment="1" applyProtection="1">
      <alignment horizontal="right" vertical="center" wrapText="1"/>
    </xf>
    <xf numFmtId="0" fontId="5" fillId="0" borderId="2" xfId="0" applyFont="1" applyBorder="1" applyAlignment="1">
      <alignment vertical="center" wrapText="1" shrinkToFit="1"/>
    </xf>
    <xf numFmtId="0" fontId="5" fillId="4" borderId="2" xfId="0" applyFont="1" applyFill="1" applyBorder="1" applyAlignment="1">
      <alignment vertical="center" wrapText="1" shrinkToFit="1"/>
    </xf>
    <xf numFmtId="3" fontId="5" fillId="13" borderId="2" xfId="0" applyNumberFormat="1" applyFont="1" applyFill="1" applyBorder="1" applyAlignment="1">
      <alignment horizontal="right" vertical="center" wrapText="1"/>
    </xf>
    <xf numFmtId="3" fontId="5" fillId="14" borderId="2" xfId="0" applyNumberFormat="1" applyFont="1" applyFill="1" applyBorder="1" applyAlignment="1">
      <alignment vertical="center"/>
    </xf>
    <xf numFmtId="0" fontId="11" fillId="0" borderId="2" xfId="0" applyFont="1" applyBorder="1" applyAlignment="1">
      <alignment vertical="center" wrapText="1" shrinkToFit="1"/>
    </xf>
    <xf numFmtId="0" fontId="5" fillId="10" borderId="2" xfId="0" applyFont="1" applyFill="1" applyBorder="1" applyAlignment="1">
      <alignment vertical="center" wrapText="1" shrinkToFit="1"/>
    </xf>
    <xf numFmtId="174" fontId="5" fillId="0" borderId="2" xfId="0" applyNumberFormat="1" applyFont="1" applyBorder="1" applyAlignment="1">
      <alignment horizontal="right" vertical="center" wrapText="1"/>
    </xf>
    <xf numFmtId="0" fontId="11" fillId="0" borderId="2" xfId="0" applyFont="1" applyBorder="1" applyAlignment="1">
      <alignment horizontal="center" vertical="center" wrapText="1" shrinkToFit="1"/>
    </xf>
    <xf numFmtId="166" fontId="11" fillId="10" borderId="2" xfId="1" applyFont="1" applyFill="1" applyBorder="1" applyAlignment="1" applyProtection="1">
      <alignment horizontal="center" vertical="center" wrapText="1" shrinkToFit="1"/>
    </xf>
    <xf numFmtId="0" fontId="11" fillId="4" borderId="2" xfId="0" applyFont="1" applyFill="1" applyBorder="1" applyAlignment="1">
      <alignment vertical="center" wrapText="1" shrinkToFit="1"/>
    </xf>
    <xf numFmtId="1" fontId="5" fillId="10" borderId="2" xfId="1" applyNumberFormat="1" applyFont="1" applyFill="1" applyBorder="1" applyAlignment="1" applyProtection="1">
      <alignment horizontal="center" vertical="center" wrapText="1" shrinkToFit="1"/>
    </xf>
    <xf numFmtId="13" fontId="5" fillId="0" borderId="2" xfId="1" applyNumberFormat="1" applyFont="1" applyBorder="1" applyAlignment="1" applyProtection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75" fontId="5" fillId="12" borderId="2" xfId="1" applyNumberFormat="1" applyFont="1" applyFill="1" applyBorder="1" applyAlignment="1" applyProtection="1">
      <alignment horizontal="right" vertical="center" wrapText="1"/>
    </xf>
    <xf numFmtId="166" fontId="15" fillId="10" borderId="2" xfId="1" applyFont="1" applyFill="1" applyBorder="1" applyAlignment="1" applyProtection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 shrinkToFit="1"/>
    </xf>
    <xf numFmtId="3" fontId="5" fillId="4" borderId="2" xfId="0" applyNumberFormat="1" applyFont="1" applyFill="1" applyBorder="1" applyAlignment="1">
      <alignment horizontal="right" vertical="center" wrapText="1"/>
    </xf>
    <xf numFmtId="3" fontId="5" fillId="2" borderId="2" xfId="0" applyNumberFormat="1" applyFont="1" applyFill="1" applyBorder="1" applyAlignment="1">
      <alignment vertical="center"/>
    </xf>
    <xf numFmtId="3" fontId="5" fillId="0" borderId="2" xfId="1" applyNumberFormat="1" applyFont="1" applyBorder="1" applyAlignment="1" applyProtection="1">
      <alignment vertical="center" wrapText="1"/>
    </xf>
    <xf numFmtId="3" fontId="5" fillId="12" borderId="3" xfId="1" applyNumberFormat="1" applyFont="1" applyFill="1" applyBorder="1" applyAlignment="1" applyProtection="1">
      <alignment horizontal="right" vertical="center" wrapText="1"/>
    </xf>
    <xf numFmtId="3" fontId="5" fillId="0" borderId="4" xfId="1" applyNumberFormat="1" applyFont="1" applyBorder="1" applyAlignment="1" applyProtection="1">
      <alignment horizontal="right" vertical="center" wrapText="1"/>
    </xf>
    <xf numFmtId="173" fontId="11" fillId="0" borderId="2" xfId="0" applyNumberFormat="1" applyFont="1" applyBorder="1" applyAlignment="1">
      <alignment horizontal="center" vertical="center" wrapText="1"/>
    </xf>
    <xf numFmtId="3" fontId="5" fillId="12" borderId="5" xfId="1" applyNumberFormat="1" applyFont="1" applyFill="1" applyBorder="1" applyAlignment="1" applyProtection="1">
      <alignment horizontal="right" vertical="center" wrapText="1"/>
    </xf>
    <xf numFmtId="3" fontId="5" fillId="0" borderId="5" xfId="1" applyNumberFormat="1" applyFont="1" applyBorder="1" applyAlignment="1" applyProtection="1">
      <alignment horizontal="right" vertical="center" wrapText="1"/>
    </xf>
    <xf numFmtId="166" fontId="11" fillId="10" borderId="2" xfId="1" applyFont="1" applyFill="1" applyBorder="1" applyAlignment="1" applyProtection="1">
      <alignment horizontal="center" vertical="center" wrapText="1"/>
    </xf>
    <xf numFmtId="3" fontId="5" fillId="2" borderId="2" xfId="0" applyNumberFormat="1" applyFont="1" applyFill="1" applyBorder="1" applyAlignment="1">
      <alignment horizontal="right" vertical="center" wrapText="1"/>
    </xf>
    <xf numFmtId="168" fontId="5" fillId="0" borderId="2" xfId="1" applyNumberFormat="1" applyFont="1" applyBorder="1" applyAlignment="1" applyProtection="1">
      <alignment vertical="center"/>
    </xf>
    <xf numFmtId="3" fontId="5" fillId="0" borderId="2" xfId="0" applyNumberFormat="1" applyFont="1" applyBorder="1" applyAlignment="1">
      <alignment vertical="center" wrapText="1"/>
    </xf>
    <xf numFmtId="4" fontId="5" fillId="0" borderId="2" xfId="0" applyNumberFormat="1" applyFont="1" applyBorder="1" applyAlignment="1">
      <alignment horizontal="right" vertical="center" wrapText="1"/>
    </xf>
    <xf numFmtId="166" fontId="5" fillId="0" borderId="2" xfId="1" applyFont="1" applyBorder="1" applyProtection="1"/>
    <xf numFmtId="166" fontId="11" fillId="0" borderId="2" xfId="1" applyFont="1" applyBorder="1" applyAlignment="1" applyProtection="1">
      <alignment horizontal="center" vertical="center" wrapText="1" shrinkToFit="1"/>
    </xf>
    <xf numFmtId="0" fontId="17" fillId="0" borderId="2" xfId="0" applyFont="1" applyBorder="1" applyAlignment="1">
      <alignment horizontal="left" vertical="center" wrapText="1" shrinkToFit="1"/>
    </xf>
    <xf numFmtId="3" fontId="5" fillId="2" borderId="2" xfId="1" applyNumberFormat="1" applyFont="1" applyFill="1" applyBorder="1" applyAlignment="1" applyProtection="1">
      <alignment vertical="center" wrapText="1"/>
    </xf>
    <xf numFmtId="4" fontId="5" fillId="2" borderId="2" xfId="1" applyNumberFormat="1" applyFont="1" applyFill="1" applyBorder="1" applyAlignment="1" applyProtection="1">
      <alignment horizontal="right" vertical="center" wrapText="1"/>
    </xf>
    <xf numFmtId="0" fontId="11" fillId="15" borderId="2" xfId="0" applyFont="1" applyFill="1" applyBorder="1" applyAlignment="1">
      <alignment vertical="center" wrapText="1" shrinkToFit="1"/>
    </xf>
    <xf numFmtId="0" fontId="11" fillId="15" borderId="2" xfId="0" applyFont="1" applyFill="1" applyBorder="1" applyAlignment="1">
      <alignment horizontal="center" vertical="center" wrapText="1" shrinkToFit="1"/>
    </xf>
    <xf numFmtId="3" fontId="11" fillId="0" borderId="2" xfId="0" applyNumberFormat="1" applyFont="1" applyBorder="1" applyAlignment="1">
      <alignment horizontal="right" vertical="center" wrapText="1"/>
    </xf>
    <xf numFmtId="169" fontId="11" fillId="16" borderId="2" xfId="1" applyNumberFormat="1" applyFont="1" applyFill="1" applyBorder="1" applyAlignment="1" applyProtection="1">
      <alignment vertical="center" wrapText="1"/>
    </xf>
    <xf numFmtId="0" fontId="5" fillId="16" borderId="2" xfId="0" applyFont="1" applyFill="1" applyBorder="1" applyAlignment="1">
      <alignment vertical="center" wrapText="1" shrinkToFit="1"/>
    </xf>
    <xf numFmtId="166" fontId="5" fillId="16" borderId="2" xfId="1" applyFont="1" applyFill="1" applyBorder="1" applyAlignment="1" applyProtection="1">
      <alignment horizontal="center" vertical="center" wrapText="1"/>
    </xf>
    <xf numFmtId="17" fontId="5" fillId="0" borderId="2" xfId="2" applyNumberFormat="1" applyFont="1" applyBorder="1" applyAlignment="1" applyProtection="1">
      <alignment horizontal="center" vertical="center" wrapText="1"/>
    </xf>
    <xf numFmtId="169" fontId="5" fillId="4" borderId="2" xfId="1" applyNumberFormat="1" applyFont="1" applyFill="1" applyBorder="1" applyAlignment="1" applyProtection="1">
      <alignment vertical="center" wrapText="1"/>
    </xf>
    <xf numFmtId="168" fontId="5" fillId="0" borderId="2" xfId="1" applyNumberFormat="1" applyFont="1" applyBorder="1" applyAlignment="1" applyProtection="1">
      <alignment horizontal="right" vertical="center" wrapText="1" shrinkToFit="1"/>
    </xf>
    <xf numFmtId="0" fontId="5" fillId="16" borderId="2" xfId="0" applyFont="1" applyFill="1" applyBorder="1" applyAlignment="1">
      <alignment horizontal="left" vertical="center" wrapText="1" shrinkToFit="1"/>
    </xf>
    <xf numFmtId="0" fontId="11" fillId="16" borderId="2" xfId="0" applyFont="1" applyFill="1" applyBorder="1" applyAlignment="1">
      <alignment vertical="center" wrapText="1" shrinkToFit="1"/>
    </xf>
    <xf numFmtId="166" fontId="11" fillId="16" borderId="2" xfId="1" applyFont="1" applyFill="1" applyBorder="1" applyAlignment="1" applyProtection="1">
      <alignment horizontal="center" vertical="center" wrapText="1" shrinkToFit="1"/>
    </xf>
    <xf numFmtId="166" fontId="5" fillId="16" borderId="2" xfId="1" applyFont="1" applyFill="1" applyBorder="1" applyAlignment="1" applyProtection="1">
      <alignment horizontal="center" vertical="center" wrapText="1" shrinkToFit="1"/>
    </xf>
    <xf numFmtId="169" fontId="5" fillId="16" borderId="2" xfId="1" applyNumberFormat="1" applyFont="1" applyFill="1" applyBorder="1" applyAlignment="1" applyProtection="1">
      <alignment vertical="center" wrapText="1"/>
    </xf>
    <xf numFmtId="169" fontId="11" fillId="0" borderId="2" xfId="1" applyNumberFormat="1" applyFont="1" applyBorder="1" applyAlignment="1" applyProtection="1">
      <alignment vertical="center" wrapText="1"/>
    </xf>
    <xf numFmtId="173" fontId="5" fillId="0" borderId="2" xfId="0" applyNumberFormat="1" applyFont="1" applyBorder="1" applyAlignment="1">
      <alignment horizontal="center" vertical="center"/>
    </xf>
    <xf numFmtId="168" fontId="5" fillId="0" borderId="2" xfId="1" applyNumberFormat="1" applyFont="1" applyBorder="1" applyAlignment="1" applyProtection="1">
      <alignment horizontal="right" vertical="center"/>
    </xf>
    <xf numFmtId="4" fontId="0" fillId="4" borderId="0" xfId="0" applyNumberFormat="1" applyFill="1"/>
    <xf numFmtId="0" fontId="5" fillId="19" borderId="2" xfId="0" applyFont="1" applyFill="1" applyBorder="1" applyAlignment="1">
      <alignment vertical="center" wrapText="1" shrinkToFit="1"/>
    </xf>
    <xf numFmtId="3" fontId="5" fillId="0" borderId="2" xfId="1" applyNumberFormat="1" applyFont="1" applyBorder="1" applyAlignment="1" applyProtection="1">
      <alignment horizontal="right" vertical="center"/>
    </xf>
    <xf numFmtId="4" fontId="5" fillId="20" borderId="0" xfId="0" applyNumberFormat="1" applyFont="1" applyFill="1" applyAlignment="1">
      <alignment vertical="center"/>
    </xf>
    <xf numFmtId="0" fontId="5" fillId="21" borderId="2" xfId="0" applyFont="1" applyFill="1" applyBorder="1" applyAlignment="1">
      <alignment vertical="center" wrapText="1" shrinkToFit="1"/>
    </xf>
    <xf numFmtId="166" fontId="10" fillId="0" borderId="2" xfId="1" applyFont="1" applyBorder="1" applyAlignment="1" applyProtection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3" fontId="5" fillId="0" borderId="2" xfId="0" applyNumberFormat="1" applyFont="1" applyBorder="1" applyAlignment="1">
      <alignment horizontal="left" vertical="center" wrapText="1"/>
    </xf>
    <xf numFmtId="3" fontId="5" fillId="5" borderId="2" xfId="0" applyNumberFormat="1" applyFont="1" applyFill="1" applyBorder="1" applyAlignment="1">
      <alignment horizontal="left" vertical="center" wrapText="1"/>
    </xf>
    <xf numFmtId="168" fontId="5" fillId="10" borderId="2" xfId="1" applyNumberFormat="1" applyFont="1" applyFill="1" applyBorder="1" applyAlignment="1" applyProtection="1">
      <alignment horizontal="center" vertical="center" wrapText="1"/>
    </xf>
    <xf numFmtId="166" fontId="15" fillId="4" borderId="2" xfId="1" applyFont="1" applyFill="1" applyBorder="1" applyAlignment="1" applyProtection="1">
      <alignment horizontal="center" vertical="center" wrapText="1"/>
    </xf>
    <xf numFmtId="0" fontId="11" fillId="0" borderId="2" xfId="0" applyFont="1" applyBorder="1" applyAlignment="1">
      <alignment horizontal="left" vertical="center" wrapText="1" shrinkToFit="1"/>
    </xf>
    <xf numFmtId="0" fontId="3" fillId="0" borderId="2" xfId="2" applyFont="1" applyBorder="1" applyAlignment="1" applyProtection="1">
      <alignment horizontal="center" vertical="center" wrapText="1"/>
    </xf>
    <xf numFmtId="169" fontId="5" fillId="0" borderId="2" xfId="1" applyNumberFormat="1" applyFont="1" applyBorder="1" applyAlignment="1" applyProtection="1">
      <alignment vertical="center" wrapText="1"/>
    </xf>
    <xf numFmtId="166" fontId="3" fillId="0" borderId="2" xfId="1" applyFont="1" applyBorder="1" applyAlignment="1" applyProtection="1">
      <alignment horizontal="center" vertical="center" wrapText="1"/>
    </xf>
    <xf numFmtId="166" fontId="5" fillId="0" borderId="2" xfId="1" applyFont="1" applyBorder="1" applyAlignment="1" applyProtection="1">
      <alignment horizontal="justify" vertical="center" wrapText="1"/>
    </xf>
    <xf numFmtId="176" fontId="5" fillId="12" borderId="2" xfId="1" applyNumberFormat="1" applyFont="1" applyFill="1" applyBorder="1" applyAlignment="1" applyProtection="1">
      <alignment horizontal="right" vertical="center" wrapText="1"/>
    </xf>
    <xf numFmtId="169" fontId="5" fillId="10" borderId="2" xfId="1" applyNumberFormat="1" applyFont="1" applyFill="1" applyBorder="1" applyAlignment="1" applyProtection="1">
      <alignment horizontal="center" vertical="center" wrapText="1"/>
    </xf>
    <xf numFmtId="0" fontId="5" fillId="10" borderId="2" xfId="1" applyNumberFormat="1" applyFont="1" applyFill="1" applyBorder="1" applyAlignment="1" applyProtection="1">
      <alignment horizontal="center" vertical="center" wrapText="1"/>
    </xf>
    <xf numFmtId="169" fontId="3" fillId="10" borderId="2" xfId="1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168" fontId="5" fillId="0" borderId="0" xfId="1" applyNumberFormat="1" applyFont="1" applyBorder="1" applyAlignment="1" applyProtection="1">
      <alignment horizontal="right" vertical="center" wrapText="1"/>
    </xf>
    <xf numFmtId="3" fontId="5" fillId="0" borderId="0" xfId="0" applyNumberFormat="1" applyFont="1" applyAlignment="1">
      <alignment vertical="center" wrapText="1"/>
    </xf>
    <xf numFmtId="3" fontId="5" fillId="0" borderId="0" xfId="0" applyNumberFormat="1" applyFont="1"/>
    <xf numFmtId="0" fontId="10" fillId="22" borderId="2" xfId="0" applyFont="1" applyFill="1" applyBorder="1" applyAlignment="1">
      <alignment horizontal="left" vertical="center" wrapText="1"/>
    </xf>
    <xf numFmtId="0" fontId="10" fillId="22" borderId="2" xfId="0" applyFont="1" applyFill="1" applyBorder="1" applyAlignment="1">
      <alignment horizontal="center" vertical="center" wrapText="1"/>
    </xf>
    <xf numFmtId="169" fontId="10" fillId="22" borderId="2" xfId="0" applyNumberFormat="1" applyFont="1" applyFill="1" applyBorder="1" applyAlignment="1">
      <alignment horizontal="right" vertical="center" wrapText="1"/>
    </xf>
    <xf numFmtId="168" fontId="10" fillId="22" borderId="2" xfId="0" applyNumberFormat="1" applyFont="1" applyFill="1" applyBorder="1" applyAlignment="1">
      <alignment horizontal="right" vertical="center" wrapText="1"/>
    </xf>
    <xf numFmtId="4" fontId="11" fillId="23" borderId="0" xfId="0" applyNumberFormat="1" applyFont="1" applyFill="1" applyAlignment="1">
      <alignment vertical="center"/>
    </xf>
    <xf numFmtId="0" fontId="8" fillId="22" borderId="2" xfId="0" applyFont="1" applyFill="1" applyBorder="1" applyAlignment="1">
      <alignment horizontal="left" vertical="center" wrapText="1"/>
    </xf>
    <xf numFmtId="0" fontId="8" fillId="22" borderId="2" xfId="0" applyFont="1" applyFill="1" applyBorder="1" applyAlignment="1">
      <alignment horizontal="center" vertical="center" wrapText="1"/>
    </xf>
    <xf numFmtId="169" fontId="8" fillId="22" borderId="2" xfId="0" applyNumberFormat="1" applyFont="1" applyFill="1" applyBorder="1" applyAlignment="1">
      <alignment horizontal="right" vertical="center" wrapText="1"/>
    </xf>
    <xf numFmtId="177" fontId="8" fillId="22" borderId="2" xfId="0" applyNumberFormat="1" applyFont="1" applyFill="1" applyBorder="1" applyAlignment="1">
      <alignment horizontal="right" vertical="center" wrapText="1"/>
    </xf>
    <xf numFmtId="177" fontId="10" fillId="22" borderId="2" xfId="0" applyNumberFormat="1" applyFont="1" applyFill="1" applyBorder="1" applyAlignment="1">
      <alignment horizontal="right" vertical="center" wrapText="1"/>
    </xf>
    <xf numFmtId="166" fontId="22" fillId="0" borderId="2" xfId="1" applyBorder="1" applyAlignment="1" applyProtection="1">
      <alignment vertical="center"/>
    </xf>
    <xf numFmtId="0" fontId="8" fillId="24" borderId="2" xfId="0" applyFont="1" applyFill="1" applyBorder="1" applyAlignment="1">
      <alignment horizontal="left" vertical="center" wrapText="1"/>
    </xf>
    <xf numFmtId="0" fontId="8" fillId="24" borderId="2" xfId="0" applyFont="1" applyFill="1" applyBorder="1" applyAlignment="1">
      <alignment horizontal="center" vertical="center" wrapText="1"/>
    </xf>
    <xf numFmtId="4" fontId="8" fillId="24" borderId="2" xfId="0" applyNumberFormat="1" applyFont="1" applyFill="1" applyBorder="1" applyAlignment="1">
      <alignment horizontal="right" vertical="center" wrapText="1"/>
    </xf>
    <xf numFmtId="166" fontId="11" fillId="0" borderId="2" xfId="1" applyFont="1" applyBorder="1" applyAlignment="1" applyProtection="1">
      <alignment horizontal="center" vertical="center" wrapText="1"/>
    </xf>
    <xf numFmtId="4" fontId="22" fillId="0" borderId="2" xfId="1" applyNumberFormat="1" applyBorder="1" applyAlignment="1" applyProtection="1">
      <alignment vertical="center"/>
    </xf>
    <xf numFmtId="170" fontId="8" fillId="6" borderId="6" xfId="0" applyNumberFormat="1" applyFont="1" applyFill="1" applyBorder="1" applyAlignment="1">
      <alignment horizontal="center" vertical="center" wrapText="1"/>
    </xf>
    <xf numFmtId="3" fontId="5" fillId="10" borderId="2" xfId="0" applyNumberFormat="1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 wrapText="1"/>
    </xf>
    <xf numFmtId="169" fontId="5" fillId="0" borderId="2" xfId="1" applyNumberFormat="1" applyFont="1" applyBorder="1" applyAlignment="1" applyProtection="1">
      <alignment horizontal="center" vertical="center" wrapText="1"/>
    </xf>
    <xf numFmtId="168" fontId="8" fillId="22" borderId="2" xfId="0" applyNumberFormat="1" applyFont="1" applyFill="1" applyBorder="1" applyAlignment="1">
      <alignment horizontal="right" vertical="center" wrapText="1"/>
    </xf>
    <xf numFmtId="168" fontId="8" fillId="25" borderId="2" xfId="1" applyNumberFormat="1" applyFont="1" applyFill="1" applyBorder="1" applyAlignment="1" applyProtection="1">
      <alignment horizontal="center" vertical="center" wrapText="1"/>
    </xf>
    <xf numFmtId="170" fontId="8" fillId="25" borderId="2" xfId="0" applyNumberFormat="1" applyFont="1" applyFill="1" applyBorder="1" applyAlignment="1">
      <alignment horizontal="center" vertical="center" wrapText="1"/>
    </xf>
    <xf numFmtId="3" fontId="0" fillId="0" borderId="2" xfId="0" applyNumberFormat="1" applyBorder="1"/>
    <xf numFmtId="4" fontId="0" fillId="0" borderId="2" xfId="0" applyNumberFormat="1" applyBorder="1" applyAlignment="1">
      <alignment vertical="center"/>
    </xf>
    <xf numFmtId="4" fontId="8" fillId="25" borderId="2" xfId="0" applyNumberFormat="1" applyFont="1" applyFill="1" applyBorder="1" applyAlignment="1">
      <alignment vertical="center"/>
    </xf>
    <xf numFmtId="177" fontId="5" fillId="0" borderId="2" xfId="0" applyNumberFormat="1" applyFont="1" applyBorder="1" applyAlignment="1">
      <alignment vertical="center"/>
    </xf>
    <xf numFmtId="4" fontId="21" fillId="0" borderId="0" xfId="0" applyNumberFormat="1" applyFont="1"/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4" fontId="9" fillId="9" borderId="2" xfId="0" applyNumberFormat="1" applyFont="1" applyFill="1" applyBorder="1" applyAlignment="1">
      <alignment horizontal="right" vertical="center" wrapText="1"/>
    </xf>
    <xf numFmtId="4" fontId="11" fillId="0" borderId="2" xfId="0" applyNumberFormat="1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77" fontId="5" fillId="0" borderId="0" xfId="0" applyNumberFormat="1" applyFont="1" applyAlignment="1">
      <alignment vertical="center"/>
    </xf>
    <xf numFmtId="0" fontId="23" fillId="4" borderId="2" xfId="0" applyFont="1" applyFill="1" applyBorder="1" applyAlignment="1">
      <alignment vertical="center" wrapText="1" shrinkToFit="1"/>
    </xf>
    <xf numFmtId="3" fontId="5" fillId="18" borderId="2" xfId="1" applyNumberFormat="1" applyFont="1" applyFill="1" applyBorder="1" applyAlignment="1" applyProtection="1">
      <alignment horizontal="center" vertical="center" wrapText="1"/>
    </xf>
    <xf numFmtId="4" fontId="5" fillId="12" borderId="2" xfId="1" applyNumberFormat="1" applyFont="1" applyFill="1" applyBorder="1" applyAlignment="1" applyProtection="1">
      <alignment horizontal="center" vertical="center" wrapText="1"/>
    </xf>
    <xf numFmtId="3" fontId="5" fillId="0" borderId="2" xfId="1" applyNumberFormat="1" applyFont="1" applyBorder="1" applyAlignment="1" applyProtection="1">
      <alignment horizontal="center" vertical="center" wrapText="1"/>
    </xf>
    <xf numFmtId="3" fontId="5" fillId="0" borderId="2" xfId="1" applyNumberFormat="1" applyFont="1" applyBorder="1" applyAlignment="1" applyProtection="1">
      <alignment horizontal="right" vertical="center" wrapText="1"/>
    </xf>
    <xf numFmtId="3" fontId="5" fillId="17" borderId="2" xfId="1" applyNumberFormat="1" applyFont="1" applyFill="1" applyBorder="1" applyAlignment="1" applyProtection="1">
      <alignment horizontal="center" vertical="center" wrapText="1"/>
    </xf>
    <xf numFmtId="3" fontId="5" fillId="18" borderId="2" xfId="1" applyNumberFormat="1" applyFont="1" applyFill="1" applyBorder="1" applyAlignment="1" applyProtection="1">
      <alignment horizontal="right" vertical="center" wrapText="1"/>
    </xf>
    <xf numFmtId="3" fontId="5" fillId="11" borderId="2" xfId="1" applyNumberFormat="1" applyFont="1" applyFill="1" applyBorder="1" applyAlignment="1" applyProtection="1">
      <alignment horizontal="right" vertical="center" wrapText="1"/>
    </xf>
    <xf numFmtId="3" fontId="5" fillId="2" borderId="2" xfId="1" applyNumberFormat="1" applyFont="1" applyFill="1" applyBorder="1" applyAlignment="1" applyProtection="1">
      <alignment horizontal="center" vertical="center" wrapText="1"/>
    </xf>
    <xf numFmtId="0" fontId="8" fillId="2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10" fillId="22" borderId="2" xfId="0" applyFont="1" applyFill="1" applyBorder="1" applyAlignment="1">
      <alignment horizontal="center" vertical="center" wrapText="1"/>
    </xf>
  </cellXfs>
  <cellStyles count="46">
    <cellStyle name="Currency 2" xfId="3" xr:uid="{00000000-0005-0000-0000-000006000000}"/>
    <cellStyle name="Hiperlink" xfId="2" builtinId="8"/>
    <cellStyle name="Moeda 2" xfId="4" xr:uid="{00000000-0005-0000-0000-000007000000}"/>
    <cellStyle name="Moeda 2 2" xfId="5" xr:uid="{00000000-0005-0000-0000-000008000000}"/>
    <cellStyle name="Moeda 2 3" xfId="6" xr:uid="{00000000-0005-0000-0000-000009000000}"/>
    <cellStyle name="Moeda 2 3 2" xfId="7" xr:uid="{00000000-0005-0000-0000-00000A000000}"/>
    <cellStyle name="Moeda 2 3 3" xfId="8" xr:uid="{00000000-0005-0000-0000-00000B000000}"/>
    <cellStyle name="Moeda 3" xfId="9" xr:uid="{00000000-0005-0000-0000-00000C000000}"/>
    <cellStyle name="Moeda 4" xfId="10" xr:uid="{00000000-0005-0000-0000-00000D000000}"/>
    <cellStyle name="Normal" xfId="0" builtinId="0"/>
    <cellStyle name="Normal 10" xfId="11" xr:uid="{00000000-0005-0000-0000-00000E000000}"/>
    <cellStyle name="Normal 11" xfId="12" xr:uid="{00000000-0005-0000-0000-00000F000000}"/>
    <cellStyle name="Normal 12" xfId="13" xr:uid="{00000000-0005-0000-0000-000010000000}"/>
    <cellStyle name="Normal 13" xfId="14" xr:uid="{00000000-0005-0000-0000-000011000000}"/>
    <cellStyle name="Normal 2" xfId="15" xr:uid="{00000000-0005-0000-0000-000012000000}"/>
    <cellStyle name="Normal 2 2" xfId="16" xr:uid="{00000000-0005-0000-0000-000013000000}"/>
    <cellStyle name="Normal 2 2 2" xfId="17" xr:uid="{00000000-0005-0000-0000-000014000000}"/>
    <cellStyle name="Normal 2 3" xfId="18" xr:uid="{00000000-0005-0000-0000-000015000000}"/>
    <cellStyle name="Normal 2_04_Tabelas_OPI_2011_Aprovadas" xfId="19" xr:uid="{00000000-0005-0000-0000-000016000000}"/>
    <cellStyle name="Normal 3" xfId="20" xr:uid="{00000000-0005-0000-0000-000017000000}"/>
    <cellStyle name="Normal 3 2" xfId="21" xr:uid="{00000000-0005-0000-0000-000018000000}"/>
    <cellStyle name="Normal 4" xfId="22" xr:uid="{00000000-0005-0000-0000-000019000000}"/>
    <cellStyle name="Normal 5" xfId="23" xr:uid="{00000000-0005-0000-0000-00001A000000}"/>
    <cellStyle name="Normal 6" xfId="24" xr:uid="{00000000-0005-0000-0000-00001B000000}"/>
    <cellStyle name="Normal 7" xfId="25" xr:uid="{00000000-0005-0000-0000-00001C000000}"/>
    <cellStyle name="Normal 7 2" xfId="26" xr:uid="{00000000-0005-0000-0000-00001D000000}"/>
    <cellStyle name="Normal 8" xfId="27" xr:uid="{00000000-0005-0000-0000-00001E000000}"/>
    <cellStyle name="Normal 9" xfId="28" xr:uid="{00000000-0005-0000-0000-00001F000000}"/>
    <cellStyle name="Porcentagem 2" xfId="29" xr:uid="{00000000-0005-0000-0000-000020000000}"/>
    <cellStyle name="Sem título1" xfId="30" xr:uid="{00000000-0005-0000-0000-000021000000}"/>
    <cellStyle name="Sem título2" xfId="31" xr:uid="{00000000-0005-0000-0000-000022000000}"/>
    <cellStyle name="Sem título3" xfId="32" xr:uid="{00000000-0005-0000-0000-000023000000}"/>
    <cellStyle name="Sem título4" xfId="33" xr:uid="{00000000-0005-0000-0000-000024000000}"/>
    <cellStyle name="Sem título5" xfId="34" xr:uid="{00000000-0005-0000-0000-000025000000}"/>
    <cellStyle name="Separador de milhares [0] 2" xfId="44" xr:uid="{00000000-0005-0000-0000-00002F000000}"/>
    <cellStyle name="Separador de milhares 2" xfId="35" xr:uid="{00000000-0005-0000-0000-000026000000}"/>
    <cellStyle name="Separador de milhares 2 2" xfId="36" xr:uid="{00000000-0005-0000-0000-000027000000}"/>
    <cellStyle name="Separador de milhares 3" xfId="37" xr:uid="{00000000-0005-0000-0000-000028000000}"/>
    <cellStyle name="Separador de milhares 3 2" xfId="38" xr:uid="{00000000-0005-0000-0000-000029000000}"/>
    <cellStyle name="Separador de milhares 4" xfId="39" xr:uid="{00000000-0005-0000-0000-00002A000000}"/>
    <cellStyle name="Separador de milhares 5" xfId="40" xr:uid="{00000000-0005-0000-0000-00002B000000}"/>
    <cellStyle name="Separador de milhares 6" xfId="41" xr:uid="{00000000-0005-0000-0000-00002C000000}"/>
    <cellStyle name="Separador de milhares 7" xfId="42" xr:uid="{00000000-0005-0000-0000-00002D000000}"/>
    <cellStyle name="Separador de milhares 8" xfId="43" xr:uid="{00000000-0005-0000-0000-00002E000000}"/>
    <cellStyle name="Vírgula" xfId="1" builtinId="3"/>
    <cellStyle name="Vírgula 2" xfId="45" xr:uid="{00000000-0005-0000-0000-000030000000}"/>
  </cellStyles>
  <dxfs count="24"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  <dxf>
      <font>
        <sz val="11"/>
        <color rgb="FFCC0000"/>
        <name val="Calibri"/>
        <charset val="1"/>
      </font>
    </dxf>
    <dxf>
      <font>
        <sz val="11"/>
        <color rgb="FF000000"/>
        <name val="Arial"/>
        <charset val="1"/>
      </font>
      <fill>
        <patternFill>
          <bgColor rgb="FFFFFF00"/>
        </patternFill>
      </fill>
    </dxf>
    <dxf>
      <font>
        <sz val="11"/>
        <color rgb="FF000000"/>
        <name val="Arial"/>
        <charset val="1"/>
      </font>
      <fill>
        <patternFill>
          <bgColor rgb="FF00A933"/>
        </patternFill>
      </fill>
    </dxf>
    <dxf>
      <font>
        <sz val="11"/>
        <color rgb="FF000000"/>
        <name val="Arial:ss01=0&amp;ss02=0&amp;ss03=0"/>
        <charset val="1"/>
      </font>
      <fill>
        <patternFill>
          <bgColor rgb="FFFF0000"/>
        </patternFill>
      </fill>
      <border diagonalUp="0" diagonalDown="0">
        <left/>
        <right/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A933"/>
      <rgbColor rgb="FF000080"/>
      <rgbColor rgb="FFF79646"/>
      <rgbColor rgb="FF800080"/>
      <rgbColor rgb="FF2E75B6"/>
      <rgbColor rgb="FFC7C3AD"/>
      <rgbColor rgb="FF558ED5"/>
      <rgbColor rgb="FF8FAADC"/>
      <rgbColor rgb="FF7030A0"/>
      <rgbColor rgb="FFF2F2F2"/>
      <rgbColor rgb="FFE7E6E6"/>
      <rgbColor rgb="FF660066"/>
      <rgbColor rgb="FFF09E6F"/>
      <rgbColor rgb="FF006FC0"/>
      <rgbColor rgb="FFBDD7EE"/>
      <rgbColor rgb="FF000080"/>
      <rgbColor rgb="FFFF00FF"/>
      <rgbColor rgb="FFE9B913"/>
      <rgbColor rgb="FF00FFFF"/>
      <rgbColor rgb="FF800080"/>
      <rgbColor rgb="FFFF4000"/>
      <rgbColor rgb="FF008080"/>
      <rgbColor rgb="FF0000FF"/>
      <rgbColor rgb="FF00B0F0"/>
      <rgbColor rgb="FFC9C8C2"/>
      <rgbColor rgb="FFDDD9C3"/>
      <rgbColor rgb="FFFFFFA6"/>
      <rgbColor rgb="FF93CDDD"/>
      <rgbColor rgb="FFD99694"/>
      <rgbColor rgb="FFDC85E9"/>
      <rgbColor rgb="FFF9CFB5"/>
      <rgbColor rgb="FF4472C4"/>
      <rgbColor rgb="FFEDB506"/>
      <rgbColor rgb="FF91D04B"/>
      <rgbColor rgb="FFFFC000"/>
      <rgbColor rgb="FFE8A202"/>
      <rgbColor rgb="FFED4C05"/>
      <rgbColor rgb="FF315F92"/>
      <rgbColor rgb="FF9BBB59"/>
      <rgbColor rgb="FF111C37"/>
      <rgbColor rgb="FF00B050"/>
      <rgbColor rgb="FF003300"/>
      <rgbColor rgb="FF333300"/>
      <rgbColor rgb="FFC9211E"/>
      <rgbColor rgb="FFC254D2"/>
      <rgbColor rgb="FF2F5597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bbr-my.sharepoint.com/Sps_e029/c/Informes/1999/informe%20jan99/99JANFLUXO%20modific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UXO98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99694"/>
  </sheetPr>
  <dimension ref="A1:XDH97"/>
  <sheetViews>
    <sheetView tabSelected="1" zoomScale="110" zoomScaleNormal="85" workbookViewId="0">
      <pane xSplit="3" ySplit="1" topLeftCell="I81" activePane="bottomRight" state="frozen"/>
      <selection pane="topRight" activeCell="M1" sqref="M1"/>
      <selection pane="bottomLeft" activeCell="A22" sqref="A22"/>
      <selection pane="bottomRight" activeCell="J91" sqref="J91"/>
    </sheetView>
  </sheetViews>
  <sheetFormatPr baseColWidth="10" defaultColWidth="9.1640625" defaultRowHeight="15"/>
  <cols>
    <col min="1" max="1" width="46.6640625" style="7" customWidth="1"/>
    <col min="2" max="2" width="14.5" style="7" customWidth="1"/>
    <col min="3" max="3" width="19.1640625" style="8" customWidth="1"/>
    <col min="4" max="4" width="24.83203125" style="8" customWidth="1"/>
    <col min="5" max="5" width="26.1640625" style="8" customWidth="1"/>
    <col min="6" max="6" width="16.33203125" style="8" customWidth="1"/>
    <col min="7" max="7" width="19.6640625" style="8" customWidth="1"/>
    <col min="8" max="8" width="17.1640625" style="8" customWidth="1"/>
    <col min="9" max="9" width="12.33203125" style="8" customWidth="1"/>
    <col min="10" max="10" width="14.6640625" style="9" customWidth="1"/>
    <col min="11" max="11" width="15.33203125" style="10" customWidth="1"/>
    <col min="12" max="12" width="14.33203125" style="9" customWidth="1"/>
    <col min="13" max="13" width="15.1640625" style="9" customWidth="1"/>
    <col min="14" max="14" width="24.33203125" style="7" customWidth="1"/>
    <col min="15" max="15" width="17" style="7" bestFit="1" customWidth="1"/>
    <col min="16" max="17" width="7" style="7" bestFit="1" customWidth="1"/>
    <col min="18" max="19" width="10.5" style="11" bestFit="1" customWidth="1"/>
    <col min="20" max="20" width="9" style="11" bestFit="1" customWidth="1"/>
    <col min="21" max="21" width="9.33203125" style="11" bestFit="1" customWidth="1"/>
    <col min="22" max="22" width="10.5" style="12" bestFit="1" customWidth="1"/>
    <col min="23" max="23" width="10.5" style="11" bestFit="1" customWidth="1"/>
    <col min="24" max="24" width="7" style="11" bestFit="1" customWidth="1"/>
    <col min="25" max="25" width="9.33203125" style="11" bestFit="1" customWidth="1"/>
    <col min="26" max="27" width="13.6640625" style="11" customWidth="1"/>
    <col min="28" max="28" width="16.6640625" style="13" customWidth="1"/>
    <col min="29" max="29" width="16.5" style="7" customWidth="1"/>
    <col min="30" max="16336" width="9.1640625" style="7"/>
    <col min="16337" max="16384" width="11.5" customWidth="1"/>
  </cols>
  <sheetData>
    <row r="1" spans="1:28" ht="4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25" t="s">
        <v>11</v>
      </c>
      <c r="K1" s="26" t="s">
        <v>12</v>
      </c>
      <c r="L1" s="27" t="s">
        <v>13</v>
      </c>
      <c r="M1" s="27" t="s">
        <v>14</v>
      </c>
      <c r="N1" s="27" t="s">
        <v>15</v>
      </c>
      <c r="O1" s="28" t="s">
        <v>16</v>
      </c>
      <c r="P1" s="27">
        <v>45658</v>
      </c>
      <c r="Q1" s="27">
        <v>45689</v>
      </c>
      <c r="R1" s="27">
        <v>45717</v>
      </c>
      <c r="S1" s="27">
        <v>45748</v>
      </c>
      <c r="T1" s="27">
        <v>45778</v>
      </c>
      <c r="U1" s="27">
        <v>45809</v>
      </c>
      <c r="V1" s="27">
        <v>45839</v>
      </c>
      <c r="W1" s="27">
        <v>45870</v>
      </c>
      <c r="X1" s="27">
        <v>45901</v>
      </c>
      <c r="Y1" s="27">
        <v>45931</v>
      </c>
      <c r="Z1" s="27">
        <v>45962</v>
      </c>
      <c r="AA1" s="27">
        <v>45992</v>
      </c>
      <c r="AB1" s="27" t="s">
        <v>17</v>
      </c>
    </row>
    <row r="2" spans="1:28">
      <c r="A2" s="31" t="s">
        <v>18</v>
      </c>
      <c r="B2" s="31" t="s">
        <v>19</v>
      </c>
      <c r="C2" s="33" t="s">
        <v>20</v>
      </c>
      <c r="D2" s="33"/>
      <c r="E2" s="34"/>
      <c r="F2" s="34"/>
      <c r="G2" s="35"/>
      <c r="H2" s="35"/>
      <c r="I2" s="34"/>
      <c r="J2" s="36">
        <v>161000</v>
      </c>
      <c r="K2" s="37"/>
      <c r="L2" s="38">
        <f>J2*12</f>
        <v>1932000</v>
      </c>
      <c r="M2" s="39">
        <v>788950.31</v>
      </c>
      <c r="N2" s="39">
        <v>20575.189999999999</v>
      </c>
      <c r="O2" s="5">
        <f t="shared" ref="O2:O10" si="0">SUM(M2:N2)</f>
        <v>809525.5</v>
      </c>
      <c r="P2" s="6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1">
        <f t="shared" ref="AB2:AB33" si="1">SUM(Y2:AA2)</f>
        <v>0</v>
      </c>
    </row>
    <row r="3" spans="1:28">
      <c r="A3" s="31" t="s">
        <v>21</v>
      </c>
      <c r="B3" s="31" t="s">
        <v>19</v>
      </c>
      <c r="C3" s="33" t="s">
        <v>22</v>
      </c>
      <c r="D3" s="33"/>
      <c r="E3" s="34"/>
      <c r="F3" s="34"/>
      <c r="G3" s="35"/>
      <c r="H3" s="35"/>
      <c r="I3" s="34"/>
      <c r="J3" s="36">
        <v>36375</v>
      </c>
      <c r="K3" s="37"/>
      <c r="L3" s="38"/>
      <c r="M3" s="39">
        <v>234275.33</v>
      </c>
      <c r="N3" s="39">
        <v>7160.7</v>
      </c>
      <c r="O3" s="5">
        <f t="shared" si="0"/>
        <v>241436.03</v>
      </c>
      <c r="P3" s="6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1">
        <f t="shared" si="1"/>
        <v>0</v>
      </c>
    </row>
    <row r="4" spans="1:28" ht="14.25" customHeight="1">
      <c r="A4" s="31" t="s">
        <v>23</v>
      </c>
      <c r="B4" s="31" t="s">
        <v>24</v>
      </c>
      <c r="C4" s="43" t="s">
        <v>25</v>
      </c>
      <c r="D4" s="43"/>
      <c r="E4" s="34"/>
      <c r="F4" s="34"/>
      <c r="G4" s="35"/>
      <c r="H4" s="35"/>
      <c r="I4" s="34"/>
      <c r="J4" s="36">
        <v>49000</v>
      </c>
      <c r="K4" s="37"/>
      <c r="L4" s="38">
        <f>48891*13.33</f>
        <v>651717.03</v>
      </c>
      <c r="M4" s="39">
        <v>111699.74</v>
      </c>
      <c r="N4" s="44"/>
      <c r="O4" s="5">
        <f t="shared" si="0"/>
        <v>111699.74</v>
      </c>
      <c r="P4" s="6"/>
      <c r="Q4" s="40"/>
      <c r="R4" s="40"/>
      <c r="S4" s="40"/>
      <c r="T4" s="40"/>
      <c r="U4" s="40"/>
      <c r="V4" s="40"/>
      <c r="W4" s="40"/>
      <c r="X4" s="40"/>
      <c r="Y4" s="40"/>
      <c r="Z4" s="40"/>
      <c r="AA4" s="45">
        <f>J4*3-O4</f>
        <v>35300.259999999995</v>
      </c>
      <c r="AB4" s="41">
        <f t="shared" si="1"/>
        <v>35300.259999999995</v>
      </c>
    </row>
    <row r="5" spans="1:28" ht="27" customHeight="1">
      <c r="A5" s="31" t="s">
        <v>26</v>
      </c>
      <c r="B5" s="31" t="s">
        <v>19</v>
      </c>
      <c r="C5" s="43" t="s">
        <v>25</v>
      </c>
      <c r="D5" s="43"/>
      <c r="E5" s="34"/>
      <c r="F5" s="34"/>
      <c r="G5" s="35"/>
      <c r="H5" s="35"/>
      <c r="I5" s="34"/>
      <c r="J5" s="38">
        <v>810000</v>
      </c>
      <c r="K5" s="37"/>
      <c r="L5" s="38">
        <f t="shared" ref="L5:L10" si="2">J5*12</f>
        <v>9720000</v>
      </c>
      <c r="M5" s="39">
        <v>1433228.35</v>
      </c>
      <c r="N5" s="39">
        <v>0</v>
      </c>
      <c r="O5" s="5">
        <f t="shared" si="0"/>
        <v>1433228.35</v>
      </c>
      <c r="P5" s="6"/>
      <c r="Q5" s="6"/>
      <c r="R5" s="40"/>
      <c r="S5" s="46"/>
      <c r="T5" s="6">
        <f>810000-556810</f>
        <v>253190</v>
      </c>
      <c r="U5" s="6">
        <f>J5</f>
        <v>810000</v>
      </c>
      <c r="V5" s="6">
        <f>J5</f>
        <v>810000</v>
      </c>
      <c r="W5" s="40"/>
      <c r="X5" s="40"/>
      <c r="Y5" s="40"/>
      <c r="Z5" s="6">
        <f>J5*2-O5</f>
        <v>186771.64999999991</v>
      </c>
      <c r="AA5" s="6">
        <f>J5</f>
        <v>810000</v>
      </c>
      <c r="AB5" s="41">
        <f t="shared" si="1"/>
        <v>996771.64999999991</v>
      </c>
    </row>
    <row r="6" spans="1:28" ht="54.75" customHeight="1">
      <c r="A6" s="31" t="s">
        <v>27</v>
      </c>
      <c r="B6" s="47"/>
      <c r="C6" s="43" t="s">
        <v>28</v>
      </c>
      <c r="D6" s="43" t="s">
        <v>29</v>
      </c>
      <c r="E6" s="43"/>
      <c r="F6" s="48"/>
      <c r="G6" s="35"/>
      <c r="H6" s="35"/>
      <c r="I6" s="43"/>
      <c r="J6" s="6">
        <v>1361927.55</v>
      </c>
      <c r="K6" s="37"/>
      <c r="L6" s="38">
        <f t="shared" si="2"/>
        <v>16343130.600000001</v>
      </c>
      <c r="M6" s="3">
        <f>1016.35+2520716.4</f>
        <v>2521732.75</v>
      </c>
      <c r="N6" s="3">
        <f>5031931.32+4727156.21</f>
        <v>9759087.5300000012</v>
      </c>
      <c r="O6" s="5">
        <f t="shared" si="0"/>
        <v>12280820.280000001</v>
      </c>
      <c r="P6" s="46"/>
      <c r="Q6" s="46"/>
      <c r="R6" s="40"/>
      <c r="S6" s="46"/>
      <c r="T6" s="46"/>
      <c r="U6" s="46"/>
      <c r="V6" s="46"/>
      <c r="W6" s="46"/>
      <c r="X6" s="46"/>
      <c r="Y6" s="40"/>
      <c r="Z6" s="46"/>
      <c r="AA6" s="46"/>
      <c r="AB6" s="41">
        <f t="shared" si="1"/>
        <v>0</v>
      </c>
    </row>
    <row r="7" spans="1:28" ht="14.25" customHeight="1">
      <c r="A7" s="31" t="s">
        <v>30</v>
      </c>
      <c r="B7" s="47" t="s">
        <v>31</v>
      </c>
      <c r="C7" s="43" t="s">
        <v>32</v>
      </c>
      <c r="D7" s="43">
        <v>82024000137</v>
      </c>
      <c r="E7" s="43"/>
      <c r="F7" s="43"/>
      <c r="G7" s="35"/>
      <c r="H7" s="35"/>
      <c r="I7" s="43"/>
      <c r="J7" s="6">
        <v>700000</v>
      </c>
      <c r="K7" s="37"/>
      <c r="L7" s="38">
        <f t="shared" si="2"/>
        <v>8400000</v>
      </c>
      <c r="M7" s="3">
        <f>257146.6+1501602.71</f>
        <v>1758749.31</v>
      </c>
      <c r="N7" s="3">
        <f>249401.4</f>
        <v>249401.4</v>
      </c>
      <c r="O7" s="5">
        <f t="shared" si="0"/>
        <v>2008150.71</v>
      </c>
      <c r="P7" s="46"/>
      <c r="Q7" s="40"/>
      <c r="R7" s="40"/>
      <c r="S7" s="46"/>
      <c r="T7" s="46"/>
      <c r="U7" s="6">
        <f>J7-354401</f>
        <v>345599</v>
      </c>
      <c r="V7" s="46"/>
      <c r="W7" s="46"/>
      <c r="X7" s="46"/>
      <c r="Y7" s="40"/>
      <c r="Z7" s="46"/>
      <c r="AA7" s="45">
        <f>J7*3-O7</f>
        <v>91849.290000000037</v>
      </c>
      <c r="AB7" s="41">
        <f t="shared" si="1"/>
        <v>91849.290000000037</v>
      </c>
    </row>
    <row r="8" spans="1:28" ht="27" customHeight="1">
      <c r="A8" s="49" t="s">
        <v>33</v>
      </c>
      <c r="B8" s="31" t="s">
        <v>34</v>
      </c>
      <c r="C8" s="43" t="s">
        <v>32</v>
      </c>
      <c r="D8" s="43" t="s">
        <v>35</v>
      </c>
      <c r="E8" s="43"/>
      <c r="F8" s="48"/>
      <c r="G8" s="35"/>
      <c r="H8" s="35"/>
      <c r="I8" s="43"/>
      <c r="J8" s="38">
        <v>333</v>
      </c>
      <c r="K8" s="37"/>
      <c r="L8" s="6">
        <f t="shared" si="2"/>
        <v>3996</v>
      </c>
      <c r="M8" s="39">
        <v>999</v>
      </c>
      <c r="N8" s="39">
        <v>1332</v>
      </c>
      <c r="O8" s="5">
        <f t="shared" si="0"/>
        <v>2331</v>
      </c>
      <c r="P8" s="40"/>
      <c r="Q8" s="40"/>
      <c r="R8" s="40"/>
      <c r="S8" s="40"/>
      <c r="T8" s="40"/>
      <c r="U8" s="40"/>
      <c r="V8" s="40"/>
      <c r="W8" s="45">
        <v>333</v>
      </c>
      <c r="X8" s="46"/>
      <c r="Y8" s="40"/>
      <c r="Z8" s="46"/>
      <c r="AA8" s="46"/>
      <c r="AB8" s="41">
        <f t="shared" si="1"/>
        <v>0</v>
      </c>
    </row>
    <row r="9" spans="1:28" ht="54.75" customHeight="1">
      <c r="A9" s="50" t="s">
        <v>36</v>
      </c>
      <c r="B9" s="31" t="s">
        <v>34</v>
      </c>
      <c r="C9" s="43" t="s">
        <v>28</v>
      </c>
      <c r="D9" s="43">
        <v>1543032000104</v>
      </c>
      <c r="E9" s="43" t="s">
        <v>37</v>
      </c>
      <c r="F9" s="48"/>
      <c r="G9" s="35"/>
      <c r="H9" s="35"/>
      <c r="I9" s="43" t="s">
        <v>38</v>
      </c>
      <c r="J9" s="38">
        <v>1585.03</v>
      </c>
      <c r="K9" s="37"/>
      <c r="L9" s="38">
        <f t="shared" si="2"/>
        <v>19020.36</v>
      </c>
      <c r="M9" s="51">
        <f>3635.35+1573.77</f>
        <v>5209.12</v>
      </c>
      <c r="N9" s="51">
        <v>145.87</v>
      </c>
      <c r="O9" s="5">
        <f t="shared" si="0"/>
        <v>5354.99</v>
      </c>
      <c r="P9" s="40"/>
      <c r="Q9" s="45"/>
      <c r="R9" s="40"/>
      <c r="S9" s="40"/>
      <c r="T9" s="40"/>
      <c r="U9" s="6">
        <f>J9-324</f>
        <v>1261.03</v>
      </c>
      <c r="V9" s="40"/>
      <c r="W9" s="45">
        <f>1585-1230</f>
        <v>355</v>
      </c>
      <c r="X9" s="46"/>
      <c r="Y9" s="40"/>
      <c r="Z9" s="46"/>
      <c r="AA9" s="46"/>
      <c r="AB9" s="41">
        <f t="shared" si="1"/>
        <v>0</v>
      </c>
    </row>
    <row r="10" spans="1:28" ht="14.25" customHeight="1">
      <c r="A10" s="31" t="s">
        <v>39</v>
      </c>
      <c r="B10" s="52" t="s">
        <v>40</v>
      </c>
      <c r="C10" s="43" t="s">
        <v>41</v>
      </c>
      <c r="D10" s="43" t="s">
        <v>42</v>
      </c>
      <c r="E10" s="33" t="s">
        <v>43</v>
      </c>
      <c r="F10" s="54">
        <v>46247</v>
      </c>
      <c r="G10" s="55" t="str">
        <f ca="1">IF((F10-TODAY())&lt;0,"EXPIRADO", IF((F10-TODAY())&lt;=60,"EM BREVE","NO PRAZO"))</f>
        <v>NO PRAZO</v>
      </c>
      <c r="H10" s="33"/>
      <c r="I10" s="56" t="s">
        <v>44</v>
      </c>
      <c r="J10" s="38">
        <v>60000</v>
      </c>
      <c r="K10" s="37"/>
      <c r="L10" s="38">
        <f t="shared" si="2"/>
        <v>720000</v>
      </c>
      <c r="M10" s="39">
        <v>55776.39</v>
      </c>
      <c r="N10" s="51">
        <v>0</v>
      </c>
      <c r="O10" s="5">
        <f t="shared" si="0"/>
        <v>55776.39</v>
      </c>
      <c r="P10" s="6"/>
      <c r="Q10" s="6"/>
      <c r="R10" s="6">
        <f>J10</f>
        <v>60000</v>
      </c>
      <c r="S10" s="6">
        <f>J10</f>
        <v>60000</v>
      </c>
      <c r="T10" s="6">
        <f>J10</f>
        <v>60000</v>
      </c>
      <c r="U10" s="40"/>
      <c r="V10" s="40"/>
      <c r="W10" s="57"/>
      <c r="X10" s="46"/>
      <c r="Y10" s="6">
        <f>J10-O10</f>
        <v>4223.6100000000006</v>
      </c>
      <c r="Z10" s="6">
        <f>J10</f>
        <v>60000</v>
      </c>
      <c r="AA10" s="6">
        <f>J10</f>
        <v>60000</v>
      </c>
      <c r="AB10" s="41">
        <f t="shared" si="1"/>
        <v>124223.61</v>
      </c>
    </row>
    <row r="11" spans="1:28" ht="110.25" customHeight="1">
      <c r="A11" s="58" t="s">
        <v>45</v>
      </c>
      <c r="B11" s="52" t="s">
        <v>40</v>
      </c>
      <c r="C11" s="43" t="s">
        <v>46</v>
      </c>
      <c r="D11" s="43" t="s">
        <v>424</v>
      </c>
      <c r="E11" s="59" t="s">
        <v>47</v>
      </c>
      <c r="F11" s="60"/>
      <c r="G11" s="55"/>
      <c r="H11" s="33" t="s">
        <v>48</v>
      </c>
      <c r="I11" s="61"/>
      <c r="J11" s="38"/>
      <c r="K11" s="37"/>
      <c r="L11" s="38"/>
      <c r="M11" s="3"/>
      <c r="N11" s="3"/>
      <c r="O11" s="5"/>
      <c r="P11" s="6"/>
      <c r="Q11" s="6"/>
      <c r="R11" s="6"/>
      <c r="S11" s="6"/>
      <c r="T11" s="6"/>
      <c r="U11" s="6"/>
      <c r="V11" s="62"/>
      <c r="W11" s="62"/>
      <c r="X11" s="62"/>
      <c r="Y11" s="62"/>
      <c r="Z11" s="62"/>
      <c r="AA11" s="62"/>
      <c r="AB11" s="41">
        <f t="shared" si="1"/>
        <v>0</v>
      </c>
    </row>
    <row r="12" spans="1:28" ht="41.25" customHeight="1">
      <c r="A12" s="58" t="s">
        <v>49</v>
      </c>
      <c r="B12" s="52" t="s">
        <v>40</v>
      </c>
      <c r="C12" s="63" t="s">
        <v>50</v>
      </c>
      <c r="D12" s="63" t="s">
        <v>51</v>
      </c>
      <c r="E12" s="64" t="s">
        <v>52</v>
      </c>
      <c r="F12" s="65">
        <v>45836</v>
      </c>
      <c r="G12" s="55" t="str">
        <f t="shared" ref="G12:G32" ca="1" si="3">IF((F12-TODAY())&lt;0,"EXPIRADO", IF((F12-TODAY())&lt;=60,"EM BREVE","NO PRAZO"))</f>
        <v>EXPIRADO</v>
      </c>
      <c r="H12" s="66" t="s">
        <v>53</v>
      </c>
      <c r="I12" s="61" t="s">
        <v>54</v>
      </c>
      <c r="J12" s="38"/>
      <c r="K12" s="37">
        <f>L12/12</f>
        <v>369702.92</v>
      </c>
      <c r="L12" s="38">
        <f>4436435.04</f>
        <v>4436435.04</v>
      </c>
      <c r="M12" s="3">
        <v>0</v>
      </c>
      <c r="N12" s="3">
        <v>0</v>
      </c>
      <c r="O12" s="5">
        <f t="shared" ref="O12:O32" si="4">SUM(M12:N12)</f>
        <v>0</v>
      </c>
      <c r="P12" s="62"/>
      <c r="Q12" s="62"/>
      <c r="R12" s="62">
        <f>K12-O12</f>
        <v>369702.92</v>
      </c>
      <c r="S12" s="46"/>
      <c r="T12" s="46"/>
      <c r="U12" s="57"/>
      <c r="V12" s="6"/>
      <c r="W12" s="6"/>
      <c r="X12" s="6"/>
      <c r="Y12" s="6"/>
      <c r="Z12" s="6"/>
      <c r="AA12" s="62"/>
      <c r="AB12" s="41">
        <f t="shared" si="1"/>
        <v>0</v>
      </c>
    </row>
    <row r="13" spans="1:28" s="7" customFormat="1" ht="27" customHeight="1">
      <c r="A13" s="58" t="s">
        <v>55</v>
      </c>
      <c r="B13" s="67" t="s">
        <v>40</v>
      </c>
      <c r="C13" s="69" t="s">
        <v>50</v>
      </c>
      <c r="D13" s="69" t="s">
        <v>56</v>
      </c>
      <c r="E13" s="70" t="s">
        <v>57</v>
      </c>
      <c r="F13" s="60">
        <v>46147</v>
      </c>
      <c r="G13" s="55" t="str">
        <f t="shared" ca="1" si="3"/>
        <v>NO PRAZO</v>
      </c>
      <c r="H13" s="33"/>
      <c r="I13" s="4" t="s">
        <v>58</v>
      </c>
      <c r="J13" s="71"/>
      <c r="K13" s="72">
        <f>L13/12</f>
        <v>182288</v>
      </c>
      <c r="L13" s="6">
        <v>2187456</v>
      </c>
      <c r="M13" s="3">
        <v>365576</v>
      </c>
      <c r="N13" s="3">
        <v>0</v>
      </c>
      <c r="O13" s="5">
        <f t="shared" si="4"/>
        <v>365576</v>
      </c>
      <c r="P13" s="62"/>
      <c r="Q13" s="62"/>
      <c r="R13" s="62"/>
      <c r="S13" s="6"/>
      <c r="T13" s="62"/>
      <c r="U13" s="6">
        <v>182288</v>
      </c>
      <c r="V13" s="46"/>
      <c r="W13" s="46"/>
      <c r="X13" s="46"/>
      <c r="Y13" s="46"/>
      <c r="Z13" s="46"/>
      <c r="AA13" s="6">
        <v>182288</v>
      </c>
      <c r="AB13" s="41">
        <f t="shared" si="1"/>
        <v>182288</v>
      </c>
    </row>
    <row r="14" spans="1:28" ht="43.5" customHeight="1">
      <c r="A14" s="52" t="s">
        <v>59</v>
      </c>
      <c r="B14" s="52" t="s">
        <v>40</v>
      </c>
      <c r="C14" s="63" t="s">
        <v>60</v>
      </c>
      <c r="D14" s="63">
        <v>30814920000104</v>
      </c>
      <c r="E14" s="73" t="s">
        <v>61</v>
      </c>
      <c r="F14" s="60">
        <v>47457</v>
      </c>
      <c r="G14" s="55" t="str">
        <f t="shared" ca="1" si="3"/>
        <v>NO PRAZO</v>
      </c>
      <c r="H14" s="33"/>
      <c r="I14" s="38"/>
      <c r="J14" s="74"/>
      <c r="K14" s="37"/>
      <c r="L14" s="38">
        <v>752926</v>
      </c>
      <c r="M14" s="75"/>
      <c r="N14" s="75">
        <v>0</v>
      </c>
      <c r="O14" s="5">
        <f t="shared" si="4"/>
        <v>0</v>
      </c>
      <c r="P14" s="6"/>
      <c r="Q14" s="6"/>
      <c r="R14" s="6"/>
      <c r="S14" s="6"/>
      <c r="T14" s="6"/>
      <c r="U14" s="6"/>
      <c r="V14" s="62"/>
      <c r="W14" s="62"/>
      <c r="X14" s="6"/>
      <c r="Y14" s="62">
        <f>L14</f>
        <v>752926</v>
      </c>
      <c r="Z14" s="62"/>
      <c r="AA14" s="62"/>
      <c r="AB14" s="41">
        <f t="shared" si="1"/>
        <v>752926</v>
      </c>
    </row>
    <row r="15" spans="1:28" ht="82.5" customHeight="1">
      <c r="A15" s="52" t="s">
        <v>62</v>
      </c>
      <c r="B15" s="52" t="s">
        <v>40</v>
      </c>
      <c r="C15" s="63" t="s">
        <v>63</v>
      </c>
      <c r="D15" s="63" t="s">
        <v>64</v>
      </c>
      <c r="E15" s="73" t="s">
        <v>65</v>
      </c>
      <c r="F15" s="60">
        <v>46082</v>
      </c>
      <c r="G15" s="55" t="str">
        <f t="shared" ca="1" si="3"/>
        <v>NO PRAZO</v>
      </c>
      <c r="H15" s="55"/>
      <c r="I15" s="76" t="s">
        <v>66</v>
      </c>
      <c r="J15" s="6">
        <f>L15/12</f>
        <v>236095</v>
      </c>
      <c r="K15" s="77" t="s">
        <v>67</v>
      </c>
      <c r="L15" s="38">
        <v>2833140</v>
      </c>
      <c r="M15" s="39">
        <v>55254.5</v>
      </c>
      <c r="N15" s="39">
        <v>194907.5</v>
      </c>
      <c r="O15" s="5">
        <f t="shared" si="4"/>
        <v>250162</v>
      </c>
      <c r="P15" s="40"/>
      <c r="Q15" s="40"/>
      <c r="R15" s="40"/>
      <c r="S15" s="6">
        <f>236037-202037</f>
        <v>34000</v>
      </c>
      <c r="T15" s="46"/>
      <c r="U15" s="46"/>
      <c r="V15" s="46"/>
      <c r="W15" s="46"/>
      <c r="X15" s="46"/>
      <c r="Y15" s="40"/>
      <c r="Z15" s="6">
        <f>J15</f>
        <v>236095</v>
      </c>
      <c r="AA15" s="6">
        <f>J15</f>
        <v>236095</v>
      </c>
      <c r="AB15" s="41">
        <f t="shared" si="1"/>
        <v>472190</v>
      </c>
    </row>
    <row r="16" spans="1:28" ht="57.75" customHeight="1">
      <c r="A16" s="78" t="s">
        <v>68</v>
      </c>
      <c r="B16" s="78" t="s">
        <v>69</v>
      </c>
      <c r="C16" s="33" t="s">
        <v>70</v>
      </c>
      <c r="D16" s="33" t="s">
        <v>71</v>
      </c>
      <c r="E16" s="73" t="s">
        <v>72</v>
      </c>
      <c r="F16" s="60">
        <v>45743</v>
      </c>
      <c r="G16" s="55" t="str">
        <f t="shared" ca="1" si="3"/>
        <v>EXPIRADO</v>
      </c>
      <c r="H16" s="33"/>
      <c r="I16" s="76" t="s">
        <v>73</v>
      </c>
      <c r="J16" s="6"/>
      <c r="K16" s="72"/>
      <c r="L16" s="6"/>
      <c r="M16" s="38">
        <v>0</v>
      </c>
      <c r="N16" s="75">
        <v>0</v>
      </c>
      <c r="O16" s="5">
        <f t="shared" si="4"/>
        <v>0</v>
      </c>
      <c r="P16" s="46"/>
      <c r="Q16" s="40"/>
      <c r="R16" s="40"/>
      <c r="S16" s="46"/>
      <c r="T16" s="46"/>
      <c r="U16" s="46"/>
      <c r="V16" s="46"/>
      <c r="W16" s="46"/>
      <c r="X16" s="46"/>
      <c r="Y16" s="40"/>
      <c r="Z16" s="46"/>
      <c r="AA16" s="46"/>
      <c r="AB16" s="41">
        <f t="shared" si="1"/>
        <v>0</v>
      </c>
    </row>
    <row r="17" spans="1:28" ht="57.75" customHeight="1">
      <c r="A17" s="78" t="s">
        <v>74</v>
      </c>
      <c r="B17" s="78" t="s">
        <v>69</v>
      </c>
      <c r="C17" s="33" t="s">
        <v>70</v>
      </c>
      <c r="D17" s="33" t="s">
        <v>75</v>
      </c>
      <c r="E17" s="73" t="s">
        <v>76</v>
      </c>
      <c r="F17" s="60">
        <v>47682</v>
      </c>
      <c r="G17" s="55" t="str">
        <f t="shared" ca="1" si="3"/>
        <v>NO PRAZO</v>
      </c>
      <c r="H17" s="33"/>
      <c r="I17" s="76" t="s">
        <v>77</v>
      </c>
      <c r="J17" s="6">
        <v>4000</v>
      </c>
      <c r="K17" s="72"/>
      <c r="L17" s="6">
        <f>J17*12</f>
        <v>48000</v>
      </c>
      <c r="M17" s="38">
        <v>42484.67</v>
      </c>
      <c r="N17" s="75"/>
      <c r="O17" s="5">
        <f t="shared" si="4"/>
        <v>42484.67</v>
      </c>
      <c r="P17" s="46"/>
      <c r="Q17" s="40"/>
      <c r="R17" s="40"/>
      <c r="S17" s="46"/>
      <c r="T17" s="46"/>
      <c r="U17" s="46"/>
      <c r="V17" s="46"/>
      <c r="W17" s="46"/>
      <c r="X17" s="46"/>
      <c r="Y17" s="40"/>
      <c r="Z17" s="46"/>
      <c r="AA17" s="46"/>
      <c r="AB17" s="41">
        <f t="shared" si="1"/>
        <v>0</v>
      </c>
    </row>
    <row r="18" spans="1:28" ht="57.75" customHeight="1">
      <c r="A18" s="79" t="s">
        <v>78</v>
      </c>
      <c r="B18" s="78" t="s">
        <v>79</v>
      </c>
      <c r="C18" s="43" t="s">
        <v>70</v>
      </c>
      <c r="D18" s="43" t="s">
        <v>80</v>
      </c>
      <c r="E18" s="73" t="s">
        <v>81</v>
      </c>
      <c r="F18" s="60">
        <v>45106</v>
      </c>
      <c r="G18" s="55" t="str">
        <f t="shared" ca="1" si="3"/>
        <v>EXPIRADO</v>
      </c>
      <c r="H18" s="55"/>
      <c r="I18" s="76" t="s">
        <v>82</v>
      </c>
      <c r="J18" s="6"/>
      <c r="K18" s="72"/>
      <c r="L18" s="6">
        <v>225342</v>
      </c>
      <c r="M18" s="6"/>
      <c r="N18" s="80">
        <f>17567.67</f>
        <v>17567.669999999998</v>
      </c>
      <c r="O18" s="5">
        <f t="shared" si="4"/>
        <v>17567.669999999998</v>
      </c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41">
        <f t="shared" si="1"/>
        <v>0</v>
      </c>
    </row>
    <row r="19" spans="1:28" ht="54.75" customHeight="1">
      <c r="A19" s="78" t="s">
        <v>83</v>
      </c>
      <c r="B19" s="78" t="s">
        <v>69</v>
      </c>
      <c r="C19" s="43" t="s">
        <v>70</v>
      </c>
      <c r="D19" s="43" t="s">
        <v>80</v>
      </c>
      <c r="E19" s="73" t="s">
        <v>84</v>
      </c>
      <c r="F19" s="60">
        <v>46221</v>
      </c>
      <c r="G19" s="55" t="str">
        <f t="shared" ca="1" si="3"/>
        <v>NO PRAZO</v>
      </c>
      <c r="H19" s="55"/>
      <c r="I19" s="76" t="s">
        <v>85</v>
      </c>
      <c r="J19" s="6">
        <v>4000</v>
      </c>
      <c r="K19" s="72"/>
      <c r="L19" s="6">
        <f>J19*12</f>
        <v>48000</v>
      </c>
      <c r="M19" s="6">
        <v>1470.53</v>
      </c>
      <c r="N19" s="3">
        <v>102.4</v>
      </c>
      <c r="O19" s="5">
        <f t="shared" si="4"/>
        <v>1572.93</v>
      </c>
      <c r="P19" s="46"/>
      <c r="Q19" s="46"/>
      <c r="R19" s="40"/>
      <c r="S19" s="46"/>
      <c r="T19" s="46"/>
      <c r="U19" s="46"/>
      <c r="V19" s="57"/>
      <c r="W19" s="46"/>
      <c r="X19" s="46"/>
      <c r="Y19" s="6">
        <f>J19-O19</f>
        <v>2427.0699999999997</v>
      </c>
      <c r="Z19" s="6">
        <v>4000</v>
      </c>
      <c r="AA19" s="6">
        <v>4000</v>
      </c>
      <c r="AB19" s="41">
        <f t="shared" si="1"/>
        <v>10427.07</v>
      </c>
    </row>
    <row r="20" spans="1:28" ht="27" customHeight="1">
      <c r="A20" s="82" t="s">
        <v>86</v>
      </c>
      <c r="B20" s="78" t="s">
        <v>69</v>
      </c>
      <c r="C20" s="43" t="s">
        <v>87</v>
      </c>
      <c r="D20" s="43" t="s">
        <v>88</v>
      </c>
      <c r="E20" s="73" t="s">
        <v>89</v>
      </c>
      <c r="F20" s="60">
        <v>45989</v>
      </c>
      <c r="G20" s="55" t="str">
        <f t="shared" ca="1" si="3"/>
        <v>EM BREVE</v>
      </c>
      <c r="H20" s="33" t="s">
        <v>90</v>
      </c>
      <c r="I20" s="76" t="s">
        <v>91</v>
      </c>
      <c r="J20" s="6">
        <v>500</v>
      </c>
      <c r="K20" s="72"/>
      <c r="L20" s="6">
        <f>J20*12</f>
        <v>6000</v>
      </c>
      <c r="M20" s="3"/>
      <c r="N20" s="3">
        <v>57249.08</v>
      </c>
      <c r="O20" s="5">
        <f t="shared" si="4"/>
        <v>57249.08</v>
      </c>
      <c r="P20" s="46"/>
      <c r="Q20" s="46"/>
      <c r="R20" s="40"/>
      <c r="S20" s="46"/>
      <c r="T20" s="46"/>
      <c r="U20" s="46"/>
      <c r="V20" s="46"/>
      <c r="W20" s="46"/>
      <c r="X20" s="46"/>
      <c r="Y20" s="46"/>
      <c r="Z20" s="57"/>
      <c r="AA20" s="46"/>
      <c r="AB20" s="41">
        <f t="shared" si="1"/>
        <v>0</v>
      </c>
    </row>
    <row r="21" spans="1:28">
      <c r="A21" s="83" t="s">
        <v>92</v>
      </c>
      <c r="B21" s="78" t="s">
        <v>69</v>
      </c>
      <c r="C21" s="43" t="s">
        <v>22</v>
      </c>
      <c r="D21" s="43" t="s">
        <v>93</v>
      </c>
      <c r="E21" s="73" t="s">
        <v>94</v>
      </c>
      <c r="F21" s="60">
        <v>46086</v>
      </c>
      <c r="G21" s="55" t="str">
        <f t="shared" ca="1" si="3"/>
        <v>NO PRAZO</v>
      </c>
      <c r="H21" s="33"/>
      <c r="I21" s="73" t="s">
        <v>95</v>
      </c>
      <c r="J21" s="6">
        <v>3870</v>
      </c>
      <c r="K21" s="72"/>
      <c r="L21" s="6">
        <v>48000</v>
      </c>
      <c r="M21" s="84">
        <v>22306.959999999999</v>
      </c>
      <c r="N21" s="3">
        <v>0</v>
      </c>
      <c r="O21" s="5">
        <f t="shared" si="4"/>
        <v>22306.959999999999</v>
      </c>
      <c r="P21" s="46"/>
      <c r="Q21" s="62"/>
      <c r="R21" s="40"/>
      <c r="S21" s="46"/>
      <c r="T21" s="46"/>
      <c r="U21" s="46"/>
      <c r="V21" s="46"/>
      <c r="W21" s="46"/>
      <c r="X21" s="46"/>
      <c r="Y21" s="46"/>
      <c r="Z21" s="46"/>
      <c r="AA21" s="46"/>
      <c r="AB21" s="41">
        <f t="shared" si="1"/>
        <v>0</v>
      </c>
    </row>
    <row r="22" spans="1:28" ht="69" customHeight="1">
      <c r="A22" s="67" t="s">
        <v>96</v>
      </c>
      <c r="B22" s="82" t="s">
        <v>97</v>
      </c>
      <c r="C22" s="86" t="s">
        <v>98</v>
      </c>
      <c r="D22" s="63" t="s">
        <v>99</v>
      </c>
      <c r="E22" s="73" t="s">
        <v>100</v>
      </c>
      <c r="F22" s="60">
        <v>46039</v>
      </c>
      <c r="G22" s="55" t="str">
        <f t="shared" ca="1" si="3"/>
        <v>NO PRAZO</v>
      </c>
      <c r="H22" s="33"/>
      <c r="I22" s="73" t="s">
        <v>101</v>
      </c>
      <c r="J22" s="6">
        <v>4000</v>
      </c>
      <c r="K22" s="37"/>
      <c r="L22" s="38">
        <f>J22*12</f>
        <v>48000</v>
      </c>
      <c r="M22" s="3">
        <v>11561.87</v>
      </c>
      <c r="N22" s="3">
        <v>0</v>
      </c>
      <c r="O22" s="5">
        <f t="shared" si="4"/>
        <v>11561.87</v>
      </c>
      <c r="P22" s="46"/>
      <c r="Q22" s="40"/>
      <c r="R22" s="6">
        <f>J22-O22</f>
        <v>-7561.8700000000008</v>
      </c>
      <c r="S22" s="6">
        <f>J22-1948</f>
        <v>2052</v>
      </c>
      <c r="T22" s="46"/>
      <c r="U22" s="46"/>
      <c r="V22" s="46"/>
      <c r="W22" s="46"/>
      <c r="X22" s="46"/>
      <c r="Y22" s="46"/>
      <c r="Z22" s="46"/>
      <c r="AA22" s="6">
        <f>J22*3-O22</f>
        <v>438.1299999999992</v>
      </c>
      <c r="AB22" s="41">
        <f t="shared" si="1"/>
        <v>438.1299999999992</v>
      </c>
    </row>
    <row r="23" spans="1:28" ht="69" customHeight="1">
      <c r="A23" s="87" t="s">
        <v>102</v>
      </c>
      <c r="B23" s="78" t="s">
        <v>103</v>
      </c>
      <c r="C23" s="43" t="s">
        <v>98</v>
      </c>
      <c r="D23" s="88">
        <v>7044248000101</v>
      </c>
      <c r="E23" s="33" t="s">
        <v>104</v>
      </c>
      <c r="F23" s="54">
        <v>45824</v>
      </c>
      <c r="G23" s="55" t="str">
        <f t="shared" ca="1" si="3"/>
        <v>EXPIRADO</v>
      </c>
      <c r="H23" s="33" t="s">
        <v>105</v>
      </c>
      <c r="I23" s="89" t="s">
        <v>106</v>
      </c>
      <c r="J23" s="6">
        <v>7000</v>
      </c>
      <c r="K23" s="72"/>
      <c r="L23" s="6">
        <f>J23*12</f>
        <v>84000</v>
      </c>
      <c r="M23" s="57">
        <v>7214.47</v>
      </c>
      <c r="N23" s="3"/>
      <c r="O23" s="5">
        <f t="shared" si="4"/>
        <v>7214.47</v>
      </c>
      <c r="P23" s="6"/>
      <c r="Q23" s="6"/>
      <c r="R23" s="6">
        <f>J23</f>
        <v>7000</v>
      </c>
      <c r="S23" s="46"/>
      <c r="T23" s="46"/>
      <c r="U23" s="57"/>
      <c r="V23" s="6"/>
      <c r="W23" s="6"/>
      <c r="X23" s="6"/>
      <c r="Y23" s="6"/>
      <c r="Z23" s="6"/>
      <c r="AA23" s="6"/>
      <c r="AB23" s="41">
        <f t="shared" si="1"/>
        <v>0</v>
      </c>
    </row>
    <row r="24" spans="1:28" ht="28.5" customHeight="1">
      <c r="A24" s="87" t="s">
        <v>107</v>
      </c>
      <c r="B24" s="78" t="s">
        <v>103</v>
      </c>
      <c r="C24" s="43" t="s">
        <v>108</v>
      </c>
      <c r="D24" s="43" t="s">
        <v>109</v>
      </c>
      <c r="E24" s="33" t="s">
        <v>110</v>
      </c>
      <c r="F24" s="54">
        <v>46137</v>
      </c>
      <c r="G24" s="55" t="str">
        <f t="shared" ca="1" si="3"/>
        <v>NO PRAZO</v>
      </c>
      <c r="H24" s="33"/>
      <c r="I24" s="89" t="s">
        <v>111</v>
      </c>
      <c r="J24" s="6">
        <v>10000</v>
      </c>
      <c r="K24" s="72"/>
      <c r="L24" s="6">
        <v>187401.54</v>
      </c>
      <c r="M24" s="6">
        <v>100</v>
      </c>
      <c r="N24" s="3">
        <v>38595.64</v>
      </c>
      <c r="O24" s="5">
        <f t="shared" si="4"/>
        <v>38695.64</v>
      </c>
      <c r="P24" s="40"/>
      <c r="Q24" s="40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1">
        <f t="shared" si="1"/>
        <v>0</v>
      </c>
    </row>
    <row r="25" spans="1:28" ht="57.75" customHeight="1">
      <c r="A25" s="79" t="s">
        <v>112</v>
      </c>
      <c r="B25" s="78" t="s">
        <v>103</v>
      </c>
      <c r="C25" s="43" t="s">
        <v>113</v>
      </c>
      <c r="D25" s="43">
        <v>3506307000157</v>
      </c>
      <c r="E25" s="33" t="s">
        <v>114</v>
      </c>
      <c r="F25" s="54">
        <v>46270</v>
      </c>
      <c r="G25" s="55" t="str">
        <f t="shared" ca="1" si="3"/>
        <v>NO PRAZO</v>
      </c>
      <c r="H25" s="33" t="s">
        <v>90</v>
      </c>
      <c r="I25" s="33" t="s">
        <v>115</v>
      </c>
      <c r="J25" s="6">
        <v>80000</v>
      </c>
      <c r="K25" s="72"/>
      <c r="L25" s="6">
        <f>J25*12</f>
        <v>960000</v>
      </c>
      <c r="M25" s="6">
        <v>380000.32</v>
      </c>
      <c r="N25" s="6">
        <v>0</v>
      </c>
      <c r="O25" s="5">
        <f t="shared" si="4"/>
        <v>380000.32</v>
      </c>
      <c r="P25" s="40"/>
      <c r="Q25" s="40"/>
      <c r="R25" s="46"/>
      <c r="S25" s="46"/>
      <c r="T25" s="46"/>
      <c r="U25" s="46"/>
      <c r="V25" s="46"/>
      <c r="W25" s="6">
        <f>80000-12226</f>
        <v>67774</v>
      </c>
      <c r="X25" s="46"/>
      <c r="Y25" s="46"/>
      <c r="Z25" s="46"/>
      <c r="AA25" s="46"/>
      <c r="AB25" s="41">
        <f t="shared" si="1"/>
        <v>0</v>
      </c>
    </row>
    <row r="26" spans="1:28" ht="27" customHeight="1">
      <c r="A26" s="87" t="s">
        <v>116</v>
      </c>
      <c r="B26" s="78" t="s">
        <v>103</v>
      </c>
      <c r="C26" s="43" t="s">
        <v>117</v>
      </c>
      <c r="D26" s="43" t="s">
        <v>118</v>
      </c>
      <c r="E26" s="33" t="s">
        <v>119</v>
      </c>
      <c r="F26" s="60">
        <v>45980</v>
      </c>
      <c r="G26" s="55" t="str">
        <f t="shared" ca="1" si="3"/>
        <v>EM BREVE</v>
      </c>
      <c r="H26" s="33" t="s">
        <v>120</v>
      </c>
      <c r="I26" s="43" t="s">
        <v>121</v>
      </c>
      <c r="J26" s="6">
        <f>L26/12</f>
        <v>65625.02</v>
      </c>
      <c r="K26" s="72"/>
      <c r="L26" s="6">
        <v>787500.24</v>
      </c>
      <c r="M26" s="3">
        <v>117258.22</v>
      </c>
      <c r="N26" s="3"/>
      <c r="O26" s="5">
        <f t="shared" si="4"/>
        <v>117258.22</v>
      </c>
      <c r="P26" s="40"/>
      <c r="Q26" s="40"/>
      <c r="R26" s="46"/>
      <c r="S26" s="46"/>
      <c r="T26" s="6">
        <f>J26-O26</f>
        <v>-51633.2</v>
      </c>
      <c r="U26" s="6">
        <f>J26-60820</f>
        <v>4805.0200000000041</v>
      </c>
      <c r="V26" s="6">
        <f>J26-60820</f>
        <v>4805.0200000000041</v>
      </c>
      <c r="W26" s="46"/>
      <c r="X26" s="46"/>
      <c r="Y26" s="46"/>
      <c r="Z26" s="57"/>
      <c r="AA26" s="6">
        <f>J26</f>
        <v>65625.02</v>
      </c>
      <c r="AB26" s="41">
        <f t="shared" si="1"/>
        <v>65625.02</v>
      </c>
    </row>
    <row r="27" spans="1:28" ht="48.75" customHeight="1">
      <c r="A27" s="79" t="s">
        <v>122</v>
      </c>
      <c r="B27" s="78" t="s">
        <v>103</v>
      </c>
      <c r="C27" s="43" t="s">
        <v>123</v>
      </c>
      <c r="D27" s="43" t="s">
        <v>124</v>
      </c>
      <c r="E27" s="73" t="s">
        <v>125</v>
      </c>
      <c r="F27" s="60">
        <v>46231</v>
      </c>
      <c r="G27" s="55" t="str">
        <f t="shared" ca="1" si="3"/>
        <v>NO PRAZO</v>
      </c>
      <c r="H27" s="33"/>
      <c r="I27" s="73" t="s">
        <v>126</v>
      </c>
      <c r="J27" s="6">
        <v>298000</v>
      </c>
      <c r="K27" s="72"/>
      <c r="L27" s="6">
        <v>3119907.74</v>
      </c>
      <c r="M27" s="6">
        <v>309752.21999999997</v>
      </c>
      <c r="N27" s="3">
        <v>0</v>
      </c>
      <c r="O27" s="5">
        <f t="shared" si="4"/>
        <v>309752.21999999997</v>
      </c>
      <c r="P27" s="40"/>
      <c r="Q27" s="62"/>
      <c r="R27" s="40"/>
      <c r="S27" s="45">
        <f>291576.42-21573</f>
        <v>270003.42</v>
      </c>
      <c r="T27" s="6">
        <f>J27-O27</f>
        <v>-11752.219999999972</v>
      </c>
      <c r="U27" s="6">
        <f>J27</f>
        <v>298000</v>
      </c>
      <c r="V27" s="57">
        <f>J27-271060</f>
        <v>26940</v>
      </c>
      <c r="W27" s="46"/>
      <c r="X27" s="46"/>
      <c r="Y27" s="46"/>
      <c r="Z27" s="6">
        <f>J27*2-O27</f>
        <v>286247.78000000003</v>
      </c>
      <c r="AA27" s="6">
        <f>J27</f>
        <v>298000</v>
      </c>
      <c r="AB27" s="41">
        <f t="shared" si="1"/>
        <v>584247.78</v>
      </c>
    </row>
    <row r="28" spans="1:28" ht="36" customHeight="1">
      <c r="A28" s="79" t="s">
        <v>127</v>
      </c>
      <c r="B28" s="78" t="s">
        <v>103</v>
      </c>
      <c r="C28" s="73" t="s">
        <v>128</v>
      </c>
      <c r="D28" s="73" t="s">
        <v>129</v>
      </c>
      <c r="E28" s="73" t="s">
        <v>130</v>
      </c>
      <c r="F28" s="60">
        <v>46062</v>
      </c>
      <c r="G28" s="55" t="str">
        <f t="shared" ca="1" si="3"/>
        <v>NO PRAZO</v>
      </c>
      <c r="H28" s="33"/>
      <c r="I28" s="65" t="s">
        <v>131</v>
      </c>
      <c r="J28" s="6">
        <v>90000</v>
      </c>
      <c r="K28" s="72"/>
      <c r="L28" s="6">
        <f>J28*12</f>
        <v>1080000</v>
      </c>
      <c r="M28" s="3">
        <v>5672.12</v>
      </c>
      <c r="N28" s="3">
        <v>0</v>
      </c>
      <c r="O28" s="5">
        <f t="shared" si="4"/>
        <v>5672.12</v>
      </c>
      <c r="P28" s="6"/>
      <c r="Q28" s="57"/>
      <c r="R28" s="40"/>
      <c r="S28" s="46"/>
      <c r="T28" s="46"/>
      <c r="U28" s="46"/>
      <c r="V28" s="46"/>
      <c r="W28" s="46"/>
      <c r="X28" s="46"/>
      <c r="Y28" s="6">
        <f>J28-O28</f>
        <v>84327.88</v>
      </c>
      <c r="Z28" s="6">
        <f>J28</f>
        <v>90000</v>
      </c>
      <c r="AA28" s="6">
        <f>J28</f>
        <v>90000</v>
      </c>
      <c r="AB28" s="41">
        <f t="shared" si="1"/>
        <v>264327.88</v>
      </c>
    </row>
    <row r="29" spans="1:28" ht="54.75" customHeight="1">
      <c r="A29" s="79" t="s">
        <v>132</v>
      </c>
      <c r="B29" s="78" t="s">
        <v>103</v>
      </c>
      <c r="C29" s="43" t="s">
        <v>133</v>
      </c>
      <c r="D29" s="90">
        <v>12859652000165</v>
      </c>
      <c r="E29" s="73" t="s">
        <v>134</v>
      </c>
      <c r="F29" s="60">
        <v>46123</v>
      </c>
      <c r="G29" s="55" t="str">
        <f t="shared" ca="1" si="3"/>
        <v>NO PRAZO</v>
      </c>
      <c r="H29" s="55"/>
      <c r="I29" s="65" t="s">
        <v>135</v>
      </c>
      <c r="J29" s="6"/>
      <c r="K29" s="72">
        <v>95000</v>
      </c>
      <c r="L29" s="6">
        <v>1173817.01</v>
      </c>
      <c r="M29" s="39">
        <v>77060.08</v>
      </c>
      <c r="N29" s="39">
        <v>46623.33</v>
      </c>
      <c r="O29" s="5">
        <f t="shared" si="4"/>
        <v>123683.41</v>
      </c>
      <c r="P29" s="40"/>
      <c r="Q29" s="40"/>
      <c r="R29" s="40"/>
      <c r="S29" s="6">
        <f>95000-46623</f>
        <v>48377</v>
      </c>
      <c r="T29" s="46"/>
      <c r="U29" s="46"/>
      <c r="V29" s="46"/>
      <c r="W29" s="91"/>
      <c r="X29" s="46"/>
      <c r="Y29" s="46"/>
      <c r="Z29" s="6">
        <f>K29*2-O29</f>
        <v>66316.59</v>
      </c>
      <c r="AA29" s="6">
        <f>K29</f>
        <v>95000</v>
      </c>
      <c r="AB29" s="41">
        <f t="shared" si="1"/>
        <v>161316.59</v>
      </c>
    </row>
    <row r="30" spans="1:28">
      <c r="A30" s="79" t="s">
        <v>136</v>
      </c>
      <c r="B30" s="82" t="s">
        <v>103</v>
      </c>
      <c r="C30" s="86" t="s">
        <v>137</v>
      </c>
      <c r="D30" s="63" t="s">
        <v>138</v>
      </c>
      <c r="E30" s="73" t="s">
        <v>139</v>
      </c>
      <c r="F30" s="60">
        <v>46094</v>
      </c>
      <c r="G30" s="55" t="str">
        <f t="shared" ca="1" si="3"/>
        <v>NO PRAZO</v>
      </c>
      <c r="H30" s="92"/>
      <c r="I30" s="60" t="s">
        <v>140</v>
      </c>
      <c r="J30" s="6">
        <v>6000</v>
      </c>
      <c r="K30" s="72"/>
      <c r="L30" s="6">
        <f>J30*12</f>
        <v>72000</v>
      </c>
      <c r="M30" s="6">
        <v>18000.52</v>
      </c>
      <c r="N30" s="3">
        <v>0</v>
      </c>
      <c r="O30" s="5">
        <f t="shared" si="4"/>
        <v>18000.52</v>
      </c>
      <c r="P30" s="6"/>
      <c r="Q30" s="40"/>
      <c r="R30" s="40"/>
      <c r="S30" s="46"/>
      <c r="T30" s="46"/>
      <c r="U30" s="46"/>
      <c r="V30" s="46"/>
      <c r="W30" s="46"/>
      <c r="X30" s="46"/>
      <c r="Y30" s="46"/>
      <c r="Z30" s="46"/>
      <c r="AA30" s="46"/>
      <c r="AB30" s="41">
        <f t="shared" si="1"/>
        <v>0</v>
      </c>
    </row>
    <row r="31" spans="1:28" ht="30">
      <c r="A31" s="79" t="s">
        <v>141</v>
      </c>
      <c r="B31" s="82" t="s">
        <v>103</v>
      </c>
      <c r="C31" s="63" t="s">
        <v>142</v>
      </c>
      <c r="D31" s="63" t="s">
        <v>143</v>
      </c>
      <c r="E31" s="59" t="s">
        <v>144</v>
      </c>
      <c r="F31" s="65">
        <v>46224</v>
      </c>
      <c r="G31" s="55" t="str">
        <f t="shared" ca="1" si="3"/>
        <v>NO PRAZO</v>
      </c>
      <c r="H31" s="33"/>
      <c r="I31" s="59" t="s">
        <v>145</v>
      </c>
      <c r="J31" s="38">
        <v>500000</v>
      </c>
      <c r="K31" s="37"/>
      <c r="L31" s="38">
        <f>J31*12</f>
        <v>6000000</v>
      </c>
      <c r="M31" s="94">
        <v>456771.84000000003</v>
      </c>
      <c r="N31" s="3">
        <v>0</v>
      </c>
      <c r="O31" s="5">
        <f t="shared" si="4"/>
        <v>456771.84000000003</v>
      </c>
      <c r="P31" s="40"/>
      <c r="Q31" s="40"/>
      <c r="R31" s="45">
        <f>500000-83593</f>
        <v>416407</v>
      </c>
      <c r="S31" s="45">
        <f>500000-83593</f>
        <v>416407</v>
      </c>
      <c r="T31" s="6">
        <v>500000</v>
      </c>
      <c r="U31" s="46"/>
      <c r="V31" s="95"/>
      <c r="W31" s="6">
        <f>500000-208156</f>
        <v>291844</v>
      </c>
      <c r="X31" s="46"/>
      <c r="Y31" s="46"/>
      <c r="Z31" s="96">
        <f>AA31*2-O31</f>
        <v>5228.1599999999744</v>
      </c>
      <c r="AA31" s="96">
        <v>231000</v>
      </c>
      <c r="AB31" s="41">
        <f t="shared" si="1"/>
        <v>236228.15999999997</v>
      </c>
    </row>
    <row r="32" spans="1:28" ht="45">
      <c r="A32" s="79" t="s">
        <v>146</v>
      </c>
      <c r="B32" s="82" t="s">
        <v>103</v>
      </c>
      <c r="C32" s="63" t="s">
        <v>147</v>
      </c>
      <c r="D32" s="63" t="s">
        <v>148</v>
      </c>
      <c r="E32" s="59" t="s">
        <v>149</v>
      </c>
      <c r="F32" s="65">
        <v>46098</v>
      </c>
      <c r="G32" s="55" t="str">
        <f t="shared" ca="1" si="3"/>
        <v>NO PRAZO</v>
      </c>
      <c r="H32" s="33" t="s">
        <v>150</v>
      </c>
      <c r="I32" s="59" t="s">
        <v>151</v>
      </c>
      <c r="J32" s="38"/>
      <c r="K32" s="37"/>
      <c r="L32" s="38">
        <v>11456.99</v>
      </c>
      <c r="M32" s="38">
        <v>0</v>
      </c>
      <c r="N32" s="3"/>
      <c r="O32" s="5">
        <f t="shared" si="4"/>
        <v>0</v>
      </c>
      <c r="P32" s="40"/>
      <c r="Q32" s="40"/>
      <c r="R32" s="45"/>
      <c r="S32" s="45"/>
      <c r="T32" s="6"/>
      <c r="U32" s="46"/>
      <c r="V32" s="46"/>
      <c r="W32" s="46"/>
      <c r="X32" s="97"/>
      <c r="Y32" s="6"/>
      <c r="Z32" s="96"/>
      <c r="AA32" s="96"/>
      <c r="AB32" s="41">
        <f t="shared" si="1"/>
        <v>0</v>
      </c>
    </row>
    <row r="33" spans="1:28" ht="85.5" customHeight="1">
      <c r="A33" s="78" t="s">
        <v>152</v>
      </c>
      <c r="B33" s="82"/>
      <c r="C33" s="69" t="s">
        <v>153</v>
      </c>
      <c r="D33" s="63"/>
      <c r="E33" s="59" t="s">
        <v>154</v>
      </c>
      <c r="F33" s="65"/>
      <c r="G33" s="55"/>
      <c r="H33" s="55"/>
      <c r="I33" s="59"/>
      <c r="J33" s="38"/>
      <c r="K33" s="37"/>
      <c r="L33" s="38"/>
      <c r="M33" s="3"/>
      <c r="N33" s="3"/>
      <c r="O33" s="5"/>
      <c r="P33" s="40"/>
      <c r="Q33" s="40"/>
      <c r="R33" s="45"/>
      <c r="S33" s="6"/>
      <c r="T33" s="6"/>
      <c r="U33" s="6"/>
      <c r="V33" s="62"/>
      <c r="W33" s="98"/>
      <c r="X33" s="6"/>
      <c r="Y33" s="6"/>
      <c r="Z33" s="96"/>
      <c r="AA33" s="96"/>
      <c r="AB33" s="41">
        <f t="shared" si="1"/>
        <v>0</v>
      </c>
    </row>
    <row r="34" spans="1:28" ht="54.75" customHeight="1">
      <c r="A34" s="78" t="s">
        <v>155</v>
      </c>
      <c r="B34" s="78" t="s">
        <v>97</v>
      </c>
      <c r="C34" s="43" t="s">
        <v>156</v>
      </c>
      <c r="D34" s="43" t="s">
        <v>157</v>
      </c>
      <c r="E34" s="33" t="s">
        <v>158</v>
      </c>
      <c r="F34" s="99">
        <v>46127</v>
      </c>
      <c r="G34" s="55" t="str">
        <f t="shared" ref="G34:G62" ca="1" si="5">IF((F34-TODAY())&lt;0,"EXPIRADO", IF((F34-TODAY())&lt;=60,"EM BREVE","NO PRAZO"))</f>
        <v>NO PRAZO</v>
      </c>
      <c r="H34" s="33"/>
      <c r="I34" s="89" t="s">
        <v>159</v>
      </c>
      <c r="J34" s="6"/>
      <c r="K34" s="72">
        <f>12640.77</f>
        <v>12640.77</v>
      </c>
      <c r="L34" s="6">
        <f>K34*12</f>
        <v>151689.24</v>
      </c>
      <c r="M34" s="3">
        <v>12640.77</v>
      </c>
      <c r="N34" s="3">
        <v>0</v>
      </c>
      <c r="O34" s="5">
        <f t="shared" ref="O34:O58" si="6">SUM(M34:N34)</f>
        <v>12640.77</v>
      </c>
      <c r="P34" s="6"/>
      <c r="Q34" s="6"/>
      <c r="R34" s="40"/>
      <c r="S34" s="40"/>
      <c r="T34" s="6">
        <f>K34-536</f>
        <v>12104.77</v>
      </c>
      <c r="U34" s="46"/>
      <c r="V34" s="6">
        <f>K34</f>
        <v>12640.77</v>
      </c>
      <c r="W34" s="46"/>
      <c r="X34" s="100"/>
      <c r="Y34" s="100"/>
      <c r="Z34" s="101">
        <f>K34</f>
        <v>12640.77</v>
      </c>
      <c r="AA34" s="101">
        <f>K34</f>
        <v>12640.77</v>
      </c>
      <c r="AB34" s="41">
        <f t="shared" ref="AB34:AB65" si="7">SUM(Y34:AA34)</f>
        <v>25281.54</v>
      </c>
    </row>
    <row r="35" spans="1:28" ht="54.75" customHeight="1">
      <c r="A35" s="52" t="s">
        <v>160</v>
      </c>
      <c r="B35" s="82" t="s">
        <v>97</v>
      </c>
      <c r="C35" s="86" t="s">
        <v>98</v>
      </c>
      <c r="D35" s="63" t="s">
        <v>161</v>
      </c>
      <c r="E35" s="73" t="s">
        <v>162</v>
      </c>
      <c r="F35" s="60">
        <v>46219</v>
      </c>
      <c r="G35" s="55" t="str">
        <f t="shared" ca="1" si="5"/>
        <v>NO PRAZO</v>
      </c>
      <c r="H35" s="33" t="s">
        <v>120</v>
      </c>
      <c r="I35" s="73" t="s">
        <v>163</v>
      </c>
      <c r="J35" s="6"/>
      <c r="K35" s="37">
        <f>L35/12</f>
        <v>22669.34</v>
      </c>
      <c r="L35" s="38">
        <v>272032.08</v>
      </c>
      <c r="M35" s="3">
        <v>87845.52</v>
      </c>
      <c r="N35" s="3">
        <v>0</v>
      </c>
      <c r="O35" s="5">
        <f t="shared" si="6"/>
        <v>87845.52</v>
      </c>
      <c r="P35" s="40"/>
      <c r="Q35" s="6"/>
      <c r="R35" s="40"/>
      <c r="S35" s="40"/>
      <c r="T35" s="6">
        <f>22669-1831.59</f>
        <v>20837.41</v>
      </c>
      <c r="U35" s="46"/>
      <c r="V35" s="57"/>
      <c r="W35" s="6">
        <f>K35-1000</f>
        <v>21669.34</v>
      </c>
      <c r="X35" s="100"/>
      <c r="Y35" s="46"/>
      <c r="Z35" s="46"/>
      <c r="AA35" s="46"/>
      <c r="AB35" s="41">
        <f t="shared" si="7"/>
        <v>0</v>
      </c>
    </row>
    <row r="36" spans="1:28" ht="30" customHeight="1">
      <c r="A36" s="67" t="s">
        <v>164</v>
      </c>
      <c r="B36" s="82" t="s">
        <v>97</v>
      </c>
      <c r="C36" s="102" t="s">
        <v>165</v>
      </c>
      <c r="D36" s="43" t="s">
        <v>166</v>
      </c>
      <c r="E36" s="73" t="s">
        <v>167</v>
      </c>
      <c r="F36" s="60">
        <v>46131</v>
      </c>
      <c r="G36" s="55" t="str">
        <f t="shared" ca="1" si="5"/>
        <v>NO PRAZO</v>
      </c>
      <c r="H36" s="33"/>
      <c r="I36" s="73" t="s">
        <v>168</v>
      </c>
      <c r="J36" s="6"/>
      <c r="K36" s="72">
        <f>L36/12</f>
        <v>24316.78</v>
      </c>
      <c r="L36" s="6">
        <v>291801.36</v>
      </c>
      <c r="M36" s="3">
        <v>100930.13</v>
      </c>
      <c r="N36" s="3">
        <v>0</v>
      </c>
      <c r="O36" s="5">
        <f t="shared" si="6"/>
        <v>100930.13</v>
      </c>
      <c r="P36" s="40"/>
      <c r="Q36" s="6"/>
      <c r="R36" s="6">
        <v>865.66</v>
      </c>
      <c r="S36" s="57">
        <f>K36-2497</f>
        <v>21819.78</v>
      </c>
      <c r="T36" s="6">
        <f>K36-22360</f>
        <v>1956.7799999999988</v>
      </c>
      <c r="U36" s="6">
        <f>K36</f>
        <v>24316.78</v>
      </c>
      <c r="V36" s="46"/>
      <c r="W36" s="46"/>
      <c r="X36" s="46"/>
      <c r="Y36" s="46"/>
      <c r="Z36" s="46"/>
      <c r="AA36" s="46"/>
      <c r="AB36" s="41">
        <f t="shared" si="7"/>
        <v>0</v>
      </c>
    </row>
    <row r="37" spans="1:28" ht="76.5" customHeight="1">
      <c r="A37" s="78" t="s">
        <v>169</v>
      </c>
      <c r="B37" s="82" t="s">
        <v>97</v>
      </c>
      <c r="C37" s="102" t="s">
        <v>170</v>
      </c>
      <c r="D37" s="43">
        <v>8220952000122</v>
      </c>
      <c r="E37" s="73" t="s">
        <v>171</v>
      </c>
      <c r="F37" s="60">
        <v>45929</v>
      </c>
      <c r="G37" s="55" t="str">
        <f t="shared" ca="1" si="5"/>
        <v>EXPIRADO</v>
      </c>
      <c r="H37" s="33" t="s">
        <v>172</v>
      </c>
      <c r="I37" s="73" t="s">
        <v>173</v>
      </c>
      <c r="J37" s="6"/>
      <c r="K37" s="72">
        <v>131667.49</v>
      </c>
      <c r="L37" s="6">
        <f t="shared" ref="L37:L46" si="8">K37*12</f>
        <v>1580009.88</v>
      </c>
      <c r="M37" s="103">
        <v>146866.81</v>
      </c>
      <c r="N37" s="3">
        <v>0</v>
      </c>
      <c r="O37" s="5">
        <f t="shared" si="6"/>
        <v>146866.81</v>
      </c>
      <c r="P37" s="40"/>
      <c r="Q37" s="6"/>
      <c r="R37" s="40"/>
      <c r="S37" s="6">
        <v>131667</v>
      </c>
      <c r="T37" s="40"/>
      <c r="U37" s="6">
        <f>K37</f>
        <v>131667.49</v>
      </c>
      <c r="V37" s="46"/>
      <c r="W37" s="46"/>
      <c r="X37" s="46"/>
      <c r="Y37" s="46"/>
      <c r="Z37" s="6">
        <f>K37*2-O37</f>
        <v>116468.16999999998</v>
      </c>
      <c r="AA37" s="6">
        <f>K37</f>
        <v>131667.49</v>
      </c>
      <c r="AB37" s="41">
        <f t="shared" si="7"/>
        <v>248135.65999999997</v>
      </c>
    </row>
    <row r="38" spans="1:28" ht="76.5" customHeight="1">
      <c r="A38" s="78" t="s">
        <v>174</v>
      </c>
      <c r="B38" s="82" t="s">
        <v>97</v>
      </c>
      <c r="C38" s="102" t="s">
        <v>170</v>
      </c>
      <c r="D38" s="43" t="s">
        <v>175</v>
      </c>
      <c r="E38" s="73" t="s">
        <v>176</v>
      </c>
      <c r="F38" s="60">
        <v>46660</v>
      </c>
      <c r="G38" s="55" t="str">
        <f t="shared" ca="1" si="5"/>
        <v>NO PRAZO</v>
      </c>
      <c r="H38" s="33"/>
      <c r="I38" s="73" t="s">
        <v>177</v>
      </c>
      <c r="J38" s="6"/>
      <c r="K38" s="72">
        <v>155277.21</v>
      </c>
      <c r="L38" s="6">
        <f t="shared" si="8"/>
        <v>1863326.52</v>
      </c>
      <c r="M38" s="3">
        <v>155215.1</v>
      </c>
      <c r="N38" s="3"/>
      <c r="O38" s="5">
        <f t="shared" si="6"/>
        <v>155215.1</v>
      </c>
      <c r="P38" s="40"/>
      <c r="Q38" s="6"/>
      <c r="R38" s="57"/>
      <c r="S38" s="6"/>
      <c r="T38" s="40"/>
      <c r="U38" s="46"/>
      <c r="V38" s="46"/>
      <c r="W38" s="46"/>
      <c r="X38" s="46"/>
      <c r="Y38" s="62">
        <f>K38-O38</f>
        <v>62.10999999998603</v>
      </c>
      <c r="Z38" s="62">
        <v>155277.21</v>
      </c>
      <c r="AA38" s="62">
        <v>155277.21</v>
      </c>
      <c r="AB38" s="41">
        <f t="shared" si="7"/>
        <v>310616.52999999997</v>
      </c>
    </row>
    <row r="39" spans="1:28" ht="38.25" customHeight="1">
      <c r="A39" s="78" t="s">
        <v>178</v>
      </c>
      <c r="B39" s="82" t="s">
        <v>97</v>
      </c>
      <c r="C39" s="102" t="s">
        <v>179</v>
      </c>
      <c r="D39" s="43" t="s">
        <v>180</v>
      </c>
      <c r="E39" s="73" t="s">
        <v>181</v>
      </c>
      <c r="F39" s="60">
        <v>45929</v>
      </c>
      <c r="G39" s="55" t="str">
        <f t="shared" ca="1" si="5"/>
        <v>EXPIRADO</v>
      </c>
      <c r="H39" s="33" t="s">
        <v>172</v>
      </c>
      <c r="I39" s="73" t="s">
        <v>182</v>
      </c>
      <c r="J39" s="6"/>
      <c r="K39" s="72">
        <v>183316.03</v>
      </c>
      <c r="L39" s="6">
        <f t="shared" si="8"/>
        <v>2199792.36</v>
      </c>
      <c r="M39" s="103">
        <v>0</v>
      </c>
      <c r="N39" s="3">
        <v>0</v>
      </c>
      <c r="O39" s="5">
        <f t="shared" si="6"/>
        <v>0</v>
      </c>
      <c r="P39" s="40"/>
      <c r="Q39" s="6"/>
      <c r="R39" s="57">
        <f>K39-O39</f>
        <v>183316.03</v>
      </c>
      <c r="S39" s="6">
        <f>K39</f>
        <v>183316.03</v>
      </c>
      <c r="T39" s="40"/>
      <c r="U39" s="46"/>
      <c r="V39" s="46"/>
      <c r="W39" s="46"/>
      <c r="X39" s="46"/>
      <c r="Y39" s="62"/>
      <c r="Z39" s="6"/>
      <c r="AA39" s="6"/>
      <c r="AB39" s="41">
        <f t="shared" si="7"/>
        <v>0</v>
      </c>
    </row>
    <row r="40" spans="1:28" ht="38.25" customHeight="1">
      <c r="A40" s="78" t="s">
        <v>183</v>
      </c>
      <c r="B40" s="82" t="s">
        <v>97</v>
      </c>
      <c r="C40" s="102" t="s">
        <v>179</v>
      </c>
      <c r="D40" s="43" t="s">
        <v>175</v>
      </c>
      <c r="E40" s="73" t="s">
        <v>176</v>
      </c>
      <c r="F40" s="60">
        <v>46660</v>
      </c>
      <c r="G40" s="55" t="str">
        <f t="shared" ca="1" si="5"/>
        <v>NO PRAZO</v>
      </c>
      <c r="H40" s="33"/>
      <c r="I40" s="73" t="s">
        <v>184</v>
      </c>
      <c r="J40" s="6"/>
      <c r="K40" s="72">
        <v>258893.8</v>
      </c>
      <c r="L40" s="6">
        <f t="shared" si="8"/>
        <v>3106725.5999999996</v>
      </c>
      <c r="M40" s="3">
        <v>258728</v>
      </c>
      <c r="N40" s="3"/>
      <c r="O40" s="5">
        <f t="shared" si="6"/>
        <v>258728</v>
      </c>
      <c r="P40" s="40"/>
      <c r="Q40" s="6"/>
      <c r="R40" s="57"/>
      <c r="S40" s="6"/>
      <c r="T40" s="40"/>
      <c r="U40" s="46"/>
      <c r="V40" s="46"/>
      <c r="W40" s="46"/>
      <c r="X40" s="46"/>
      <c r="Y40" s="62">
        <f>K40-O40</f>
        <v>165.79999999998836</v>
      </c>
      <c r="Z40" s="62">
        <v>258893.8</v>
      </c>
      <c r="AA40" s="62">
        <v>258893.8</v>
      </c>
      <c r="AB40" s="41">
        <f t="shared" si="7"/>
        <v>517953.39999999997</v>
      </c>
    </row>
    <row r="41" spans="1:28" ht="41.25" customHeight="1">
      <c r="A41" s="82" t="s">
        <v>185</v>
      </c>
      <c r="B41" s="78" t="s">
        <v>97</v>
      </c>
      <c r="C41" s="59" t="s">
        <v>186</v>
      </c>
      <c r="D41" s="59" t="s">
        <v>187</v>
      </c>
      <c r="E41" s="73" t="s">
        <v>188</v>
      </c>
      <c r="F41" s="99">
        <v>46267</v>
      </c>
      <c r="G41" s="55" t="str">
        <f t="shared" ca="1" si="5"/>
        <v>NO PRAZO</v>
      </c>
      <c r="H41" s="33"/>
      <c r="I41" s="73" t="s">
        <v>189</v>
      </c>
      <c r="J41" s="6"/>
      <c r="K41" s="72">
        <v>116248.37</v>
      </c>
      <c r="L41" s="6">
        <f t="shared" si="8"/>
        <v>1394980.44</v>
      </c>
      <c r="M41" s="6">
        <v>509265.91999999998</v>
      </c>
      <c r="N41" s="3">
        <v>0</v>
      </c>
      <c r="O41" s="5">
        <f t="shared" si="6"/>
        <v>509265.91999999998</v>
      </c>
      <c r="P41" s="40"/>
      <c r="Q41" s="6"/>
      <c r="R41" s="40"/>
      <c r="S41" s="6">
        <f>117871-49371</f>
        <v>68500</v>
      </c>
      <c r="T41" s="6">
        <f>K41-O41</f>
        <v>-393017.55</v>
      </c>
      <c r="U41" s="6">
        <f>K41</f>
        <v>116248.37</v>
      </c>
      <c r="V41" s="46"/>
      <c r="W41" s="46"/>
      <c r="X41" s="46"/>
      <c r="Y41" s="46"/>
      <c r="Z41" s="46"/>
      <c r="AA41" s="46"/>
      <c r="AB41" s="41">
        <f t="shared" si="7"/>
        <v>0</v>
      </c>
    </row>
    <row r="42" spans="1:28" ht="18.75" customHeight="1">
      <c r="A42" s="67" t="s">
        <v>190</v>
      </c>
      <c r="B42" s="82" t="s">
        <v>97</v>
      </c>
      <c r="C42" s="86" t="s">
        <v>191</v>
      </c>
      <c r="D42" s="63" t="s">
        <v>192</v>
      </c>
      <c r="E42" s="73" t="s">
        <v>193</v>
      </c>
      <c r="F42" s="60">
        <v>46402</v>
      </c>
      <c r="G42" s="55" t="str">
        <f t="shared" ca="1" si="5"/>
        <v>NO PRAZO</v>
      </c>
      <c r="H42" s="55"/>
      <c r="I42" s="73" t="s">
        <v>194</v>
      </c>
      <c r="J42" s="6"/>
      <c r="K42" s="104">
        <v>1918496.1</v>
      </c>
      <c r="L42" s="6">
        <f t="shared" si="8"/>
        <v>23021953.200000003</v>
      </c>
      <c r="M42" s="3">
        <v>3397327.72</v>
      </c>
      <c r="N42" s="105">
        <v>0</v>
      </c>
      <c r="O42" s="5">
        <f t="shared" si="6"/>
        <v>3397327.72</v>
      </c>
      <c r="P42" s="40"/>
      <c r="Q42" s="6"/>
      <c r="R42" s="40"/>
      <c r="S42" s="6">
        <f>1882331-116567</f>
        <v>1765764</v>
      </c>
      <c r="T42" s="40"/>
      <c r="U42" s="6">
        <f>K42</f>
        <v>1918496.1</v>
      </c>
      <c r="V42" s="46"/>
      <c r="W42" s="46"/>
      <c r="X42" s="46"/>
      <c r="Y42" s="40"/>
      <c r="Z42" s="6">
        <f>K42*2-O42</f>
        <v>439664.48</v>
      </c>
      <c r="AA42" s="6">
        <f>K42</f>
        <v>1918496.1</v>
      </c>
      <c r="AB42" s="41">
        <f t="shared" si="7"/>
        <v>2358160.58</v>
      </c>
    </row>
    <row r="43" spans="1:28" ht="41.25" customHeight="1">
      <c r="A43" s="78" t="s">
        <v>195</v>
      </c>
      <c r="B43" s="82" t="s">
        <v>97</v>
      </c>
      <c r="C43" s="86" t="s">
        <v>196</v>
      </c>
      <c r="D43" s="63" t="s">
        <v>197</v>
      </c>
      <c r="E43" s="73" t="s">
        <v>198</v>
      </c>
      <c r="F43" s="60">
        <v>46097</v>
      </c>
      <c r="G43" s="55" t="str">
        <f t="shared" ca="1" si="5"/>
        <v>NO PRAZO</v>
      </c>
      <c r="H43" s="33" t="s">
        <v>199</v>
      </c>
      <c r="I43" s="73" t="s">
        <v>200</v>
      </c>
      <c r="J43" s="6"/>
      <c r="K43" s="72">
        <v>1617878.59</v>
      </c>
      <c r="L43" s="38">
        <f t="shared" si="8"/>
        <v>19414543.080000002</v>
      </c>
      <c r="M43" s="3">
        <v>3117878.89</v>
      </c>
      <c r="N43" s="106">
        <v>0</v>
      </c>
      <c r="O43" s="5">
        <f t="shared" si="6"/>
        <v>3117878.89</v>
      </c>
      <c r="P43" s="40"/>
      <c r="Q43" s="6"/>
      <c r="R43" s="40"/>
      <c r="S43" s="6">
        <f>K43</f>
        <v>1617878.59</v>
      </c>
      <c r="T43" s="40"/>
      <c r="U43" s="6">
        <f>K43</f>
        <v>1617878.59</v>
      </c>
      <c r="V43" s="46"/>
      <c r="W43" s="46"/>
      <c r="X43" s="46"/>
      <c r="Y43" s="40"/>
      <c r="Z43" s="6">
        <f>K43*2-O43</f>
        <v>117878.29000000004</v>
      </c>
      <c r="AA43" s="6">
        <f>K43</f>
        <v>1617878.59</v>
      </c>
      <c r="AB43" s="41">
        <f t="shared" si="7"/>
        <v>1735756.8800000001</v>
      </c>
    </row>
    <row r="44" spans="1:28" ht="41.25" customHeight="1">
      <c r="A44" s="67" t="s">
        <v>201</v>
      </c>
      <c r="B44" s="82" t="s">
        <v>97</v>
      </c>
      <c r="C44" s="86" t="s">
        <v>202</v>
      </c>
      <c r="D44" s="63" t="s">
        <v>203</v>
      </c>
      <c r="E44" s="73" t="s">
        <v>204</v>
      </c>
      <c r="F44" s="60">
        <v>46020</v>
      </c>
      <c r="G44" s="55" t="str">
        <f t="shared" ca="1" si="5"/>
        <v>EM BREVE</v>
      </c>
      <c r="H44" s="55"/>
      <c r="I44" s="73" t="s">
        <v>205</v>
      </c>
      <c r="J44" s="6"/>
      <c r="K44" s="72">
        <f>1412211.24</f>
        <v>1412211.24</v>
      </c>
      <c r="L44" s="38">
        <f t="shared" si="8"/>
        <v>16946534.879999999</v>
      </c>
      <c r="M44" s="3">
        <v>1242406.1499999999</v>
      </c>
      <c r="N44" s="3">
        <v>0</v>
      </c>
      <c r="O44" s="5">
        <f t="shared" si="6"/>
        <v>1242406.1499999999</v>
      </c>
      <c r="P44" s="40"/>
      <c r="Q44" s="6"/>
      <c r="R44" s="6">
        <f>K44-N44</f>
        <v>1412211.24</v>
      </c>
      <c r="S44" s="6">
        <f>1238299-555</f>
        <v>1237744</v>
      </c>
      <c r="T44" s="40"/>
      <c r="U44" s="6">
        <f>K44</f>
        <v>1412211.24</v>
      </c>
      <c r="V44" s="46"/>
      <c r="W44" s="46"/>
      <c r="X44" s="46"/>
      <c r="Y44" s="6">
        <f>K44-O44</f>
        <v>169805.09000000008</v>
      </c>
      <c r="Z44" s="6">
        <f>K44</f>
        <v>1412211.24</v>
      </c>
      <c r="AA44" s="57">
        <f>K44</f>
        <v>1412211.24</v>
      </c>
      <c r="AB44" s="41">
        <f t="shared" si="7"/>
        <v>2994227.5700000003</v>
      </c>
    </row>
    <row r="45" spans="1:28" ht="27" customHeight="1">
      <c r="A45" s="67" t="s">
        <v>206</v>
      </c>
      <c r="B45" s="82" t="s">
        <v>97</v>
      </c>
      <c r="C45" s="86" t="s">
        <v>207</v>
      </c>
      <c r="D45" s="63" t="s">
        <v>203</v>
      </c>
      <c r="E45" s="73" t="s">
        <v>208</v>
      </c>
      <c r="F45" s="60">
        <v>46166</v>
      </c>
      <c r="G45" s="55" t="str">
        <f t="shared" ca="1" si="5"/>
        <v>NO PRAZO</v>
      </c>
      <c r="H45" s="33"/>
      <c r="I45" s="73" t="s">
        <v>209</v>
      </c>
      <c r="J45" s="107"/>
      <c r="K45" s="37">
        <v>236438.33100000001</v>
      </c>
      <c r="L45" s="38">
        <f t="shared" si="8"/>
        <v>2837259.9720000001</v>
      </c>
      <c r="M45" s="3">
        <v>289556.7</v>
      </c>
      <c r="N45" s="3">
        <v>0</v>
      </c>
      <c r="O45" s="5">
        <f t="shared" si="6"/>
        <v>289556.7</v>
      </c>
      <c r="P45" s="40"/>
      <c r="Q45" s="6"/>
      <c r="R45" s="40"/>
      <c r="S45" s="6">
        <v>190000</v>
      </c>
      <c r="T45" s="40"/>
      <c r="U45" s="6">
        <f>K45-171405</f>
        <v>65033.331000000006</v>
      </c>
      <c r="V45" s="46"/>
      <c r="W45" s="46"/>
      <c r="X45" s="46"/>
      <c r="Y45" s="40"/>
      <c r="Z45" s="6">
        <f>K45*2-O45</f>
        <v>183319.962</v>
      </c>
      <c r="AA45" s="6">
        <f>K45</f>
        <v>236438.33100000001</v>
      </c>
      <c r="AB45" s="41">
        <f t="shared" si="7"/>
        <v>419758.29300000001</v>
      </c>
    </row>
    <row r="46" spans="1:28" ht="27" customHeight="1">
      <c r="A46" s="78" t="s">
        <v>210</v>
      </c>
      <c r="B46" s="82" t="s">
        <v>97</v>
      </c>
      <c r="C46" s="108" t="s">
        <v>211</v>
      </c>
      <c r="D46" s="63" t="s">
        <v>212</v>
      </c>
      <c r="E46" s="73" t="s">
        <v>213</v>
      </c>
      <c r="F46" s="60">
        <v>45803</v>
      </c>
      <c r="G46" s="55" t="str">
        <f t="shared" ca="1" si="5"/>
        <v>EXPIRADO</v>
      </c>
      <c r="H46" s="55"/>
      <c r="I46" s="73" t="s">
        <v>214</v>
      </c>
      <c r="J46" s="6"/>
      <c r="K46" s="72">
        <f>152221.16</f>
        <v>152221.16</v>
      </c>
      <c r="L46" s="6">
        <f t="shared" si="8"/>
        <v>1826653.92</v>
      </c>
      <c r="M46" s="3">
        <v>0</v>
      </c>
      <c r="N46" s="3">
        <v>0</v>
      </c>
      <c r="O46" s="5">
        <f t="shared" si="6"/>
        <v>0</v>
      </c>
      <c r="P46" s="40"/>
      <c r="Q46" s="6"/>
      <c r="R46" s="40"/>
      <c r="S46" s="40"/>
      <c r="T46" s="57"/>
      <c r="U46" s="46"/>
      <c r="V46" s="6">
        <f>K46</f>
        <v>152221.16</v>
      </c>
      <c r="W46" s="6">
        <f>K46</f>
        <v>152221.16</v>
      </c>
      <c r="X46" s="62"/>
      <c r="Y46" s="62"/>
      <c r="Z46" s="6"/>
      <c r="AA46" s="6"/>
      <c r="AB46" s="41">
        <f t="shared" si="7"/>
        <v>0</v>
      </c>
    </row>
    <row r="47" spans="1:28" ht="76.5" customHeight="1">
      <c r="A47" s="109" t="s">
        <v>215</v>
      </c>
      <c r="B47" s="82" t="s">
        <v>97</v>
      </c>
      <c r="C47" s="86" t="s">
        <v>216</v>
      </c>
      <c r="D47" s="63" t="s">
        <v>217</v>
      </c>
      <c r="E47" s="73" t="s">
        <v>218</v>
      </c>
      <c r="F47" s="60">
        <v>46114</v>
      </c>
      <c r="G47" s="55" t="str">
        <f t="shared" ca="1" si="5"/>
        <v>NO PRAZO</v>
      </c>
      <c r="H47" s="33"/>
      <c r="I47" s="73" t="s">
        <v>219</v>
      </c>
      <c r="J47" s="6">
        <v>1600000</v>
      </c>
      <c r="K47" s="37"/>
      <c r="L47" s="38">
        <f>J47*12</f>
        <v>19200000</v>
      </c>
      <c r="M47" s="3">
        <v>169953.78</v>
      </c>
      <c r="N47" s="3">
        <v>0</v>
      </c>
      <c r="O47" s="5">
        <f t="shared" si="6"/>
        <v>169953.78</v>
      </c>
      <c r="P47" s="40"/>
      <c r="Q47" s="40"/>
      <c r="R47" s="40"/>
      <c r="S47" s="40"/>
      <c r="T47" s="40"/>
      <c r="U47" s="6">
        <f>J47-836351</f>
        <v>763649</v>
      </c>
      <c r="V47" s="62">
        <f>J47-1393762</f>
        <v>206238</v>
      </c>
      <c r="W47" s="6">
        <f>J47-460192</f>
        <v>1139808</v>
      </c>
      <c r="X47" s="46"/>
      <c r="Y47" s="98">
        <f>1998000-O47</f>
        <v>1828046.22</v>
      </c>
      <c r="Z47" s="96">
        <v>1998000</v>
      </c>
      <c r="AA47" s="96">
        <v>1998000</v>
      </c>
      <c r="AB47" s="41">
        <f t="shared" si="7"/>
        <v>5824046.2199999997</v>
      </c>
    </row>
    <row r="48" spans="1:28" ht="76.5" customHeight="1">
      <c r="A48" s="67" t="s">
        <v>220</v>
      </c>
      <c r="B48" s="82" t="s">
        <v>97</v>
      </c>
      <c r="C48" s="86" t="s">
        <v>221</v>
      </c>
      <c r="D48" s="63" t="s">
        <v>217</v>
      </c>
      <c r="E48" s="73" t="s">
        <v>222</v>
      </c>
      <c r="F48" s="60">
        <v>46022</v>
      </c>
      <c r="G48" s="55" t="str">
        <f t="shared" ca="1" si="5"/>
        <v>EM BREVE</v>
      </c>
      <c r="H48" s="33"/>
      <c r="I48" s="33" t="s">
        <v>223</v>
      </c>
      <c r="J48" s="6">
        <f>L48/12</f>
        <v>1924342.125</v>
      </c>
      <c r="K48" s="37"/>
      <c r="L48" s="38">
        <f>8383552.34+14708553.16</f>
        <v>23092105.5</v>
      </c>
      <c r="M48" s="6">
        <v>0</v>
      </c>
      <c r="N48" s="3"/>
      <c r="O48" s="5">
        <f t="shared" si="6"/>
        <v>0</v>
      </c>
      <c r="P48" s="40"/>
      <c r="Q48" s="40"/>
      <c r="R48" s="40"/>
      <c r="S48" s="40"/>
      <c r="T48" s="40"/>
      <c r="U48" s="6">
        <f>J48-O48</f>
        <v>1924342.125</v>
      </c>
      <c r="V48" s="40"/>
      <c r="W48" s="6">
        <f>1924342-1832108</f>
        <v>92234</v>
      </c>
      <c r="X48" s="46"/>
      <c r="Y48" s="96"/>
      <c r="Z48" s="96"/>
      <c r="AA48" s="110"/>
      <c r="AB48" s="41">
        <f t="shared" si="7"/>
        <v>0</v>
      </c>
    </row>
    <row r="49" spans="1:28" ht="76.5" customHeight="1">
      <c r="A49" s="109" t="s">
        <v>224</v>
      </c>
      <c r="B49" s="82" t="s">
        <v>97</v>
      </c>
      <c r="C49" s="86" t="s">
        <v>216</v>
      </c>
      <c r="D49" s="63" t="s">
        <v>225</v>
      </c>
      <c r="E49" s="73" t="s">
        <v>226</v>
      </c>
      <c r="F49" s="60">
        <v>46146</v>
      </c>
      <c r="G49" s="55" t="str">
        <f t="shared" ca="1" si="5"/>
        <v>NO PRAZO</v>
      </c>
      <c r="H49" s="33"/>
      <c r="I49" s="73" t="s">
        <v>227</v>
      </c>
      <c r="J49" s="6">
        <v>145000</v>
      </c>
      <c r="K49" s="37"/>
      <c r="L49" s="38">
        <f>J49*12</f>
        <v>1740000</v>
      </c>
      <c r="M49" s="3">
        <v>0</v>
      </c>
      <c r="N49" s="3"/>
      <c r="O49" s="5">
        <f t="shared" si="6"/>
        <v>0</v>
      </c>
      <c r="P49" s="40"/>
      <c r="Q49" s="40"/>
      <c r="R49" s="40"/>
      <c r="S49" s="40"/>
      <c r="T49" s="40"/>
      <c r="U49" s="40"/>
      <c r="V49" s="40"/>
      <c r="W49" s="40"/>
      <c r="X49" s="40"/>
      <c r="Y49" s="96">
        <v>102000</v>
      </c>
      <c r="Z49" s="96">
        <v>102000</v>
      </c>
      <c r="AA49" s="96">
        <v>102000</v>
      </c>
      <c r="AB49" s="41">
        <f t="shared" si="7"/>
        <v>306000</v>
      </c>
    </row>
    <row r="50" spans="1:28" ht="40.5" customHeight="1">
      <c r="A50" s="78" t="s">
        <v>228</v>
      </c>
      <c r="B50" s="82" t="s">
        <v>97</v>
      </c>
      <c r="C50" s="63" t="s">
        <v>229</v>
      </c>
      <c r="D50" s="63" t="s">
        <v>230</v>
      </c>
      <c r="E50" s="73" t="s">
        <v>231</v>
      </c>
      <c r="F50" s="60">
        <v>46097</v>
      </c>
      <c r="G50" s="55" t="str">
        <f t="shared" ca="1" si="5"/>
        <v>NO PRAZO</v>
      </c>
      <c r="H50" s="33" t="s">
        <v>232</v>
      </c>
      <c r="I50" s="73" t="s">
        <v>233</v>
      </c>
      <c r="J50" s="6"/>
      <c r="K50" s="37">
        <v>458615.91</v>
      </c>
      <c r="L50" s="38">
        <f>K50*12</f>
        <v>5503390.9199999999</v>
      </c>
      <c r="M50" s="3">
        <v>458615.91</v>
      </c>
      <c r="N50" s="3"/>
      <c r="O50" s="5">
        <f t="shared" si="6"/>
        <v>458615.91</v>
      </c>
      <c r="P50" s="40"/>
      <c r="Q50" s="6"/>
      <c r="R50" s="6">
        <f>K50-N50</f>
        <v>458615.91</v>
      </c>
      <c r="S50" s="40"/>
      <c r="T50" s="40"/>
      <c r="U50" s="6">
        <f>K50</f>
        <v>458615.91</v>
      </c>
      <c r="V50" s="40"/>
      <c r="W50" s="40"/>
      <c r="X50" s="40"/>
      <c r="Y50" s="40"/>
      <c r="Z50" s="6">
        <f>K50</f>
        <v>458615.91</v>
      </c>
      <c r="AA50" s="6">
        <f>K50</f>
        <v>458615.91</v>
      </c>
      <c r="AB50" s="41">
        <f t="shared" si="7"/>
        <v>917231.82</v>
      </c>
    </row>
    <row r="51" spans="1:28" ht="24.75" customHeight="1">
      <c r="A51" s="78" t="s">
        <v>234</v>
      </c>
      <c r="B51" s="78" t="s">
        <v>97</v>
      </c>
      <c r="C51" s="33" t="s">
        <v>235</v>
      </c>
      <c r="D51" s="33" t="s">
        <v>236</v>
      </c>
      <c r="E51" s="33" t="s">
        <v>237</v>
      </c>
      <c r="F51" s="60">
        <v>46266</v>
      </c>
      <c r="G51" s="55" t="str">
        <f t="shared" ca="1" si="5"/>
        <v>NO PRAZO</v>
      </c>
      <c r="H51" s="33"/>
      <c r="I51" s="89" t="s">
        <v>238</v>
      </c>
      <c r="J51" s="6">
        <v>100</v>
      </c>
      <c r="K51" s="72"/>
      <c r="L51" s="6">
        <f>J51*12</f>
        <v>1200</v>
      </c>
      <c r="M51" s="3">
        <v>1200</v>
      </c>
      <c r="N51" s="3">
        <v>139</v>
      </c>
      <c r="O51" s="5">
        <f t="shared" si="6"/>
        <v>1339</v>
      </c>
      <c r="P51" s="6"/>
      <c r="Q51" s="6"/>
      <c r="R51" s="6">
        <f>J51</f>
        <v>100</v>
      </c>
      <c r="S51" s="40"/>
      <c r="T51" s="40"/>
      <c r="U51" s="40"/>
      <c r="V51" s="40"/>
      <c r="W51" s="40"/>
      <c r="X51" s="40"/>
      <c r="Y51" s="40"/>
      <c r="Z51" s="40"/>
      <c r="AA51" s="40"/>
      <c r="AB51" s="41">
        <f t="shared" si="7"/>
        <v>0</v>
      </c>
    </row>
    <row r="52" spans="1:28" ht="22.5" customHeight="1">
      <c r="A52" s="78" t="s">
        <v>239</v>
      </c>
      <c r="B52" s="78" t="s">
        <v>97</v>
      </c>
      <c r="C52" s="33" t="s">
        <v>235</v>
      </c>
      <c r="D52" s="33" t="s">
        <v>240</v>
      </c>
      <c r="E52" s="33" t="s">
        <v>237</v>
      </c>
      <c r="F52" s="60">
        <v>46266</v>
      </c>
      <c r="G52" s="55" t="str">
        <f t="shared" ca="1" si="5"/>
        <v>NO PRAZO</v>
      </c>
      <c r="H52" s="33"/>
      <c r="I52" s="89" t="s">
        <v>241</v>
      </c>
      <c r="J52" s="6">
        <v>15000</v>
      </c>
      <c r="K52" s="72"/>
      <c r="L52" s="6">
        <f>J52*12</f>
        <v>180000</v>
      </c>
      <c r="M52" s="3">
        <v>31000</v>
      </c>
      <c r="N52" s="3">
        <v>0</v>
      </c>
      <c r="O52" s="5">
        <f t="shared" si="6"/>
        <v>31000</v>
      </c>
      <c r="P52" s="6"/>
      <c r="Q52" s="40"/>
      <c r="R52" s="45">
        <f>J52</f>
        <v>15000</v>
      </c>
      <c r="S52" s="40"/>
      <c r="T52" s="40"/>
      <c r="U52" s="40"/>
      <c r="V52" s="40"/>
      <c r="W52" s="40"/>
      <c r="X52" s="111"/>
      <c r="Y52" s="40"/>
      <c r="Z52" s="40"/>
      <c r="AA52" s="96">
        <f>J52</f>
        <v>15000</v>
      </c>
      <c r="AB52" s="41">
        <f t="shared" si="7"/>
        <v>15000</v>
      </c>
    </row>
    <row r="53" spans="1:28" ht="41.25" customHeight="1">
      <c r="A53" s="78" t="s">
        <v>242</v>
      </c>
      <c r="B53" s="112" t="s">
        <v>34</v>
      </c>
      <c r="C53" s="63" t="s">
        <v>243</v>
      </c>
      <c r="D53" s="63" t="s">
        <v>244</v>
      </c>
      <c r="E53" s="73" t="s">
        <v>245</v>
      </c>
      <c r="F53" s="60">
        <v>46254</v>
      </c>
      <c r="G53" s="55" t="str">
        <f t="shared" ca="1" si="5"/>
        <v>NO PRAZO</v>
      </c>
      <c r="H53" s="33"/>
      <c r="I53" s="73" t="s">
        <v>246</v>
      </c>
      <c r="J53" s="6"/>
      <c r="K53" s="72">
        <v>5954.2</v>
      </c>
      <c r="L53" s="6">
        <v>63975.839999999997</v>
      </c>
      <c r="M53" s="3">
        <v>22887.42</v>
      </c>
      <c r="N53" s="3">
        <v>0</v>
      </c>
      <c r="O53" s="5">
        <f t="shared" si="6"/>
        <v>22887.42</v>
      </c>
      <c r="P53" s="40"/>
      <c r="Q53" s="40"/>
      <c r="R53" s="6">
        <f>K53-O53</f>
        <v>-16933.219999999998</v>
      </c>
      <c r="S53" s="6">
        <f>K53-4688</f>
        <v>1266.1999999999998</v>
      </c>
      <c r="T53" s="40"/>
      <c r="U53" s="6">
        <f>5331-O53</f>
        <v>-17556.419999999998</v>
      </c>
      <c r="V53" s="62">
        <f>K53-4396</f>
        <v>1558.1999999999998</v>
      </c>
      <c r="W53" s="57">
        <f>K53</f>
        <v>5954.2</v>
      </c>
      <c r="X53" s="40"/>
      <c r="Y53" s="40"/>
      <c r="Z53" s="40"/>
      <c r="AA53" s="40"/>
      <c r="AB53" s="41">
        <f t="shared" si="7"/>
        <v>0</v>
      </c>
    </row>
    <row r="54" spans="1:28" ht="38.25" customHeight="1">
      <c r="A54" s="83" t="s">
        <v>247</v>
      </c>
      <c r="B54" s="112" t="s">
        <v>34</v>
      </c>
      <c r="C54" s="86" t="s">
        <v>196</v>
      </c>
      <c r="D54" s="63" t="s">
        <v>248</v>
      </c>
      <c r="E54" s="73" t="s">
        <v>249</v>
      </c>
      <c r="F54" s="60">
        <v>45938</v>
      </c>
      <c r="G54" s="55" t="str">
        <f t="shared" ca="1" si="5"/>
        <v>EXPIRADO</v>
      </c>
      <c r="H54" s="33" t="s">
        <v>120</v>
      </c>
      <c r="I54" s="73" t="s">
        <v>250</v>
      </c>
      <c r="J54" s="6"/>
      <c r="K54" s="72">
        <v>23452.22</v>
      </c>
      <c r="L54" s="6">
        <f>K54*12</f>
        <v>281426.64</v>
      </c>
      <c r="M54" s="114">
        <v>1000</v>
      </c>
      <c r="N54" s="3">
        <v>0</v>
      </c>
      <c r="O54" s="5">
        <f t="shared" si="6"/>
        <v>1000</v>
      </c>
      <c r="P54" s="46"/>
      <c r="Q54" s="6"/>
      <c r="R54" s="40"/>
      <c r="S54" s="40"/>
      <c r="T54" s="40"/>
      <c r="U54" s="62">
        <f>K54</f>
        <v>23452.22</v>
      </c>
      <c r="V54" s="40"/>
      <c r="W54" s="40"/>
      <c r="X54" s="40"/>
      <c r="Y54" s="57">
        <f>K54-O54</f>
        <v>22452.22</v>
      </c>
      <c r="Z54" s="6">
        <f>K54</f>
        <v>23452.22</v>
      </c>
      <c r="AA54" s="6">
        <f>K54</f>
        <v>23452.22</v>
      </c>
      <c r="AB54" s="41">
        <f t="shared" si="7"/>
        <v>69356.66</v>
      </c>
    </row>
    <row r="55" spans="1:28" ht="41.25" customHeight="1">
      <c r="A55" s="78" t="s">
        <v>251</v>
      </c>
      <c r="B55" s="112" t="s">
        <v>34</v>
      </c>
      <c r="C55" s="63" t="s">
        <v>123</v>
      </c>
      <c r="D55" s="63" t="s">
        <v>252</v>
      </c>
      <c r="E55" s="73" t="s">
        <v>253</v>
      </c>
      <c r="F55" s="60">
        <v>46309</v>
      </c>
      <c r="G55" s="55" t="str">
        <f t="shared" ca="1" si="5"/>
        <v>NO PRAZO</v>
      </c>
      <c r="H55" s="33"/>
      <c r="I55" s="73" t="s">
        <v>254</v>
      </c>
      <c r="J55" s="6">
        <f>L55/12</f>
        <v>4106.25</v>
      </c>
      <c r="K55" s="37"/>
      <c r="L55" s="38">
        <v>49275</v>
      </c>
      <c r="M55" s="114">
        <v>3945.93</v>
      </c>
      <c r="N55" s="3">
        <v>0</v>
      </c>
      <c r="O55" s="5">
        <f t="shared" si="6"/>
        <v>3945.93</v>
      </c>
      <c r="P55" s="46"/>
      <c r="Q55" s="6"/>
      <c r="R55" s="40"/>
      <c r="S55" s="40"/>
      <c r="T55" s="40"/>
      <c r="U55" s="40"/>
      <c r="V55" s="40"/>
      <c r="W55" s="40"/>
      <c r="X55" s="40"/>
      <c r="Y55" s="6">
        <f>J55-O55</f>
        <v>160.32000000000016</v>
      </c>
      <c r="Z55" s="6">
        <f>J55</f>
        <v>4106.25</v>
      </c>
      <c r="AA55" s="6">
        <f>J55</f>
        <v>4106.25</v>
      </c>
      <c r="AB55" s="41">
        <f t="shared" si="7"/>
        <v>8372.82</v>
      </c>
    </row>
    <row r="56" spans="1:28" ht="27" customHeight="1">
      <c r="A56" s="78" t="s">
        <v>255</v>
      </c>
      <c r="B56" s="112" t="s">
        <v>34</v>
      </c>
      <c r="C56" s="63" t="s">
        <v>211</v>
      </c>
      <c r="D56" s="63" t="s">
        <v>256</v>
      </c>
      <c r="E56" s="73" t="s">
        <v>257</v>
      </c>
      <c r="F56" s="60">
        <v>46068</v>
      </c>
      <c r="G56" s="55" t="str">
        <f t="shared" ca="1" si="5"/>
        <v>NO PRAZO</v>
      </c>
      <c r="H56" s="33" t="s">
        <v>258</v>
      </c>
      <c r="I56" s="73" t="s">
        <v>259</v>
      </c>
      <c r="J56" s="6"/>
      <c r="K56" s="37">
        <f>L56/12</f>
        <v>4290.91</v>
      </c>
      <c r="L56" s="38">
        <v>51490.92</v>
      </c>
      <c r="M56" s="94">
        <f>30036.37+4537.93</f>
        <v>34574.300000000003</v>
      </c>
      <c r="N56" s="3">
        <v>0</v>
      </c>
      <c r="O56" s="5">
        <f t="shared" si="6"/>
        <v>34574.300000000003</v>
      </c>
      <c r="P56" s="46"/>
      <c r="Q56" s="6"/>
      <c r="R56" s="40"/>
      <c r="S56" s="40"/>
      <c r="T56" s="40"/>
      <c r="U56" s="6">
        <f>K56</f>
        <v>4290.91</v>
      </c>
      <c r="V56" s="40"/>
      <c r="W56" s="40"/>
      <c r="X56" s="40"/>
      <c r="Y56" s="40"/>
      <c r="Z56" s="40"/>
      <c r="AA56" s="40"/>
      <c r="AB56" s="41">
        <f t="shared" si="7"/>
        <v>0</v>
      </c>
    </row>
    <row r="57" spans="1:28" ht="27" customHeight="1">
      <c r="A57" s="115" t="s">
        <v>260</v>
      </c>
      <c r="B57" s="116" t="s">
        <v>261</v>
      </c>
      <c r="C57" s="117" t="s">
        <v>262</v>
      </c>
      <c r="D57" s="117" t="s">
        <v>263</v>
      </c>
      <c r="E57" s="73" t="s">
        <v>264</v>
      </c>
      <c r="F57" s="60">
        <v>46434</v>
      </c>
      <c r="G57" s="55" t="str">
        <f t="shared" ca="1" si="5"/>
        <v>NO PRAZO</v>
      </c>
      <c r="H57" s="55"/>
      <c r="I57" s="118" t="s">
        <v>265</v>
      </c>
      <c r="J57" s="6"/>
      <c r="K57" s="72">
        <v>382896.8</v>
      </c>
      <c r="L57" s="6">
        <f>K57*12</f>
        <v>4594761.5999999996</v>
      </c>
      <c r="M57" s="3">
        <v>389237.8</v>
      </c>
      <c r="N57" s="3">
        <v>0</v>
      </c>
      <c r="O57" s="5">
        <f t="shared" si="6"/>
        <v>389237.8</v>
      </c>
      <c r="P57" s="46"/>
      <c r="Q57" s="46"/>
      <c r="R57" s="6">
        <f>K57-O57</f>
        <v>-6341</v>
      </c>
      <c r="S57" s="40"/>
      <c r="T57" s="40"/>
      <c r="U57" s="6">
        <f>K57-O57</f>
        <v>-6341</v>
      </c>
      <c r="V57" s="40"/>
      <c r="W57" s="40"/>
      <c r="X57" s="40"/>
      <c r="Y57" s="40"/>
      <c r="Z57" s="6">
        <f>K57*2-O57</f>
        <v>376555.8</v>
      </c>
      <c r="AA57" s="6">
        <f>K57</f>
        <v>382896.8</v>
      </c>
      <c r="AB57" s="41">
        <f t="shared" si="7"/>
        <v>759452.6</v>
      </c>
    </row>
    <row r="58" spans="1:28" ht="14.25" customHeight="1">
      <c r="A58" s="115" t="s">
        <v>266</v>
      </c>
      <c r="B58" s="116" t="s">
        <v>261</v>
      </c>
      <c r="C58" s="117" t="s">
        <v>267</v>
      </c>
      <c r="D58" s="117" t="s">
        <v>268</v>
      </c>
      <c r="E58" s="73" t="s">
        <v>269</v>
      </c>
      <c r="F58" s="60">
        <v>46462</v>
      </c>
      <c r="G58" s="55" t="str">
        <f t="shared" ca="1" si="5"/>
        <v>NO PRAZO</v>
      </c>
      <c r="H58" s="55" t="s">
        <v>90</v>
      </c>
      <c r="I58" s="118" t="s">
        <v>270</v>
      </c>
      <c r="J58" s="6"/>
      <c r="K58" s="72">
        <v>193823.77</v>
      </c>
      <c r="L58" s="6">
        <f>K58*12</f>
        <v>2325885.2399999998</v>
      </c>
      <c r="M58" s="3">
        <v>194823.77</v>
      </c>
      <c r="N58" s="3">
        <v>0</v>
      </c>
      <c r="O58" s="5">
        <f t="shared" si="6"/>
        <v>194823.77</v>
      </c>
      <c r="P58" s="46"/>
      <c r="Q58" s="46"/>
      <c r="R58" s="40"/>
      <c r="S58" s="6">
        <f>K58</f>
        <v>193823.77</v>
      </c>
      <c r="T58" s="40"/>
      <c r="U58" s="6">
        <f>K58</f>
        <v>193823.77</v>
      </c>
      <c r="V58" s="57"/>
      <c r="W58" s="40"/>
      <c r="X58" s="40"/>
      <c r="Y58" s="40"/>
      <c r="Z58" s="6">
        <f>K58</f>
        <v>193823.77</v>
      </c>
      <c r="AA58" s="6">
        <f>K58</f>
        <v>193823.77</v>
      </c>
      <c r="AB58" s="41">
        <f t="shared" si="7"/>
        <v>387647.54</v>
      </c>
    </row>
    <row r="59" spans="1:28" ht="66" customHeight="1">
      <c r="A59" s="119" t="s">
        <v>271</v>
      </c>
      <c r="B59" s="116" t="s">
        <v>261</v>
      </c>
      <c r="C59" s="117" t="s">
        <v>272</v>
      </c>
      <c r="D59" s="117" t="s">
        <v>273</v>
      </c>
      <c r="E59" s="73" t="s">
        <v>274</v>
      </c>
      <c r="F59" s="60">
        <v>46035</v>
      </c>
      <c r="G59" s="55" t="str">
        <f t="shared" ca="1" si="5"/>
        <v>NO PRAZO</v>
      </c>
      <c r="H59" s="55"/>
      <c r="I59" s="59" t="s">
        <v>275</v>
      </c>
      <c r="J59" s="195">
        <v>309551</v>
      </c>
      <c r="K59" s="120"/>
      <c r="L59" s="6">
        <v>6773741.9900000002</v>
      </c>
      <c r="M59" s="3">
        <v>460766.11</v>
      </c>
      <c r="N59" s="3"/>
      <c r="O59" s="198">
        <f>SUM(M59:N60)</f>
        <v>460766.11</v>
      </c>
      <c r="P59" s="194"/>
      <c r="Q59" s="199"/>
      <c r="R59" s="194">
        <f>J59-M59</f>
        <v>-151215.10999999999</v>
      </c>
      <c r="S59" s="196"/>
      <c r="T59" s="192"/>
      <c r="U59" s="193"/>
      <c r="V59" s="197"/>
      <c r="W59" s="197"/>
      <c r="X59" s="192"/>
      <c r="Y59" s="193"/>
      <c r="Z59" s="194">
        <f>J59*2-O59</f>
        <v>158335.89000000001</v>
      </c>
      <c r="AA59" s="195">
        <f>J59</f>
        <v>309551</v>
      </c>
      <c r="AB59" s="41">
        <f t="shared" si="7"/>
        <v>467886.89</v>
      </c>
    </row>
    <row r="60" spans="1:28" ht="41.25" customHeight="1">
      <c r="A60" s="119" t="s">
        <v>276</v>
      </c>
      <c r="B60" s="116" t="s">
        <v>261</v>
      </c>
      <c r="C60" s="117" t="s">
        <v>272</v>
      </c>
      <c r="D60" s="117" t="s">
        <v>273</v>
      </c>
      <c r="E60" s="73" t="s">
        <v>277</v>
      </c>
      <c r="F60" s="60">
        <v>45714</v>
      </c>
      <c r="G60" s="55" t="str">
        <f t="shared" ca="1" si="5"/>
        <v>EXPIRADO</v>
      </c>
      <c r="H60" s="33" t="s">
        <v>120</v>
      </c>
      <c r="I60" s="59" t="s">
        <v>278</v>
      </c>
      <c r="J60" s="195"/>
      <c r="K60" s="120"/>
      <c r="L60" s="6">
        <v>5164500</v>
      </c>
      <c r="M60" s="3">
        <v>0</v>
      </c>
      <c r="N60" s="3"/>
      <c r="O60" s="198"/>
      <c r="P60" s="194"/>
      <c r="Q60" s="199"/>
      <c r="R60" s="194"/>
      <c r="S60" s="196"/>
      <c r="T60" s="192"/>
      <c r="U60" s="193"/>
      <c r="V60" s="197"/>
      <c r="W60" s="197"/>
      <c r="X60" s="192"/>
      <c r="Y60" s="193"/>
      <c r="Z60" s="194"/>
      <c r="AA60" s="195"/>
      <c r="AB60" s="41">
        <f t="shared" si="7"/>
        <v>0</v>
      </c>
    </row>
    <row r="61" spans="1:28" ht="82.5" customHeight="1">
      <c r="A61" s="121" t="s">
        <v>279</v>
      </c>
      <c r="B61" s="122" t="s">
        <v>261</v>
      </c>
      <c r="C61" s="123" t="s">
        <v>280</v>
      </c>
      <c r="D61" s="124" t="s">
        <v>281</v>
      </c>
      <c r="E61" s="73" t="s">
        <v>282</v>
      </c>
      <c r="F61" s="60">
        <v>45974</v>
      </c>
      <c r="G61" s="55" t="str">
        <f t="shared" ca="1" si="5"/>
        <v>EM BREVE</v>
      </c>
      <c r="H61" s="33" t="s">
        <v>120</v>
      </c>
      <c r="I61" s="73" t="s">
        <v>283</v>
      </c>
      <c r="J61" s="6">
        <f>L61/12</f>
        <v>7018</v>
      </c>
      <c r="K61" s="37"/>
      <c r="L61" s="38">
        <v>84216</v>
      </c>
      <c r="M61" s="39">
        <v>7018</v>
      </c>
      <c r="N61" s="39">
        <v>9680</v>
      </c>
      <c r="O61" s="5">
        <f t="shared" ref="O61:O81" si="9">SUM(M61:N61)</f>
        <v>16698</v>
      </c>
      <c r="P61" s="46"/>
      <c r="Q61" s="46"/>
      <c r="R61" s="40"/>
      <c r="S61" s="40"/>
      <c r="T61" s="40"/>
      <c r="U61" s="40"/>
      <c r="V61" s="40"/>
      <c r="W61" s="40"/>
      <c r="X61" s="40"/>
      <c r="Y61" s="40"/>
      <c r="Z61" s="57"/>
      <c r="AA61" s="6">
        <f>J61*3-O61</f>
        <v>4356</v>
      </c>
      <c r="AB61" s="41">
        <f t="shared" si="7"/>
        <v>4356</v>
      </c>
    </row>
    <row r="62" spans="1:28" ht="41.25" customHeight="1">
      <c r="A62" s="125" t="s">
        <v>284</v>
      </c>
      <c r="B62" s="116" t="s">
        <v>261</v>
      </c>
      <c r="C62" s="117" t="s">
        <v>285</v>
      </c>
      <c r="D62" s="117" t="s">
        <v>286</v>
      </c>
      <c r="E62" s="33" t="s">
        <v>287</v>
      </c>
      <c r="F62" s="33" t="s">
        <v>288</v>
      </c>
      <c r="G62" s="55" t="str">
        <f t="shared" ca="1" si="5"/>
        <v>EM BREVE</v>
      </c>
      <c r="H62" s="33" t="s">
        <v>120</v>
      </c>
      <c r="I62" s="33" t="s">
        <v>289</v>
      </c>
      <c r="J62" s="6">
        <f>L62/12</f>
        <v>1241.6666666666667</v>
      </c>
      <c r="K62" s="72"/>
      <c r="L62" s="6">
        <v>14900</v>
      </c>
      <c r="M62" s="3">
        <v>0</v>
      </c>
      <c r="N62" s="3">
        <v>0</v>
      </c>
      <c r="O62" s="5">
        <f t="shared" si="9"/>
        <v>0</v>
      </c>
      <c r="P62" s="46"/>
      <c r="Q62" s="40"/>
      <c r="R62" s="40"/>
      <c r="S62" s="40"/>
      <c r="T62" s="40"/>
      <c r="U62" s="40"/>
      <c r="V62" s="40"/>
      <c r="W62" s="40"/>
      <c r="X62" s="40"/>
      <c r="Y62" s="62">
        <f>J62</f>
        <v>1241.6666666666667</v>
      </c>
      <c r="Z62" s="62">
        <f>J62</f>
        <v>1241.6666666666667</v>
      </c>
      <c r="AA62" s="62">
        <f>J62</f>
        <v>1241.6666666666667</v>
      </c>
      <c r="AB62" s="41">
        <f t="shared" si="7"/>
        <v>3725</v>
      </c>
    </row>
    <row r="63" spans="1:28" ht="35.25" customHeight="1">
      <c r="A63" s="125" t="s">
        <v>290</v>
      </c>
      <c r="B63" s="116" t="s">
        <v>261</v>
      </c>
      <c r="C63" s="117" t="s">
        <v>285</v>
      </c>
      <c r="D63" s="117" t="s">
        <v>291</v>
      </c>
      <c r="E63" s="33" t="s">
        <v>287</v>
      </c>
      <c r="F63" s="33"/>
      <c r="G63" s="55"/>
      <c r="H63" s="55"/>
      <c r="I63" s="33"/>
      <c r="J63" s="6">
        <f>L63/12</f>
        <v>832.5</v>
      </c>
      <c r="K63" s="72"/>
      <c r="L63" s="6">
        <v>9990</v>
      </c>
      <c r="M63" s="3">
        <v>1638</v>
      </c>
      <c r="N63" s="3">
        <v>0</v>
      </c>
      <c r="O63" s="5">
        <f t="shared" si="9"/>
        <v>1638</v>
      </c>
      <c r="P63" s="40"/>
      <c r="Q63" s="40"/>
      <c r="R63" s="62">
        <f>J63-O63</f>
        <v>-805.5</v>
      </c>
      <c r="S63" s="62">
        <f>J63-27</f>
        <v>805.5</v>
      </c>
      <c r="T63" s="62">
        <f>J63</f>
        <v>832.5</v>
      </c>
      <c r="U63" s="40"/>
      <c r="V63" s="40"/>
      <c r="W63" s="40"/>
      <c r="X63" s="40"/>
      <c r="Y63" s="40"/>
      <c r="Z63" s="6">
        <f>J63*2-O63</f>
        <v>27</v>
      </c>
      <c r="AA63" s="6">
        <f>J63</f>
        <v>832.5</v>
      </c>
      <c r="AB63" s="41">
        <f t="shared" si="7"/>
        <v>859.5</v>
      </c>
    </row>
    <row r="64" spans="1:28" ht="27" customHeight="1">
      <c r="A64" s="115" t="s">
        <v>292</v>
      </c>
      <c r="B64" s="116" t="s">
        <v>261</v>
      </c>
      <c r="C64" s="117" t="s">
        <v>293</v>
      </c>
      <c r="D64" s="117" t="s">
        <v>294</v>
      </c>
      <c r="E64" s="73" t="s">
        <v>295</v>
      </c>
      <c r="F64" s="60">
        <v>45920</v>
      </c>
      <c r="G64" s="55" t="str">
        <f ca="1">IF((F64-TODAY())&lt;0,"EXPIRADO", IF((F64-TODAY())&lt;=60,"EM BREVE","NO PRAZO"))</f>
        <v>EXPIRADO</v>
      </c>
      <c r="H64" s="55" t="s">
        <v>296</v>
      </c>
      <c r="I64" s="73" t="s">
        <v>297</v>
      </c>
      <c r="J64" s="6"/>
      <c r="K64" s="72">
        <f>L64/12</f>
        <v>39124.22</v>
      </c>
      <c r="L64" s="6">
        <v>469490.64</v>
      </c>
      <c r="M64" s="3">
        <v>13122.68</v>
      </c>
      <c r="N64" s="3"/>
      <c r="O64" s="5">
        <f t="shared" si="9"/>
        <v>13122.68</v>
      </c>
      <c r="P64" s="6"/>
      <c r="Q64" s="6"/>
      <c r="R64" s="40"/>
      <c r="S64" s="40"/>
      <c r="T64" s="40"/>
      <c r="U64" s="40"/>
      <c r="V64" s="40"/>
      <c r="W64" s="40"/>
      <c r="X64" s="95"/>
      <c r="Y64" s="62">
        <f>K64-O64</f>
        <v>26001.54</v>
      </c>
      <c r="Z64" s="6">
        <f>K64</f>
        <v>39124.22</v>
      </c>
      <c r="AA64" s="6">
        <f>K64</f>
        <v>39124.22</v>
      </c>
      <c r="AB64" s="41">
        <f t="shared" si="7"/>
        <v>104249.98000000001</v>
      </c>
    </row>
    <row r="65" spans="1:28" ht="22.5" customHeight="1">
      <c r="A65" s="126" t="s">
        <v>298</v>
      </c>
      <c r="B65" s="78" t="s">
        <v>261</v>
      </c>
      <c r="C65" s="33" t="s">
        <v>293</v>
      </c>
      <c r="D65" s="33" t="s">
        <v>299</v>
      </c>
      <c r="E65" s="73" t="s">
        <v>300</v>
      </c>
      <c r="F65" s="60">
        <v>47436</v>
      </c>
      <c r="G65" s="55" t="str">
        <f ca="1">IF((F65-TODAY())&lt;0,"EXPIRADO", IF((F65-TODAY())&lt;=60,"EM BREVE","NO PRAZO"))</f>
        <v>NO PRAZO</v>
      </c>
      <c r="H65" s="33"/>
      <c r="I65" s="55" t="s">
        <v>301</v>
      </c>
      <c r="J65" s="6">
        <f>L65/12</f>
        <v>339678</v>
      </c>
      <c r="K65" s="72"/>
      <c r="L65" s="3">
        <f>20380680/5</f>
        <v>4076136</v>
      </c>
      <c r="M65" s="3"/>
      <c r="N65" s="3">
        <v>2995835</v>
      </c>
      <c r="O65" s="5">
        <f t="shared" si="9"/>
        <v>2995835</v>
      </c>
      <c r="P65" s="40"/>
      <c r="Q65" s="46"/>
      <c r="R65" s="40"/>
      <c r="S65" s="46"/>
      <c r="T65" s="46"/>
      <c r="U65" s="46"/>
      <c r="V65" s="46"/>
      <c r="W65" s="46"/>
      <c r="X65" s="46"/>
      <c r="Y65" s="46"/>
      <c r="Z65" s="46"/>
      <c r="AA65" s="46"/>
      <c r="AB65" s="41">
        <f t="shared" si="7"/>
        <v>0</v>
      </c>
    </row>
    <row r="66" spans="1:28" ht="18.75" customHeight="1">
      <c r="A66" s="125" t="s">
        <v>302</v>
      </c>
      <c r="B66" s="116" t="s">
        <v>261</v>
      </c>
      <c r="C66" s="117" t="s">
        <v>28</v>
      </c>
      <c r="D66" s="117" t="s">
        <v>303</v>
      </c>
      <c r="E66" s="33"/>
      <c r="F66" s="33"/>
      <c r="G66" s="55"/>
      <c r="H66" s="55"/>
      <c r="I66" s="33"/>
      <c r="J66" s="6">
        <v>40000</v>
      </c>
      <c r="K66" s="72"/>
      <c r="L66" s="6">
        <f>J66*12</f>
        <v>480000</v>
      </c>
      <c r="M66" s="39">
        <v>121270.9</v>
      </c>
      <c r="N66" s="39">
        <v>2965.4</v>
      </c>
      <c r="O66" s="5">
        <f t="shared" si="9"/>
        <v>124236.29999999999</v>
      </c>
      <c r="P66" s="6"/>
      <c r="Q66" s="6"/>
      <c r="R66" s="40"/>
      <c r="S66" s="62">
        <f>40000-12743</f>
        <v>27257</v>
      </c>
      <c r="T66" s="46"/>
      <c r="U66" s="62">
        <f>J66-23261</f>
        <v>16739</v>
      </c>
      <c r="V66" s="46"/>
      <c r="W66" s="46"/>
      <c r="X66" s="46"/>
      <c r="Y66" s="46"/>
      <c r="Z66" s="46"/>
      <c r="AA66" s="46"/>
      <c r="AB66" s="41">
        <f t="shared" ref="AB66:AB81" si="10">SUM(Y66:AA66)</f>
        <v>0</v>
      </c>
    </row>
    <row r="67" spans="1:28" ht="14.25" customHeight="1">
      <c r="A67" s="125" t="s">
        <v>304</v>
      </c>
      <c r="B67" s="116" t="s">
        <v>261</v>
      </c>
      <c r="C67" s="117" t="s">
        <v>32</v>
      </c>
      <c r="D67" s="117" t="s">
        <v>305</v>
      </c>
      <c r="E67" s="33"/>
      <c r="F67" s="33"/>
      <c r="G67" s="55"/>
      <c r="H67" s="55"/>
      <c r="I67" s="33"/>
      <c r="J67" s="6">
        <v>136350</v>
      </c>
      <c r="K67" s="72"/>
      <c r="L67" s="6">
        <f>J67*12</f>
        <v>1636200</v>
      </c>
      <c r="M67" s="3">
        <v>125730.67</v>
      </c>
      <c r="N67" s="3">
        <v>0</v>
      </c>
      <c r="O67" s="5">
        <f t="shared" si="9"/>
        <v>125730.67</v>
      </c>
      <c r="P67" s="45"/>
      <c r="Q67" s="6"/>
      <c r="R67" s="62">
        <f>J67-O67</f>
        <v>10619.330000000002</v>
      </c>
      <c r="S67" s="62">
        <f>J67</f>
        <v>136350</v>
      </c>
      <c r="T67" s="46"/>
      <c r="U67" s="46"/>
      <c r="V67" s="62">
        <f>J67-1163</f>
        <v>135187</v>
      </c>
      <c r="W67" s="46"/>
      <c r="X67" s="46"/>
      <c r="Y67" s="6">
        <f>J67-O67</f>
        <v>10619.330000000002</v>
      </c>
      <c r="Z67" s="6">
        <f>J67</f>
        <v>136350</v>
      </c>
      <c r="AA67" s="6">
        <f>J67</f>
        <v>136350</v>
      </c>
      <c r="AB67" s="41">
        <f t="shared" si="10"/>
        <v>283319.33</v>
      </c>
    </row>
    <row r="68" spans="1:28" ht="14.25" customHeight="1">
      <c r="A68" s="125" t="s">
        <v>306</v>
      </c>
      <c r="B68" s="116" t="s">
        <v>261</v>
      </c>
      <c r="C68" s="117" t="s">
        <v>307</v>
      </c>
      <c r="D68" s="117"/>
      <c r="E68" s="33" t="s">
        <v>308</v>
      </c>
      <c r="F68" s="33"/>
      <c r="G68" s="55"/>
      <c r="H68" s="55"/>
      <c r="I68" s="33"/>
      <c r="J68" s="6">
        <v>245000</v>
      </c>
      <c r="K68" s="72"/>
      <c r="L68" s="6">
        <f>J68*12</f>
        <v>2940000</v>
      </c>
      <c r="M68" s="3">
        <v>13281.59</v>
      </c>
      <c r="N68" s="3">
        <v>0</v>
      </c>
      <c r="O68" s="5">
        <f t="shared" si="9"/>
        <v>13281.59</v>
      </c>
      <c r="P68" s="40"/>
      <c r="Q68" s="40"/>
      <c r="R68" s="62">
        <f>J68-O68</f>
        <v>231718.41</v>
      </c>
      <c r="S68" s="46"/>
      <c r="T68" s="62">
        <f>J68-8976</f>
        <v>236024</v>
      </c>
      <c r="U68" s="62">
        <f>J68-49349</f>
        <v>195651</v>
      </c>
      <c r="V68" s="46"/>
      <c r="W68" s="46"/>
      <c r="X68" s="46"/>
      <c r="Y68" s="6">
        <f>J68-O68</f>
        <v>231718.41</v>
      </c>
      <c r="Z68" s="6">
        <f>J68</f>
        <v>245000</v>
      </c>
      <c r="AA68" s="6">
        <f>J68</f>
        <v>245000</v>
      </c>
      <c r="AB68" s="41">
        <f t="shared" si="10"/>
        <v>721718.41</v>
      </c>
    </row>
    <row r="69" spans="1:28" ht="27" customHeight="1">
      <c r="A69" s="78" t="s">
        <v>309</v>
      </c>
      <c r="B69" s="78" t="s">
        <v>310</v>
      </c>
      <c r="C69" s="43" t="s">
        <v>311</v>
      </c>
      <c r="D69" s="43" t="s">
        <v>312</v>
      </c>
      <c r="E69" s="73" t="s">
        <v>313</v>
      </c>
      <c r="F69" s="127">
        <v>46274</v>
      </c>
      <c r="G69" s="55" t="str">
        <f ca="1">IF((F69-TODAY())&lt;0,"EXPIRADO", IF((F69-TODAY())&lt;=60,"EM BREVE","NO PRAZO"))</f>
        <v>NO PRAZO</v>
      </c>
      <c r="H69" s="33"/>
      <c r="I69" s="76" t="s">
        <v>314</v>
      </c>
      <c r="J69" s="6">
        <f>L69/12</f>
        <v>1500933.5674999999</v>
      </c>
      <c r="K69" s="128"/>
      <c r="L69" s="6">
        <v>18011202.809999999</v>
      </c>
      <c r="M69" s="3">
        <v>122070.88</v>
      </c>
      <c r="N69" s="3">
        <v>0</v>
      </c>
      <c r="O69" s="5">
        <f t="shared" si="9"/>
        <v>122070.88</v>
      </c>
      <c r="P69" s="6"/>
      <c r="Q69" s="6"/>
      <c r="R69" s="40"/>
      <c r="S69" s="46"/>
      <c r="T69" s="46"/>
      <c r="U69" s="62" t="e">
        <f>#REF!</f>
        <v>#REF!</v>
      </c>
      <c r="V69" s="46"/>
      <c r="W69" s="46"/>
      <c r="X69" s="46"/>
      <c r="Y69" s="62" t="e">
        <f>#REF!-O69</f>
        <v>#REF!</v>
      </c>
      <c r="Z69" s="6" t="e">
        <f>#REF!</f>
        <v>#REF!</v>
      </c>
      <c r="AA69" s="6" t="e">
        <f>#REF!</f>
        <v>#REF!</v>
      </c>
      <c r="AB69" s="41" t="e">
        <f t="shared" si="10"/>
        <v>#REF!</v>
      </c>
    </row>
    <row r="70" spans="1:28" ht="27" customHeight="1">
      <c r="A70" s="130" t="s">
        <v>315</v>
      </c>
      <c r="B70" s="78" t="s">
        <v>316</v>
      </c>
      <c r="C70" s="33" t="s">
        <v>317</v>
      </c>
      <c r="D70" s="33"/>
      <c r="E70" s="33"/>
      <c r="F70" s="54"/>
      <c r="G70" s="55"/>
      <c r="H70" s="55"/>
      <c r="I70" s="33"/>
      <c r="J70" s="6"/>
      <c r="K70" s="72"/>
      <c r="L70" s="6"/>
      <c r="M70" s="3"/>
      <c r="N70" s="3"/>
      <c r="O70" s="5">
        <f t="shared" si="9"/>
        <v>0</v>
      </c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41">
        <f t="shared" si="10"/>
        <v>0</v>
      </c>
    </row>
    <row r="71" spans="1:28" ht="52.5" customHeight="1">
      <c r="A71" s="82" t="s">
        <v>318</v>
      </c>
      <c r="B71" s="78" t="s">
        <v>316</v>
      </c>
      <c r="C71" s="33" t="s">
        <v>319</v>
      </c>
      <c r="D71" s="33"/>
      <c r="E71" s="33" t="s">
        <v>320</v>
      </c>
      <c r="F71" s="33"/>
      <c r="G71" s="55"/>
      <c r="H71" s="55"/>
      <c r="I71" s="33"/>
      <c r="J71" s="6">
        <v>73000</v>
      </c>
      <c r="K71" s="72"/>
      <c r="L71" s="6">
        <f>11086.47+11086.47+11086.47+11086.47+8622.81+8622.81+3695.49+3695.49</f>
        <v>68982.48</v>
      </c>
      <c r="M71" s="3">
        <v>0</v>
      </c>
      <c r="N71" s="3"/>
      <c r="O71" s="5">
        <f t="shared" si="9"/>
        <v>0</v>
      </c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41">
        <f t="shared" si="10"/>
        <v>0</v>
      </c>
    </row>
    <row r="72" spans="1:28" ht="173.25" customHeight="1">
      <c r="A72" s="191" t="s">
        <v>321</v>
      </c>
      <c r="B72" s="78" t="s">
        <v>316</v>
      </c>
      <c r="C72" s="33" t="s">
        <v>322</v>
      </c>
      <c r="D72" s="33"/>
      <c r="E72" s="33" t="s">
        <v>323</v>
      </c>
      <c r="F72" s="33" t="s">
        <v>324</v>
      </c>
      <c r="G72" s="55"/>
      <c r="H72" s="55"/>
      <c r="I72" s="71"/>
      <c r="J72" s="131">
        <v>285000</v>
      </c>
      <c r="K72" s="72"/>
      <c r="L72" s="6">
        <f t="shared" ref="L72:L79" si="11">J72*12</f>
        <v>3420000</v>
      </c>
      <c r="M72" s="3">
        <v>259722.35</v>
      </c>
      <c r="N72" s="3">
        <v>0</v>
      </c>
      <c r="O72" s="5">
        <f t="shared" si="9"/>
        <v>259722.35</v>
      </c>
      <c r="P72" s="46"/>
      <c r="Q72" s="131"/>
      <c r="R72" s="40"/>
      <c r="S72" s="46"/>
      <c r="T72" s="46"/>
      <c r="U72" s="131">
        <f>285000-O72</f>
        <v>25277.649999999994</v>
      </c>
      <c r="V72" s="46"/>
      <c r="W72" s="46"/>
      <c r="X72" s="6"/>
      <c r="Y72" s="6">
        <f>285000-O72</f>
        <v>25277.649999999994</v>
      </c>
      <c r="Z72" s="131">
        <v>285000</v>
      </c>
      <c r="AA72" s="131">
        <v>285000</v>
      </c>
      <c r="AB72" s="41">
        <f t="shared" si="10"/>
        <v>595277.65</v>
      </c>
    </row>
    <row r="73" spans="1:28" ht="219.75" customHeight="1">
      <c r="A73" s="133" t="s">
        <v>325</v>
      </c>
      <c r="B73" s="78" t="s">
        <v>316</v>
      </c>
      <c r="C73" s="33" t="s">
        <v>322</v>
      </c>
      <c r="D73" s="33"/>
      <c r="E73" s="134" t="s">
        <v>326</v>
      </c>
      <c r="F73" s="33" t="s">
        <v>327</v>
      </c>
      <c r="G73" s="55"/>
      <c r="H73" s="55"/>
      <c r="I73" s="71"/>
      <c r="J73" s="131">
        <v>28500</v>
      </c>
      <c r="K73" s="72"/>
      <c r="L73" s="6">
        <f t="shared" si="11"/>
        <v>342000</v>
      </c>
      <c r="M73" s="3">
        <f>89029.91+28500</f>
        <v>117529.91</v>
      </c>
      <c r="N73" s="3">
        <v>0</v>
      </c>
      <c r="O73" s="5">
        <f t="shared" si="9"/>
        <v>117529.91</v>
      </c>
      <c r="P73" s="46"/>
      <c r="Q73" s="131"/>
      <c r="R73" s="40"/>
      <c r="S73" s="46"/>
      <c r="T73" s="46"/>
      <c r="U73" s="131">
        <f>28500-24893</f>
        <v>3607</v>
      </c>
      <c r="V73" s="46"/>
      <c r="W73" s="46"/>
      <c r="X73" s="46"/>
      <c r="Y73" s="46"/>
      <c r="Z73" s="46"/>
      <c r="AA73" s="46"/>
      <c r="AB73" s="41">
        <f t="shared" si="10"/>
        <v>0</v>
      </c>
    </row>
    <row r="74" spans="1:28" ht="193.5" customHeight="1">
      <c r="A74" s="133" t="s">
        <v>328</v>
      </c>
      <c r="B74" s="78" t="s">
        <v>316</v>
      </c>
      <c r="C74" s="33" t="s">
        <v>322</v>
      </c>
      <c r="D74" s="33"/>
      <c r="E74" s="134" t="s">
        <v>329</v>
      </c>
      <c r="F74" s="33" t="s">
        <v>330</v>
      </c>
      <c r="G74" s="55"/>
      <c r="H74" s="55"/>
      <c r="I74" s="71"/>
      <c r="J74" s="131">
        <v>22500</v>
      </c>
      <c r="K74" s="72"/>
      <c r="L74" s="6">
        <f t="shared" si="11"/>
        <v>270000</v>
      </c>
      <c r="M74" s="3">
        <f>45348.61+95199.17</f>
        <v>140547.78</v>
      </c>
      <c r="N74" s="3">
        <v>0</v>
      </c>
      <c r="O74" s="5">
        <f t="shared" si="9"/>
        <v>140547.78</v>
      </c>
      <c r="P74" s="46"/>
      <c r="Q74" s="131"/>
      <c r="R74" s="40"/>
      <c r="S74" s="46"/>
      <c r="T74" s="46"/>
      <c r="U74" s="46"/>
      <c r="V74" s="46"/>
      <c r="W74" s="46"/>
      <c r="X74" s="46"/>
      <c r="Y74" s="46"/>
      <c r="Z74" s="46"/>
      <c r="AA74" s="46"/>
      <c r="AB74" s="41">
        <f t="shared" si="10"/>
        <v>0</v>
      </c>
    </row>
    <row r="75" spans="1:28" ht="27" customHeight="1">
      <c r="A75" s="78" t="s">
        <v>331</v>
      </c>
      <c r="B75" s="78" t="s">
        <v>316</v>
      </c>
      <c r="C75" s="135" t="s">
        <v>332</v>
      </c>
      <c r="D75" s="136"/>
      <c r="E75" s="33"/>
      <c r="F75" s="33"/>
      <c r="G75" s="55"/>
      <c r="H75" s="55"/>
      <c r="I75" s="33"/>
      <c r="J75" s="6">
        <v>20000</v>
      </c>
      <c r="K75" s="72"/>
      <c r="L75" s="6">
        <f t="shared" si="11"/>
        <v>240000</v>
      </c>
      <c r="M75" s="3">
        <v>0</v>
      </c>
      <c r="N75" s="3">
        <v>0</v>
      </c>
      <c r="O75" s="5">
        <f t="shared" si="9"/>
        <v>0</v>
      </c>
      <c r="P75" s="62"/>
      <c r="Q75" s="62"/>
      <c r="R75" s="62">
        <f>J75</f>
        <v>20000</v>
      </c>
      <c r="S75" s="62">
        <f>J75</f>
        <v>20000</v>
      </c>
      <c r="T75" s="62">
        <f>J75</f>
        <v>20000</v>
      </c>
      <c r="U75" s="62">
        <f>J75</f>
        <v>20000</v>
      </c>
      <c r="V75" s="62">
        <f>J75</f>
        <v>20000</v>
      </c>
      <c r="W75" s="62">
        <f>J75</f>
        <v>20000</v>
      </c>
      <c r="X75" s="62"/>
      <c r="Y75" s="62">
        <f>J75</f>
        <v>20000</v>
      </c>
      <c r="Z75" s="6">
        <f>J75</f>
        <v>20000</v>
      </c>
      <c r="AA75" s="6">
        <f>J75</f>
        <v>20000</v>
      </c>
      <c r="AB75" s="41">
        <f t="shared" si="10"/>
        <v>60000</v>
      </c>
    </row>
    <row r="76" spans="1:28" ht="14.25" customHeight="1">
      <c r="A76" s="137" t="s">
        <v>333</v>
      </c>
      <c r="B76" s="78" t="s">
        <v>334</v>
      </c>
      <c r="C76" s="43" t="s">
        <v>335</v>
      </c>
      <c r="D76" s="43"/>
      <c r="E76" s="73" t="s">
        <v>336</v>
      </c>
      <c r="F76" s="73"/>
      <c r="G76" s="55"/>
      <c r="H76" s="55"/>
      <c r="I76" s="76"/>
      <c r="J76" s="6">
        <v>70000</v>
      </c>
      <c r="K76" s="72"/>
      <c r="L76" s="6">
        <f t="shared" si="11"/>
        <v>840000</v>
      </c>
      <c r="M76" s="3">
        <v>131780.04</v>
      </c>
      <c r="N76" s="3">
        <v>29835.95</v>
      </c>
      <c r="O76" s="5">
        <f t="shared" si="9"/>
        <v>161615.99000000002</v>
      </c>
      <c r="P76" s="46"/>
      <c r="Q76" s="46"/>
      <c r="R76" s="40"/>
      <c r="S76" s="46"/>
      <c r="T76" s="62">
        <f>J76-7000</f>
        <v>63000</v>
      </c>
      <c r="U76" s="62">
        <f>J76</f>
        <v>70000</v>
      </c>
      <c r="V76" s="46"/>
      <c r="W76" s="46"/>
      <c r="X76" s="46"/>
      <c r="Y76" s="46"/>
      <c r="Z76" s="46"/>
      <c r="AA76" s="6">
        <f>J76*3-O76</f>
        <v>48384.00999999998</v>
      </c>
      <c r="AB76" s="41">
        <f t="shared" si="10"/>
        <v>48384.00999999998</v>
      </c>
    </row>
    <row r="77" spans="1:28" ht="82.5" customHeight="1">
      <c r="A77" s="138" t="s">
        <v>337</v>
      </c>
      <c r="B77" s="83" t="s">
        <v>338</v>
      </c>
      <c r="C77" s="33" t="s">
        <v>339</v>
      </c>
      <c r="D77" s="139">
        <v>18284407000153</v>
      </c>
      <c r="E77" s="73" t="s">
        <v>340</v>
      </c>
      <c r="F77" s="60">
        <v>46441</v>
      </c>
      <c r="G77" s="55" t="str">
        <f ca="1">IF((F77-TODAY())&lt;0,"EXPIRADO", IF((F77-TODAY())&lt;=60,"EM BREVE","NO PRAZO"))</f>
        <v>NO PRAZO</v>
      </c>
      <c r="H77" s="55"/>
      <c r="I77" s="76" t="s">
        <v>341</v>
      </c>
      <c r="J77" s="6">
        <v>44033.82</v>
      </c>
      <c r="K77" s="72"/>
      <c r="L77" s="6">
        <f t="shared" si="11"/>
        <v>528405.84</v>
      </c>
      <c r="M77" s="3">
        <v>496006.57</v>
      </c>
      <c r="N77" s="3">
        <v>0</v>
      </c>
      <c r="O77" s="5">
        <f t="shared" si="9"/>
        <v>496006.57</v>
      </c>
      <c r="P77" s="62"/>
      <c r="Q77" s="46"/>
      <c r="R77" s="40"/>
      <c r="S77" s="46"/>
      <c r="T77" s="46"/>
      <c r="U77" s="46"/>
      <c r="V77" s="46"/>
      <c r="W77" s="46"/>
      <c r="X77" s="46"/>
      <c r="Y77" s="46"/>
      <c r="Z77" s="46"/>
      <c r="AA77" s="46"/>
      <c r="AB77" s="41">
        <f t="shared" si="10"/>
        <v>0</v>
      </c>
    </row>
    <row r="78" spans="1:28" ht="96" customHeight="1">
      <c r="A78" s="138" t="s">
        <v>342</v>
      </c>
      <c r="B78" s="83" t="s">
        <v>338</v>
      </c>
      <c r="C78" s="43" t="s">
        <v>343</v>
      </c>
      <c r="D78" s="139">
        <v>18284407000153</v>
      </c>
      <c r="E78" s="59" t="s">
        <v>344</v>
      </c>
      <c r="F78" s="60">
        <v>46734</v>
      </c>
      <c r="G78" s="55" t="str">
        <f ca="1">IF((F78-TODAY())&lt;0,"EXPIRADO", IF((F78-TODAY())&lt;=60,"EM BREVE","NO PRAZO"))</f>
        <v>NO PRAZO</v>
      </c>
      <c r="H78" s="55"/>
      <c r="I78" s="76" t="s">
        <v>345</v>
      </c>
      <c r="J78" s="6">
        <v>280000</v>
      </c>
      <c r="K78" s="37"/>
      <c r="L78" s="38">
        <f t="shared" si="11"/>
        <v>3360000</v>
      </c>
      <c r="M78" s="39">
        <v>10989.23</v>
      </c>
      <c r="N78" s="39">
        <v>460329.44</v>
      </c>
      <c r="O78" s="5">
        <f t="shared" si="9"/>
        <v>471318.67</v>
      </c>
      <c r="P78" s="46"/>
      <c r="Q78" s="40"/>
      <c r="R78" s="40"/>
      <c r="S78" s="46"/>
      <c r="T78" s="46"/>
      <c r="U78" s="46"/>
      <c r="V78" s="46"/>
      <c r="W78" s="46"/>
      <c r="X78" s="46"/>
      <c r="Y78" s="46"/>
      <c r="Z78" s="6">
        <f>J78*2-O78</f>
        <v>88681.330000000016</v>
      </c>
      <c r="AA78" s="6">
        <f>J78</f>
        <v>280000</v>
      </c>
      <c r="AB78" s="41">
        <f t="shared" si="10"/>
        <v>368681.33</v>
      </c>
    </row>
    <row r="79" spans="1:28" ht="41.25" customHeight="1">
      <c r="A79" s="83" t="s">
        <v>346</v>
      </c>
      <c r="B79" s="83" t="s">
        <v>316</v>
      </c>
      <c r="C79" s="43" t="s">
        <v>347</v>
      </c>
      <c r="D79" s="43" t="s">
        <v>348</v>
      </c>
      <c r="E79" s="59" t="s">
        <v>349</v>
      </c>
      <c r="F79" s="60">
        <v>46327</v>
      </c>
      <c r="G79" s="55" t="str">
        <f ca="1">IF((F79-TODAY())&lt;0,"EXPIRADO", IF((F79-TODAY())&lt;=60,"EM BREVE","NO PRAZO"))</f>
        <v>NO PRAZO</v>
      </c>
      <c r="H79" s="33" t="s">
        <v>350</v>
      </c>
      <c r="I79" s="61" t="s">
        <v>351</v>
      </c>
      <c r="J79" s="6">
        <v>17000</v>
      </c>
      <c r="K79" s="37"/>
      <c r="L79" s="38">
        <f t="shared" si="11"/>
        <v>204000</v>
      </c>
      <c r="M79" s="3">
        <v>29917.55</v>
      </c>
      <c r="N79" s="3">
        <v>0</v>
      </c>
      <c r="O79" s="5">
        <f t="shared" si="9"/>
        <v>29917.55</v>
      </c>
      <c r="P79" s="62"/>
      <c r="Q79" s="62"/>
      <c r="R79" s="40"/>
      <c r="S79" s="40"/>
      <c r="T79" s="62">
        <v>17000</v>
      </c>
      <c r="U79" s="62">
        <f>J79</f>
        <v>17000</v>
      </c>
      <c r="V79" s="62">
        <f>J79-14992</f>
        <v>2008</v>
      </c>
      <c r="W79" s="62">
        <f>J79-14992</f>
        <v>2008</v>
      </c>
      <c r="X79" s="46"/>
      <c r="Y79" s="46"/>
      <c r="Z79" s="6">
        <f>J79*2-O79</f>
        <v>4082.4500000000007</v>
      </c>
      <c r="AA79" s="6">
        <f>J79</f>
        <v>17000</v>
      </c>
      <c r="AB79" s="41">
        <f t="shared" si="10"/>
        <v>21082.45</v>
      </c>
    </row>
    <row r="80" spans="1:28" ht="27" customHeight="1">
      <c r="A80" s="78" t="s">
        <v>352</v>
      </c>
      <c r="B80" s="78" t="s">
        <v>316</v>
      </c>
      <c r="C80" s="33" t="s">
        <v>353</v>
      </c>
      <c r="D80" s="33" t="s">
        <v>354</v>
      </c>
      <c r="E80" s="73" t="s">
        <v>355</v>
      </c>
      <c r="F80" s="99">
        <v>45682</v>
      </c>
      <c r="G80" s="55" t="str">
        <f ca="1">IF((F80-TODAY())&lt;0,"EXPIRADO", IF((F80-TODAY())&lt;=60,"EM BREVE","NO PRAZO"))</f>
        <v>EXPIRADO</v>
      </c>
      <c r="H80" s="140" t="s">
        <v>356</v>
      </c>
      <c r="I80" s="73" t="s">
        <v>357</v>
      </c>
      <c r="J80" s="6"/>
      <c r="K80" s="72"/>
      <c r="L80" s="6">
        <v>45000</v>
      </c>
      <c r="M80" s="3">
        <v>0</v>
      </c>
      <c r="N80" s="3">
        <v>0</v>
      </c>
      <c r="O80" s="5">
        <f t="shared" si="9"/>
        <v>0</v>
      </c>
      <c r="P80" s="95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41">
        <f t="shared" si="10"/>
        <v>0</v>
      </c>
    </row>
    <row r="81" spans="1:28" ht="27" customHeight="1">
      <c r="A81" s="141" t="s">
        <v>358</v>
      </c>
      <c r="B81" s="78" t="s">
        <v>316</v>
      </c>
      <c r="C81" s="69" t="s">
        <v>359</v>
      </c>
      <c r="D81" s="69" t="s">
        <v>244</v>
      </c>
      <c r="E81" s="73" t="s">
        <v>360</v>
      </c>
      <c r="F81" s="99">
        <v>45844</v>
      </c>
      <c r="G81" s="55" t="str">
        <f ca="1">IF((F81-TODAY())&lt;0,"EXPIRADO", IF((F81-TODAY())&lt;=60,"EM BREVE","NO PRAZO"))</f>
        <v>EXPIRADO</v>
      </c>
      <c r="H81" s="55" t="s">
        <v>172</v>
      </c>
      <c r="I81" s="76" t="s">
        <v>361</v>
      </c>
      <c r="J81" s="6"/>
      <c r="K81" s="72">
        <f>L81/12</f>
        <v>5039.3474999999999</v>
      </c>
      <c r="L81" s="6">
        <v>60472.17</v>
      </c>
      <c r="M81" s="3">
        <v>23684.51</v>
      </c>
      <c r="N81" s="3">
        <v>0</v>
      </c>
      <c r="O81" s="5">
        <f t="shared" si="9"/>
        <v>23684.51</v>
      </c>
      <c r="P81" s="6"/>
      <c r="Q81" s="6"/>
      <c r="R81" s="40"/>
      <c r="S81" s="40"/>
      <c r="T81" s="6">
        <f>K81-166.38</f>
        <v>4872.9674999999997</v>
      </c>
      <c r="U81" s="62">
        <f>K81</f>
        <v>5039.3474999999999</v>
      </c>
      <c r="V81" s="95"/>
      <c r="W81" s="62">
        <f>K81-1512</f>
        <v>3527.3474999999999</v>
      </c>
      <c r="X81" s="62"/>
      <c r="Y81" s="46"/>
      <c r="Z81" s="46"/>
      <c r="AA81" s="46"/>
      <c r="AB81" s="41">
        <f t="shared" si="10"/>
        <v>0</v>
      </c>
    </row>
    <row r="82" spans="1:28" ht="27" customHeight="1">
      <c r="A82" s="141" t="s">
        <v>362</v>
      </c>
      <c r="B82" s="78" t="s">
        <v>316</v>
      </c>
      <c r="C82" s="69" t="s">
        <v>359</v>
      </c>
      <c r="D82" s="69">
        <v>27072369000166</v>
      </c>
      <c r="E82" s="73" t="s">
        <v>363</v>
      </c>
      <c r="F82" s="99"/>
      <c r="G82" s="55"/>
      <c r="H82" s="55"/>
      <c r="I82" s="76" t="s">
        <v>364</v>
      </c>
      <c r="J82" s="6"/>
      <c r="K82" s="72"/>
      <c r="L82" s="6"/>
      <c r="M82" s="3"/>
      <c r="N82" s="3"/>
      <c r="O82" s="5"/>
      <c r="P82" s="6"/>
      <c r="Q82" s="6"/>
      <c r="R82" s="40"/>
      <c r="S82" s="40"/>
      <c r="T82" s="6"/>
      <c r="U82" s="62"/>
      <c r="V82" s="95"/>
      <c r="W82" s="62"/>
      <c r="X82" s="62"/>
      <c r="Y82" s="46"/>
      <c r="Z82" s="46"/>
      <c r="AA82" s="46"/>
      <c r="AB82" s="41"/>
    </row>
    <row r="83" spans="1:28" ht="39" customHeight="1">
      <c r="A83" s="67" t="s">
        <v>365</v>
      </c>
      <c r="B83" s="78" t="s">
        <v>316</v>
      </c>
      <c r="C83" s="63" t="s">
        <v>366</v>
      </c>
      <c r="D83" s="63"/>
      <c r="E83" s="73" t="s">
        <v>367</v>
      </c>
      <c r="F83" s="54"/>
      <c r="G83" s="55" t="str">
        <f t="shared" ref="G83:G89" ca="1" si="12">IF((F83-TODAY())&lt;0,"EXPIRADO", IF((F83-TODAY())&lt;=60,"EM BREVE","NO PRAZO"))</f>
        <v>EXPIRADO</v>
      </c>
      <c r="H83" s="33" t="s">
        <v>368</v>
      </c>
      <c r="I83" s="142" t="s">
        <v>369</v>
      </c>
      <c r="J83" s="6"/>
      <c r="K83" s="72"/>
      <c r="L83" s="6">
        <v>561085.01</v>
      </c>
      <c r="M83" s="3"/>
      <c r="N83" s="3"/>
      <c r="O83" s="5">
        <f t="shared" ref="O83:O89" si="13">SUM(M83:N83)</f>
        <v>0</v>
      </c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"/>
      <c r="AA83" s="6"/>
      <c r="AB83" s="41">
        <f t="shared" ref="AB83:AB89" si="14">SUM(Y83:AA83)</f>
        <v>0</v>
      </c>
    </row>
    <row r="84" spans="1:28" ht="35.25" customHeight="1">
      <c r="A84" s="143" t="s">
        <v>370</v>
      </c>
      <c r="B84" s="143" t="s">
        <v>371</v>
      </c>
      <c r="C84" s="43" t="s">
        <v>372</v>
      </c>
      <c r="D84" s="43" t="s">
        <v>373</v>
      </c>
      <c r="E84" s="144" t="s">
        <v>374</v>
      </c>
      <c r="F84" s="54">
        <v>46792</v>
      </c>
      <c r="G84" s="55" t="str">
        <f t="shared" ca="1" si="12"/>
        <v>NO PRAZO</v>
      </c>
      <c r="H84" s="55"/>
      <c r="I84" s="145" t="s">
        <v>375</v>
      </c>
      <c r="J84" s="6">
        <v>3000</v>
      </c>
      <c r="K84" s="72"/>
      <c r="L84" s="6">
        <f t="shared" ref="L84:L89" si="15">J84*12</f>
        <v>36000</v>
      </c>
      <c r="M84" s="3">
        <v>12275.32</v>
      </c>
      <c r="N84" s="3">
        <v>0</v>
      </c>
      <c r="O84" s="5">
        <f t="shared" si="13"/>
        <v>12275.32</v>
      </c>
      <c r="P84" s="6"/>
      <c r="Q84" s="6"/>
      <c r="R84" s="40"/>
      <c r="S84" s="40"/>
      <c r="T84" s="40"/>
      <c r="U84" s="40"/>
      <c r="V84" s="40"/>
      <c r="W84" s="40"/>
      <c r="X84" s="146"/>
      <c r="Y84" s="46"/>
      <c r="Z84" s="46"/>
      <c r="AA84" s="46"/>
      <c r="AB84" s="41">
        <f t="shared" si="14"/>
        <v>0</v>
      </c>
    </row>
    <row r="85" spans="1:28" ht="14.25" customHeight="1">
      <c r="A85" s="143" t="s">
        <v>376</v>
      </c>
      <c r="B85" s="143" t="s">
        <v>371</v>
      </c>
      <c r="C85" s="43" t="s">
        <v>377</v>
      </c>
      <c r="D85" s="43"/>
      <c r="E85" s="33" t="s">
        <v>378</v>
      </c>
      <c r="F85" s="54">
        <v>46001</v>
      </c>
      <c r="G85" s="55" t="str">
        <f t="shared" ca="1" si="12"/>
        <v>EM BREVE</v>
      </c>
      <c r="H85" s="55"/>
      <c r="I85" s="33" t="s">
        <v>379</v>
      </c>
      <c r="J85" s="6">
        <v>2000</v>
      </c>
      <c r="K85" s="72"/>
      <c r="L85" s="6">
        <f t="shared" si="15"/>
        <v>24000</v>
      </c>
      <c r="M85" s="3">
        <v>6307.04</v>
      </c>
      <c r="N85" s="3">
        <v>0</v>
      </c>
      <c r="O85" s="5">
        <f t="shared" si="13"/>
        <v>6307.04</v>
      </c>
      <c r="P85" s="46"/>
      <c r="Q85" s="40"/>
      <c r="R85" s="40"/>
      <c r="S85" s="40"/>
      <c r="T85" s="6">
        <f>J85-307</f>
        <v>1693</v>
      </c>
      <c r="U85" s="40"/>
      <c r="V85" s="40"/>
      <c r="W85" s="40"/>
      <c r="X85" s="146"/>
      <c r="Y85" s="146"/>
      <c r="Z85" s="146"/>
      <c r="AA85" s="57"/>
      <c r="AB85" s="41">
        <f t="shared" si="14"/>
        <v>0</v>
      </c>
    </row>
    <row r="86" spans="1:28" ht="69" customHeight="1">
      <c r="A86" s="83" t="s">
        <v>380</v>
      </c>
      <c r="B86" s="78" t="s">
        <v>381</v>
      </c>
      <c r="C86" s="33" t="s">
        <v>382</v>
      </c>
      <c r="D86" s="33" t="s">
        <v>383</v>
      </c>
      <c r="E86" s="73" t="s">
        <v>384</v>
      </c>
      <c r="F86" s="60">
        <v>45638</v>
      </c>
      <c r="G86" s="55" t="str">
        <f t="shared" ca="1" si="12"/>
        <v>EXPIRADO</v>
      </c>
      <c r="H86" s="140" t="s">
        <v>385</v>
      </c>
      <c r="I86" s="76" t="s">
        <v>386</v>
      </c>
      <c r="J86" s="6">
        <v>33000</v>
      </c>
      <c r="K86" s="72"/>
      <c r="L86" s="6">
        <f t="shared" si="15"/>
        <v>396000</v>
      </c>
      <c r="M86" s="6"/>
      <c r="N86" s="3">
        <v>4308.4799999999996</v>
      </c>
      <c r="O86" s="5">
        <f t="shared" si="13"/>
        <v>4308.4799999999996</v>
      </c>
      <c r="P86" s="6"/>
      <c r="Q86" s="6"/>
      <c r="R86" s="6">
        <f>J86-O86</f>
        <v>28691.52</v>
      </c>
      <c r="S86" s="6">
        <f>J86-4308</f>
        <v>28692</v>
      </c>
      <c r="T86" s="6">
        <f>J86</f>
        <v>33000</v>
      </c>
      <c r="U86" s="6">
        <f>J86-4308</f>
        <v>28692</v>
      </c>
      <c r="V86" s="6">
        <f>J86-4308</f>
        <v>28692</v>
      </c>
      <c r="W86" s="6">
        <v>30000</v>
      </c>
      <c r="X86" s="6"/>
      <c r="Y86" s="6">
        <f>J86-O86</f>
        <v>28691.52</v>
      </c>
      <c r="Z86" s="6">
        <f>J86</f>
        <v>33000</v>
      </c>
      <c r="AA86" s="6">
        <f>J86</f>
        <v>33000</v>
      </c>
      <c r="AB86" s="41">
        <f t="shared" si="14"/>
        <v>94691.520000000004</v>
      </c>
    </row>
    <row r="87" spans="1:28" ht="56.25" customHeight="1">
      <c r="A87" s="78" t="s">
        <v>387</v>
      </c>
      <c r="B87" s="78" t="s">
        <v>381</v>
      </c>
      <c r="C87" s="43" t="s">
        <v>382</v>
      </c>
      <c r="D87" s="43" t="s">
        <v>388</v>
      </c>
      <c r="E87" s="33" t="s">
        <v>389</v>
      </c>
      <c r="F87" s="60">
        <v>46311</v>
      </c>
      <c r="G87" s="55" t="str">
        <f t="shared" ca="1" si="12"/>
        <v>NO PRAZO</v>
      </c>
      <c r="H87" s="33"/>
      <c r="I87" s="147" t="s">
        <v>390</v>
      </c>
      <c r="J87" s="38">
        <v>10500</v>
      </c>
      <c r="K87" s="37"/>
      <c r="L87" s="38">
        <f t="shared" si="15"/>
        <v>126000</v>
      </c>
      <c r="M87" s="39">
        <v>24812.62</v>
      </c>
      <c r="N87" s="39">
        <v>797</v>
      </c>
      <c r="O87" s="5">
        <f t="shared" si="13"/>
        <v>25609.62</v>
      </c>
      <c r="P87" s="46"/>
      <c r="Q87" s="46"/>
      <c r="R87" s="40"/>
      <c r="S87" s="40"/>
      <c r="T87" s="6">
        <f>J87-3210</f>
        <v>7290</v>
      </c>
      <c r="U87" s="57"/>
      <c r="V87" s="40"/>
      <c r="W87" s="40"/>
      <c r="X87" s="40"/>
      <c r="Y87" s="40"/>
      <c r="Z87" s="40"/>
      <c r="AA87" s="6">
        <f>J87*3-O87</f>
        <v>5890.380000000001</v>
      </c>
      <c r="AB87" s="41">
        <f t="shared" si="14"/>
        <v>5890.380000000001</v>
      </c>
    </row>
    <row r="88" spans="1:28" ht="27" customHeight="1">
      <c r="A88" s="78" t="s">
        <v>391</v>
      </c>
      <c r="B88" s="78" t="s">
        <v>381</v>
      </c>
      <c r="C88" s="43" t="s">
        <v>382</v>
      </c>
      <c r="D88" s="148" t="s">
        <v>392</v>
      </c>
      <c r="E88" s="33" t="s">
        <v>393</v>
      </c>
      <c r="F88" s="60">
        <v>46136</v>
      </c>
      <c r="G88" s="55" t="str">
        <f t="shared" ca="1" si="12"/>
        <v>NO PRAZO</v>
      </c>
      <c r="H88" s="55"/>
      <c r="I88" s="149" t="s">
        <v>394</v>
      </c>
      <c r="J88" s="38">
        <v>500</v>
      </c>
      <c r="K88" s="37"/>
      <c r="L88" s="38">
        <f t="shared" si="15"/>
        <v>6000</v>
      </c>
      <c r="M88" s="3">
        <v>13933.9</v>
      </c>
      <c r="N88" s="3">
        <v>548.5</v>
      </c>
      <c r="O88" s="5">
        <f t="shared" si="13"/>
        <v>14482.4</v>
      </c>
      <c r="P88" s="46"/>
      <c r="Q88" s="46"/>
      <c r="R88" s="40"/>
      <c r="S88" s="57"/>
      <c r="T88" s="40"/>
      <c r="U88" s="40"/>
      <c r="V88" s="40"/>
      <c r="W88" s="40"/>
      <c r="X88" s="40"/>
      <c r="Y88" s="40"/>
      <c r="Z88" s="40"/>
      <c r="AA88" s="40"/>
      <c r="AB88" s="41">
        <f t="shared" si="14"/>
        <v>0</v>
      </c>
    </row>
    <row r="89" spans="1:28" ht="54.75" customHeight="1">
      <c r="A89" s="67" t="s">
        <v>395</v>
      </c>
      <c r="B89" s="31" t="s">
        <v>396</v>
      </c>
      <c r="C89" s="63" t="s">
        <v>397</v>
      </c>
      <c r="D89" s="63" t="s">
        <v>398</v>
      </c>
      <c r="E89" s="59" t="s">
        <v>399</v>
      </c>
      <c r="F89" s="60">
        <v>46022</v>
      </c>
      <c r="G89" s="55" t="str">
        <f t="shared" ca="1" si="12"/>
        <v>EM BREVE</v>
      </c>
      <c r="H89" s="55"/>
      <c r="I89" s="61" t="s">
        <v>400</v>
      </c>
      <c r="J89" s="38">
        <v>62000</v>
      </c>
      <c r="K89" s="37"/>
      <c r="L89" s="38">
        <f t="shared" si="15"/>
        <v>744000</v>
      </c>
      <c r="M89" s="3">
        <v>113414.35</v>
      </c>
      <c r="N89" s="3">
        <v>0</v>
      </c>
      <c r="O89" s="5">
        <f t="shared" si="13"/>
        <v>113414.35</v>
      </c>
      <c r="P89" s="6"/>
      <c r="Q89" s="6"/>
      <c r="R89" s="40"/>
      <c r="S89" s="40"/>
      <c r="T89" s="40"/>
      <c r="U89" s="40"/>
      <c r="V89" s="40"/>
      <c r="W89" s="40"/>
      <c r="X89" s="40"/>
      <c r="Y89" s="40"/>
      <c r="Z89" s="6">
        <f>J89*2-O89</f>
        <v>10585.649999999994</v>
      </c>
      <c r="AA89" s="6">
        <f>J89</f>
        <v>62000</v>
      </c>
      <c r="AB89" s="41">
        <f t="shared" si="14"/>
        <v>72585.649999999994</v>
      </c>
    </row>
    <row r="90" spans="1:28">
      <c r="A90" s="150"/>
      <c r="B90" s="150"/>
      <c r="C90" s="150"/>
      <c r="D90" s="150"/>
      <c r="E90" s="151"/>
      <c r="F90" s="150"/>
      <c r="G90" s="150"/>
      <c r="H90" s="150"/>
      <c r="I90" s="150"/>
      <c r="J90" s="152"/>
      <c r="K90" s="153"/>
      <c r="L90" s="152"/>
      <c r="M90" s="152"/>
      <c r="N90" s="150"/>
      <c r="O90" s="154"/>
      <c r="V90" s="155"/>
      <c r="AB90" s="41"/>
    </row>
    <row r="91" spans="1:28">
      <c r="A91" s="156" t="s">
        <v>401</v>
      </c>
      <c r="B91" s="156"/>
      <c r="C91" s="156"/>
      <c r="D91" s="156"/>
      <c r="E91" s="157"/>
      <c r="F91" s="156"/>
      <c r="G91" s="156"/>
      <c r="H91" s="156"/>
      <c r="I91" s="156"/>
      <c r="J91" s="158">
        <f t="shared" ref="J91:AB91" si="16">SUM(J2:J89)</f>
        <v>11709497.529166665</v>
      </c>
      <c r="K91" s="159">
        <f t="shared" si="16"/>
        <v>8002463.5085000005</v>
      </c>
      <c r="L91" s="158">
        <f t="shared" si="16"/>
        <v>244822383.68199992</v>
      </c>
      <c r="M91" s="158">
        <f t="shared" si="16"/>
        <v>21652825.24000001</v>
      </c>
      <c r="N91" s="158">
        <f t="shared" si="16"/>
        <v>13897187.080000002</v>
      </c>
      <c r="O91" s="158">
        <f t="shared" si="16"/>
        <v>35550012.32</v>
      </c>
      <c r="P91" s="158">
        <f t="shared" si="16"/>
        <v>0</v>
      </c>
      <c r="Q91" s="158">
        <f t="shared" si="16"/>
        <v>0</v>
      </c>
      <c r="R91" s="158">
        <f t="shared" si="16"/>
        <v>3031391.3200000003</v>
      </c>
      <c r="S91" s="158">
        <f t="shared" si="16"/>
        <v>6455723.29</v>
      </c>
      <c r="T91" s="158">
        <f t="shared" si="16"/>
        <v>775398.45750000025</v>
      </c>
      <c r="U91" s="158" t="e">
        <f t="shared" si="16"/>
        <v>#REF!</v>
      </c>
      <c r="V91" s="158">
        <f t="shared" si="16"/>
        <v>1400290.1500000001</v>
      </c>
      <c r="W91" s="158">
        <f t="shared" si="16"/>
        <v>1827728.0474999999</v>
      </c>
      <c r="X91" s="158">
        <f t="shared" si="16"/>
        <v>0</v>
      </c>
      <c r="Y91" s="158" t="e">
        <f t="shared" si="16"/>
        <v>#REF!</v>
      </c>
      <c r="Z91" s="158" t="e">
        <f t="shared" si="16"/>
        <v>#REF!</v>
      </c>
      <c r="AA91" s="158" t="e">
        <f t="shared" si="16"/>
        <v>#REF!</v>
      </c>
      <c r="AB91" s="158" t="e">
        <f t="shared" si="16"/>
        <v>#REF!</v>
      </c>
    </row>
    <row r="92" spans="1:28">
      <c r="A92" s="150"/>
      <c r="B92" s="150"/>
      <c r="C92" s="150"/>
      <c r="D92" s="150"/>
      <c r="E92" s="151"/>
      <c r="F92" s="150"/>
      <c r="G92" s="150"/>
      <c r="H92" s="150"/>
      <c r="I92" s="150"/>
      <c r="J92" s="152"/>
      <c r="K92" s="153"/>
      <c r="L92" s="152"/>
      <c r="M92" s="152"/>
      <c r="N92" s="150"/>
      <c r="O92" s="154"/>
    </row>
    <row r="93" spans="1:28">
      <c r="N93" s="15"/>
    </row>
    <row r="94" spans="1:28">
      <c r="N94" s="15"/>
    </row>
    <row r="95" spans="1:28">
      <c r="N95" s="15"/>
      <c r="Z95" s="19"/>
    </row>
    <row r="96" spans="1:28">
      <c r="N96" s="15"/>
    </row>
    <row r="97" spans="14:14">
      <c r="N97" s="15"/>
    </row>
  </sheetData>
  <autoFilter ref="A1:O89" xr:uid="{00000000-0009-0000-0000-000000000000}"/>
  <mergeCells count="14">
    <mergeCell ref="J59:J60"/>
    <mergeCell ref="O59:O60"/>
    <mergeCell ref="P59:P60"/>
    <mergeCell ref="Q59:Q60"/>
    <mergeCell ref="R59:R60"/>
    <mergeCell ref="X59:X60"/>
    <mergeCell ref="Y59:Y60"/>
    <mergeCell ref="Z59:Z60"/>
    <mergeCell ref="AA59:AA60"/>
    <mergeCell ref="S59:S60"/>
    <mergeCell ref="T59:T60"/>
    <mergeCell ref="U59:U60"/>
    <mergeCell ref="V59:V60"/>
    <mergeCell ref="W59:W60"/>
  </mergeCells>
  <conditionalFormatting sqref="G10:H89">
    <cfRule type="cellIs" dxfId="23" priority="2" operator="equal">
      <formula>"EXPIRADO"</formula>
    </cfRule>
    <cfRule type="cellIs" dxfId="22" priority="3" operator="equal">
      <formula>"NO PRAZO"</formula>
    </cfRule>
    <cfRule type="cellIs" dxfId="21" priority="4" operator="equal">
      <formula>"EM BREVE"</formula>
    </cfRule>
    <cfRule type="cellIs" dxfId="20" priority="5" operator="equal">
      <formula>0</formula>
    </cfRule>
  </conditionalFormatting>
  <conditionalFormatting sqref="I48">
    <cfRule type="cellIs" dxfId="19" priority="10" operator="equal">
      <formula>"EXPIRADO"</formula>
    </cfRule>
    <cfRule type="cellIs" dxfId="18" priority="11" operator="equal">
      <formula>"NO PRAZO"</formula>
    </cfRule>
    <cfRule type="cellIs" dxfId="17" priority="12" operator="equal">
      <formula>"EM BREVE"</formula>
    </cfRule>
    <cfRule type="cellIs" dxfId="16" priority="13" operator="equal">
      <formula>0</formula>
    </cfRule>
  </conditionalFormatting>
  <conditionalFormatting sqref="I65">
    <cfRule type="cellIs" dxfId="15" priority="6" operator="equal">
      <formula>"EXPIRADO"</formula>
    </cfRule>
    <cfRule type="cellIs" dxfId="14" priority="7" operator="equal">
      <formula>"NO PRAZO"</formula>
    </cfRule>
    <cfRule type="cellIs" dxfId="13" priority="8" operator="equal">
      <formula>"EM BREVE"</formula>
    </cfRule>
    <cfRule type="cellIs" dxfId="12" priority="9" operator="equal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99694"/>
  </sheetPr>
  <dimension ref="A1:XCL58"/>
  <sheetViews>
    <sheetView zoomScale="85" zoomScaleNormal="85" workbookViewId="0">
      <pane xSplit="4" ySplit="3" topLeftCell="G20" activePane="bottomRight" state="frozen"/>
      <selection pane="topRight" activeCell="G1" sqref="G1"/>
      <selection pane="bottomLeft" activeCell="A20" sqref="A20"/>
      <selection pane="bottomRight" activeCell="G20" sqref="G20"/>
    </sheetView>
  </sheetViews>
  <sheetFormatPr baseColWidth="10" defaultColWidth="9.1640625" defaultRowHeight="15"/>
  <cols>
    <col min="1" max="1" width="46.6640625" style="7" customWidth="1"/>
    <col min="2" max="2" width="14.5" style="7" customWidth="1"/>
    <col min="3" max="3" width="14.5" style="8" hidden="1" customWidth="1"/>
    <col min="4" max="4" width="19.1640625" style="8" customWidth="1"/>
    <col min="5" max="5" width="24.33203125" style="8" customWidth="1"/>
    <col min="6" max="6" width="12.33203125" style="8" customWidth="1"/>
    <col min="7" max="7" width="16.5" style="7" customWidth="1"/>
    <col min="8" max="16314" width="9.1640625" style="7"/>
    <col min="16315" max="16384" width="11.5" customWidth="1"/>
  </cols>
  <sheetData>
    <row r="1" spans="1:7" ht="18">
      <c r="A1" s="16" t="s">
        <v>0</v>
      </c>
      <c r="B1" s="17"/>
      <c r="D1" s="17"/>
    </row>
    <row r="2" spans="1:7" ht="18.75" customHeight="1">
      <c r="A2" s="7" t="s">
        <v>406</v>
      </c>
      <c r="B2" s="17"/>
    </row>
    <row r="3" spans="1:7" ht="30">
      <c r="A3" s="1" t="s">
        <v>2</v>
      </c>
      <c r="B3" s="1" t="s">
        <v>3</v>
      </c>
      <c r="C3" s="1" t="s">
        <v>402</v>
      </c>
      <c r="D3" s="1" t="s">
        <v>4</v>
      </c>
      <c r="E3" s="1" t="s">
        <v>5</v>
      </c>
      <c r="F3" s="1" t="s">
        <v>10</v>
      </c>
      <c r="G3" s="27" t="s">
        <v>414</v>
      </c>
    </row>
    <row r="4" spans="1:7" s="7" customFormat="1" ht="41.25" customHeight="1">
      <c r="A4" s="78" t="s">
        <v>195</v>
      </c>
      <c r="B4" s="82" t="s">
        <v>97</v>
      </c>
      <c r="C4" s="85">
        <v>1</v>
      </c>
      <c r="D4" s="108" t="s">
        <v>196</v>
      </c>
      <c r="E4" s="69" t="s">
        <v>197</v>
      </c>
      <c r="F4" s="73" t="s">
        <v>200</v>
      </c>
      <c r="G4" s="166">
        <v>4044696.4750000001</v>
      </c>
    </row>
    <row r="5" spans="1:7" s="7" customFormat="1" ht="41.25" customHeight="1">
      <c r="A5" s="67" t="s">
        <v>201</v>
      </c>
      <c r="B5" s="82" t="s">
        <v>97</v>
      </c>
      <c r="C5" s="85">
        <v>1</v>
      </c>
      <c r="D5" s="108" t="s">
        <v>202</v>
      </c>
      <c r="E5" s="69" t="s">
        <v>203</v>
      </c>
      <c r="F5" s="73" t="s">
        <v>205</v>
      </c>
      <c r="G5" s="166">
        <v>3095747.375</v>
      </c>
    </row>
    <row r="6" spans="1:7" s="7" customFormat="1" ht="27" customHeight="1">
      <c r="A6" s="67" t="s">
        <v>206</v>
      </c>
      <c r="B6" s="82" t="s">
        <v>97</v>
      </c>
      <c r="C6" s="85">
        <v>1</v>
      </c>
      <c r="D6" s="108" t="s">
        <v>207</v>
      </c>
      <c r="E6" s="69" t="s">
        <v>203</v>
      </c>
      <c r="F6" s="73" t="s">
        <v>209</v>
      </c>
      <c r="G6" s="166">
        <v>537909.99300000002</v>
      </c>
    </row>
    <row r="7" spans="1:7" s="7" customFormat="1">
      <c r="A7" s="156" t="s">
        <v>401</v>
      </c>
      <c r="B7" s="156"/>
      <c r="C7" s="157"/>
      <c r="D7" s="156"/>
      <c r="E7" s="156"/>
      <c r="F7" s="156"/>
      <c r="G7" s="165">
        <f>SUM(G4:G6)</f>
        <v>7678353.8429999994</v>
      </c>
    </row>
    <row r="8" spans="1:7" s="7" customFormat="1" ht="14">
      <c r="A8" s="150"/>
      <c r="B8" s="150"/>
      <c r="C8" s="151"/>
      <c r="D8" s="150"/>
      <c r="E8" s="150"/>
      <c r="F8" s="150"/>
    </row>
    <row r="9" spans="1:7" s="7" customFormat="1" ht="14">
      <c r="C9" s="8"/>
      <c r="D9" s="8"/>
      <c r="E9" s="8"/>
      <c r="F9" s="8"/>
    </row>
    <row r="10" spans="1:7" s="7" customFormat="1" ht="30">
      <c r="A10" s="1" t="s">
        <v>2</v>
      </c>
      <c r="B10" s="1" t="s">
        <v>3</v>
      </c>
      <c r="C10" s="1" t="s">
        <v>402</v>
      </c>
      <c r="D10" s="1" t="s">
        <v>4</v>
      </c>
      <c r="E10" s="1" t="s">
        <v>5</v>
      </c>
      <c r="F10" s="1" t="s">
        <v>10</v>
      </c>
      <c r="G10" s="27" t="s">
        <v>414</v>
      </c>
    </row>
    <row r="11" spans="1:7" s="7" customFormat="1" ht="30">
      <c r="A11" s="82" t="s">
        <v>116</v>
      </c>
      <c r="B11" s="78" t="s">
        <v>103</v>
      </c>
      <c r="C11" s="68">
        <v>2</v>
      </c>
      <c r="D11" s="33" t="s">
        <v>117</v>
      </c>
      <c r="E11" s="33" t="s">
        <v>118</v>
      </c>
      <c r="F11" s="33" t="s">
        <v>121</v>
      </c>
      <c r="G11" s="45">
        <v>136055.06</v>
      </c>
    </row>
    <row r="12" spans="1:7" s="7" customFormat="1" ht="30">
      <c r="A12" s="78" t="s">
        <v>122</v>
      </c>
      <c r="B12" s="78" t="s">
        <v>103</v>
      </c>
      <c r="C12" s="68">
        <v>2</v>
      </c>
      <c r="D12" s="33" t="s">
        <v>123</v>
      </c>
      <c r="E12" s="33" t="s">
        <v>124</v>
      </c>
      <c r="F12" s="73" t="s">
        <v>126</v>
      </c>
      <c r="G12" s="45">
        <v>290000</v>
      </c>
    </row>
    <row r="13" spans="1:7" s="7" customFormat="1" ht="30">
      <c r="A13" s="78" t="s">
        <v>127</v>
      </c>
      <c r="B13" s="78" t="s">
        <v>103</v>
      </c>
      <c r="C13" s="68">
        <v>2</v>
      </c>
      <c r="D13" s="73" t="s">
        <v>128</v>
      </c>
      <c r="E13" s="73" t="s">
        <v>129</v>
      </c>
      <c r="F13" s="60" t="s">
        <v>131</v>
      </c>
      <c r="G13" s="45">
        <v>98246</v>
      </c>
    </row>
    <row r="14" spans="1:7" s="7" customFormat="1" ht="30">
      <c r="A14" s="78" t="s">
        <v>141</v>
      </c>
      <c r="B14" s="82" t="s">
        <v>103</v>
      </c>
      <c r="C14" s="85">
        <v>2</v>
      </c>
      <c r="D14" s="69" t="s">
        <v>142</v>
      </c>
      <c r="E14" s="69" t="s">
        <v>143</v>
      </c>
      <c r="F14" s="73" t="s">
        <v>145</v>
      </c>
      <c r="G14" s="45">
        <v>83593</v>
      </c>
    </row>
    <row r="15" spans="1:7" s="7" customFormat="1" ht="30">
      <c r="A15" s="78" t="s">
        <v>309</v>
      </c>
      <c r="B15" s="78" t="s">
        <v>310</v>
      </c>
      <c r="C15" s="68">
        <v>1</v>
      </c>
      <c r="D15" s="33" t="s">
        <v>311</v>
      </c>
      <c r="E15" s="33" t="s">
        <v>312</v>
      </c>
      <c r="F15" s="76" t="s">
        <v>314</v>
      </c>
      <c r="G15" s="166">
        <v>3916409.79</v>
      </c>
    </row>
    <row r="16" spans="1:7" s="7" customFormat="1">
      <c r="A16" s="167" t="s">
        <v>401</v>
      </c>
      <c r="B16" s="167"/>
      <c r="C16" s="168"/>
      <c r="D16" s="167"/>
      <c r="E16" s="167"/>
      <c r="F16" s="167"/>
      <c r="G16" s="169">
        <f>SUM(G11:G15)</f>
        <v>4524303.8499999996</v>
      </c>
    </row>
    <row r="18" spans="1:7" s="7" customFormat="1" ht="14">
      <c r="C18" s="8"/>
      <c r="D18" s="8"/>
      <c r="E18" s="8"/>
      <c r="F18" s="8"/>
    </row>
    <row r="19" spans="1:7" s="7" customFormat="1" ht="30">
      <c r="A19" s="1" t="s">
        <v>2</v>
      </c>
      <c r="B19" s="1" t="s">
        <v>3</v>
      </c>
      <c r="C19" s="1" t="s">
        <v>402</v>
      </c>
      <c r="D19" s="1" t="s">
        <v>4</v>
      </c>
      <c r="E19" s="1" t="s">
        <v>5</v>
      </c>
      <c r="F19" s="1" t="s">
        <v>10</v>
      </c>
      <c r="G19" s="27" t="s">
        <v>414</v>
      </c>
    </row>
    <row r="20" spans="1:7">
      <c r="A20" s="31" t="s">
        <v>26</v>
      </c>
      <c r="B20" s="31" t="s">
        <v>19</v>
      </c>
      <c r="C20" s="32">
        <v>1</v>
      </c>
      <c r="D20" s="33" t="s">
        <v>25</v>
      </c>
      <c r="E20" s="33"/>
      <c r="F20" s="134"/>
      <c r="G20" s="45">
        <v>2430000</v>
      </c>
    </row>
    <row r="21" spans="1:7" s="7" customFormat="1">
      <c r="A21" s="31" t="s">
        <v>30</v>
      </c>
      <c r="B21" s="31" t="s">
        <v>31</v>
      </c>
      <c r="C21" s="32">
        <v>3</v>
      </c>
      <c r="D21" s="33" t="s">
        <v>32</v>
      </c>
      <c r="E21" s="33">
        <v>82024000137</v>
      </c>
      <c r="F21" s="33"/>
      <c r="G21" s="45">
        <v>1395599</v>
      </c>
    </row>
    <row r="22" spans="1:7" ht="60">
      <c r="A22" s="31" t="s">
        <v>36</v>
      </c>
      <c r="B22" s="31" t="s">
        <v>34</v>
      </c>
      <c r="C22" s="32">
        <v>3</v>
      </c>
      <c r="D22" s="33" t="s">
        <v>28</v>
      </c>
      <c r="E22" s="33">
        <v>1543032000104</v>
      </c>
      <c r="F22" s="33" t="s">
        <v>38</v>
      </c>
      <c r="G22" s="45">
        <v>4431.09</v>
      </c>
    </row>
    <row r="23" spans="1:7" ht="30">
      <c r="A23" s="67" t="s">
        <v>55</v>
      </c>
      <c r="B23" s="67" t="s">
        <v>40</v>
      </c>
      <c r="C23" s="68">
        <v>2</v>
      </c>
      <c r="D23" s="69" t="s">
        <v>50</v>
      </c>
      <c r="E23" s="69" t="s">
        <v>56</v>
      </c>
      <c r="F23" s="4" t="s">
        <v>58</v>
      </c>
      <c r="G23" s="45">
        <v>546864</v>
      </c>
    </row>
    <row r="24" spans="1:7" ht="30">
      <c r="A24" s="67" t="s">
        <v>415</v>
      </c>
      <c r="B24" s="82" t="s">
        <v>97</v>
      </c>
      <c r="C24" s="85">
        <v>1</v>
      </c>
      <c r="D24" s="108" t="s">
        <v>98</v>
      </c>
      <c r="E24" s="69" t="s">
        <v>161</v>
      </c>
      <c r="F24" s="73" t="s">
        <v>163</v>
      </c>
      <c r="G24" s="45">
        <v>20877.34</v>
      </c>
    </row>
    <row r="25" spans="1:7">
      <c r="A25" s="67" t="s">
        <v>164</v>
      </c>
      <c r="B25" s="82" t="s">
        <v>97</v>
      </c>
      <c r="C25" s="85">
        <v>1</v>
      </c>
      <c r="D25" s="170" t="s">
        <v>165</v>
      </c>
      <c r="E25" s="33" t="s">
        <v>166</v>
      </c>
      <c r="F25" s="73" t="s">
        <v>168</v>
      </c>
      <c r="G25" s="45">
        <v>72950.34</v>
      </c>
    </row>
    <row r="26" spans="1:7">
      <c r="A26" s="78" t="s">
        <v>169</v>
      </c>
      <c r="B26" s="82" t="s">
        <v>97</v>
      </c>
      <c r="C26" s="85">
        <v>1</v>
      </c>
      <c r="D26" s="170" t="s">
        <v>170</v>
      </c>
      <c r="E26" s="33" t="s">
        <v>409</v>
      </c>
      <c r="F26" s="73" t="s">
        <v>173</v>
      </c>
      <c r="G26" s="45">
        <v>395002.47</v>
      </c>
    </row>
    <row r="27" spans="1:7" ht="45">
      <c r="A27" s="82" t="s">
        <v>185</v>
      </c>
      <c r="B27" s="78" t="s">
        <v>97</v>
      </c>
      <c r="C27" s="68">
        <v>1</v>
      </c>
      <c r="D27" s="73" t="s">
        <v>186</v>
      </c>
      <c r="E27" s="73" t="s">
        <v>187</v>
      </c>
      <c r="F27" s="73" t="s">
        <v>189</v>
      </c>
      <c r="G27" s="45">
        <v>353614.38</v>
      </c>
    </row>
    <row r="28" spans="1:7">
      <c r="A28" s="67" t="s">
        <v>190</v>
      </c>
      <c r="B28" s="82" t="s">
        <v>97</v>
      </c>
      <c r="C28" s="85">
        <v>1</v>
      </c>
      <c r="D28" s="108" t="s">
        <v>191</v>
      </c>
      <c r="E28" s="69">
        <v>69207850000161</v>
      </c>
      <c r="F28" s="73" t="s">
        <v>194</v>
      </c>
      <c r="G28" s="45">
        <v>4723094.4000000004</v>
      </c>
    </row>
    <row r="29" spans="1:7" ht="30">
      <c r="A29" s="141" t="s">
        <v>403</v>
      </c>
      <c r="B29" s="78" t="s">
        <v>316</v>
      </c>
      <c r="C29" s="68">
        <v>1</v>
      </c>
      <c r="D29" s="69" t="s">
        <v>359</v>
      </c>
      <c r="E29" s="69" t="s">
        <v>244</v>
      </c>
      <c r="F29" s="76" t="s">
        <v>361</v>
      </c>
      <c r="G29" s="41">
        <v>10078.695</v>
      </c>
    </row>
    <row r="30" spans="1:7" ht="30">
      <c r="A30" s="143" t="s">
        <v>370</v>
      </c>
      <c r="B30" s="143" t="s">
        <v>371</v>
      </c>
      <c r="C30" s="68">
        <v>2</v>
      </c>
      <c r="D30" s="33" t="s">
        <v>372</v>
      </c>
      <c r="E30" s="33" t="s">
        <v>373</v>
      </c>
      <c r="F30" s="145" t="s">
        <v>375</v>
      </c>
      <c r="G30" s="45">
        <v>1269</v>
      </c>
    </row>
    <row r="31" spans="1:7">
      <c r="A31" s="143" t="s">
        <v>376</v>
      </c>
      <c r="B31" s="143" t="s">
        <v>371</v>
      </c>
      <c r="C31" s="68">
        <v>2</v>
      </c>
      <c r="D31" s="33" t="s">
        <v>377</v>
      </c>
      <c r="E31" s="33"/>
      <c r="F31" s="33" t="s">
        <v>379</v>
      </c>
      <c r="G31" s="45">
        <v>2000</v>
      </c>
    </row>
    <row r="32" spans="1:7" ht="30">
      <c r="A32" s="78" t="s">
        <v>251</v>
      </c>
      <c r="B32" s="82" t="s">
        <v>34</v>
      </c>
      <c r="C32" s="85">
        <v>2</v>
      </c>
      <c r="D32" s="69" t="s">
        <v>123</v>
      </c>
      <c r="E32" s="69" t="s">
        <v>252</v>
      </c>
      <c r="F32" s="73" t="s">
        <v>254</v>
      </c>
      <c r="G32" s="171">
        <v>3945.9274999999998</v>
      </c>
    </row>
    <row r="33" spans="1:7" ht="30">
      <c r="A33" s="78" t="s">
        <v>255</v>
      </c>
      <c r="B33" s="82" t="s">
        <v>34</v>
      </c>
      <c r="C33" s="85">
        <v>1</v>
      </c>
      <c r="D33" s="69" t="s">
        <v>211</v>
      </c>
      <c r="E33" s="69" t="s">
        <v>256</v>
      </c>
      <c r="F33" s="73" t="s">
        <v>259</v>
      </c>
      <c r="G33" s="171">
        <v>12872.73</v>
      </c>
    </row>
    <row r="34" spans="1:7" ht="75">
      <c r="A34" s="67" t="s">
        <v>279</v>
      </c>
      <c r="B34" s="82" t="s">
        <v>261</v>
      </c>
      <c r="C34" s="85">
        <v>2</v>
      </c>
      <c r="D34" s="108" t="s">
        <v>280</v>
      </c>
      <c r="E34" s="69" t="s">
        <v>281</v>
      </c>
      <c r="F34" s="73" t="s">
        <v>283</v>
      </c>
      <c r="G34" s="171">
        <v>7018</v>
      </c>
    </row>
    <row r="35" spans="1:7" ht="45">
      <c r="A35" s="78" t="s">
        <v>242</v>
      </c>
      <c r="B35" s="82" t="s">
        <v>34</v>
      </c>
      <c r="C35" s="85">
        <v>1</v>
      </c>
      <c r="D35" s="69" t="s">
        <v>243</v>
      </c>
      <c r="E35" s="69" t="s">
        <v>244</v>
      </c>
      <c r="F35" s="73" t="s">
        <v>246</v>
      </c>
      <c r="G35" s="171">
        <v>11305.06</v>
      </c>
    </row>
    <row r="36" spans="1:7" ht="15" customHeight="1">
      <c r="A36" s="167" t="s">
        <v>401</v>
      </c>
      <c r="B36" s="167"/>
      <c r="C36" s="168"/>
      <c r="D36" s="167"/>
      <c r="E36" s="167"/>
      <c r="F36" s="167"/>
      <c r="G36" s="169">
        <f>SUM(G20:G35)</f>
        <v>9990922.432500001</v>
      </c>
    </row>
    <row r="38" spans="1:7" ht="33" customHeight="1">
      <c r="A38" s="1" t="s">
        <v>2</v>
      </c>
      <c r="B38" s="1" t="s">
        <v>3</v>
      </c>
      <c r="C38" s="1" t="s">
        <v>402</v>
      </c>
      <c r="D38" s="1" t="s">
        <v>4</v>
      </c>
      <c r="E38" s="1" t="s">
        <v>5</v>
      </c>
      <c r="F38" s="1" t="s">
        <v>10</v>
      </c>
      <c r="G38" s="27" t="s">
        <v>414</v>
      </c>
    </row>
    <row r="39" spans="1:7" ht="60">
      <c r="A39" s="67" t="s">
        <v>413</v>
      </c>
      <c r="B39" s="82" t="s">
        <v>97</v>
      </c>
      <c r="C39" s="85">
        <v>2</v>
      </c>
      <c r="D39" s="108" t="s">
        <v>216</v>
      </c>
      <c r="E39" s="69" t="s">
        <v>217</v>
      </c>
      <c r="F39" s="73" t="s">
        <v>219</v>
      </c>
      <c r="G39" s="166">
        <v>2363649</v>
      </c>
    </row>
    <row r="40" spans="1:7">
      <c r="A40" s="67" t="s">
        <v>220</v>
      </c>
      <c r="B40" s="82" t="s">
        <v>97</v>
      </c>
      <c r="C40" s="85">
        <v>2</v>
      </c>
      <c r="D40" s="108" t="s">
        <v>221</v>
      </c>
      <c r="E40" s="69" t="s">
        <v>217</v>
      </c>
      <c r="F40" s="33" t="s">
        <v>223</v>
      </c>
      <c r="G40" s="166">
        <v>2198081.7799999998</v>
      </c>
    </row>
    <row r="41" spans="1:7" ht="60">
      <c r="A41" s="67" t="s">
        <v>407</v>
      </c>
      <c r="B41" s="82" t="s">
        <v>97</v>
      </c>
      <c r="C41" s="85">
        <v>2</v>
      </c>
      <c r="D41" s="108" t="s">
        <v>216</v>
      </c>
      <c r="E41" s="69" t="s">
        <v>225</v>
      </c>
      <c r="F41" s="73" t="s">
        <v>227</v>
      </c>
      <c r="G41" s="166">
        <v>102806</v>
      </c>
    </row>
    <row r="42" spans="1:7">
      <c r="A42" s="78" t="s">
        <v>228</v>
      </c>
      <c r="B42" s="82" t="s">
        <v>97</v>
      </c>
      <c r="C42" s="85">
        <v>1</v>
      </c>
      <c r="D42" s="69" t="s">
        <v>229</v>
      </c>
      <c r="E42" s="69" t="s">
        <v>230</v>
      </c>
      <c r="F42" s="73" t="s">
        <v>233</v>
      </c>
      <c r="G42" s="166">
        <v>1375847.73</v>
      </c>
    </row>
    <row r="43" spans="1:7">
      <c r="A43" s="78" t="s">
        <v>247</v>
      </c>
      <c r="B43" s="82" t="s">
        <v>34</v>
      </c>
      <c r="C43" s="85">
        <v>1</v>
      </c>
      <c r="D43" s="108" t="s">
        <v>196</v>
      </c>
      <c r="E43" s="69" t="s">
        <v>248</v>
      </c>
      <c r="F43" s="73" t="s">
        <v>250</v>
      </c>
      <c r="G43" s="166">
        <v>70356.66</v>
      </c>
    </row>
    <row r="44" spans="1:7" ht="30">
      <c r="A44" s="126" t="s">
        <v>260</v>
      </c>
      <c r="B44" s="78" t="s">
        <v>261</v>
      </c>
      <c r="C44" s="68">
        <v>1</v>
      </c>
      <c r="D44" s="33" t="s">
        <v>262</v>
      </c>
      <c r="E44" s="33" t="s">
        <v>416</v>
      </c>
      <c r="F44" s="118" t="s">
        <v>265</v>
      </c>
      <c r="G44" s="166">
        <v>759746.54</v>
      </c>
    </row>
    <row r="45" spans="1:7">
      <c r="A45" s="126" t="s">
        <v>266</v>
      </c>
      <c r="B45" s="78" t="s">
        <v>261</v>
      </c>
      <c r="C45" s="68">
        <v>1</v>
      </c>
      <c r="D45" s="33" t="s">
        <v>267</v>
      </c>
      <c r="E45" s="33" t="s">
        <v>268</v>
      </c>
      <c r="F45" s="118" t="s">
        <v>270</v>
      </c>
      <c r="G45" s="166">
        <v>387647.54</v>
      </c>
    </row>
    <row r="46" spans="1:7" ht="45">
      <c r="A46" s="143" t="s">
        <v>271</v>
      </c>
      <c r="B46" s="78" t="s">
        <v>261</v>
      </c>
      <c r="C46" s="68">
        <v>2</v>
      </c>
      <c r="D46" s="33" t="s">
        <v>272</v>
      </c>
      <c r="E46" s="33" t="s">
        <v>273</v>
      </c>
      <c r="F46" s="73" t="s">
        <v>275</v>
      </c>
      <c r="G46" s="166">
        <v>450108.97</v>
      </c>
    </row>
    <row r="47" spans="1:7" ht="30">
      <c r="A47" s="126" t="s">
        <v>292</v>
      </c>
      <c r="B47" s="78" t="s">
        <v>261</v>
      </c>
      <c r="C47" s="68">
        <v>2</v>
      </c>
      <c r="D47" s="33" t="s">
        <v>293</v>
      </c>
      <c r="E47" s="33" t="s">
        <v>294</v>
      </c>
      <c r="F47" s="73" t="s">
        <v>297</v>
      </c>
      <c r="G47" s="166">
        <v>39124.22</v>
      </c>
    </row>
    <row r="48" spans="1:7">
      <c r="A48" s="143" t="s">
        <v>302</v>
      </c>
      <c r="B48" s="78" t="s">
        <v>261</v>
      </c>
      <c r="C48" s="68">
        <v>3</v>
      </c>
      <c r="D48" s="33" t="s">
        <v>28</v>
      </c>
      <c r="E48" s="33" t="s">
        <v>303</v>
      </c>
      <c r="F48" s="33"/>
      <c r="G48" s="166">
        <v>96739</v>
      </c>
    </row>
    <row r="49" spans="1:7">
      <c r="A49" s="143" t="s">
        <v>304</v>
      </c>
      <c r="B49" s="78" t="s">
        <v>261</v>
      </c>
      <c r="C49" s="68">
        <v>3</v>
      </c>
      <c r="D49" s="33" t="s">
        <v>32</v>
      </c>
      <c r="E49" s="33" t="s">
        <v>305</v>
      </c>
      <c r="F49" s="33"/>
      <c r="G49" s="166">
        <v>257776</v>
      </c>
    </row>
    <row r="50" spans="1:7">
      <c r="A50" s="143" t="s">
        <v>306</v>
      </c>
      <c r="B50" s="78" t="s">
        <v>261</v>
      </c>
      <c r="C50" s="68">
        <v>1</v>
      </c>
      <c r="D50" s="33" t="s">
        <v>307</v>
      </c>
      <c r="E50" s="33"/>
      <c r="F50" s="33"/>
      <c r="G50" s="166">
        <v>685651</v>
      </c>
    </row>
    <row r="51" spans="1:7" ht="45">
      <c r="A51" s="78" t="s">
        <v>405</v>
      </c>
      <c r="B51" s="78" t="s">
        <v>316</v>
      </c>
      <c r="C51" s="68">
        <v>2</v>
      </c>
      <c r="D51" s="33" t="s">
        <v>322</v>
      </c>
      <c r="E51" s="33"/>
      <c r="F51" s="71"/>
      <c r="G51" s="166">
        <v>778015.24</v>
      </c>
    </row>
    <row r="52" spans="1:7" ht="45">
      <c r="A52" s="78" t="s">
        <v>408</v>
      </c>
      <c r="B52" s="78" t="s">
        <v>316</v>
      </c>
      <c r="C52" s="68">
        <v>2</v>
      </c>
      <c r="D52" s="33" t="s">
        <v>322</v>
      </c>
      <c r="E52" s="33"/>
      <c r="F52" s="71"/>
      <c r="G52" s="166">
        <v>60607</v>
      </c>
    </row>
    <row r="53" spans="1:7" ht="60">
      <c r="A53" s="78" t="s">
        <v>417</v>
      </c>
      <c r="B53" s="78" t="s">
        <v>316</v>
      </c>
      <c r="C53" s="68">
        <v>2</v>
      </c>
      <c r="D53" s="33" t="s">
        <v>322</v>
      </c>
      <c r="E53" s="33"/>
      <c r="F53" s="71"/>
      <c r="G53" s="166">
        <v>35000</v>
      </c>
    </row>
    <row r="54" spans="1:7" ht="45">
      <c r="A54" s="78" t="s">
        <v>346</v>
      </c>
      <c r="B54" s="78" t="s">
        <v>316</v>
      </c>
      <c r="C54" s="68">
        <v>1</v>
      </c>
      <c r="D54" s="33" t="s">
        <v>347</v>
      </c>
      <c r="E54" s="33" t="s">
        <v>348</v>
      </c>
      <c r="F54" s="76" t="s">
        <v>351</v>
      </c>
      <c r="G54" s="166">
        <v>51000</v>
      </c>
    </row>
    <row r="55" spans="1:7" ht="15" customHeight="1">
      <c r="A55" s="167" t="s">
        <v>401</v>
      </c>
      <c r="B55" s="167"/>
      <c r="C55" s="168"/>
      <c r="D55" s="167"/>
      <c r="E55" s="167"/>
      <c r="F55" s="167"/>
      <c r="G55" s="169">
        <f>SUM(G39:G54)</f>
        <v>9712156.6799999997</v>
      </c>
    </row>
    <row r="58" spans="1:7" ht="15" customHeight="1">
      <c r="G58" s="15">
        <f>10000000-G55</f>
        <v>287843.3200000003</v>
      </c>
    </row>
  </sheetData>
  <autoFilter ref="A3:F38" xr:uid="{00000000-0009-0000-0000-000006000000}"/>
  <conditionalFormatting sqref="F40">
    <cfRule type="cellIs" dxfId="11" priority="2" operator="equal">
      <formula>"EXPIRADO"</formula>
    </cfRule>
    <cfRule type="cellIs" dxfId="10" priority="3" operator="equal">
      <formula>"NO PRAZO"</formula>
    </cfRule>
    <cfRule type="cellIs" dxfId="9" priority="4" operator="equal">
      <formula>"EM BREVE"</formula>
    </cfRule>
    <cfRule type="cellIs" dxfId="8" priority="5" operator="equal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99694"/>
  </sheetPr>
  <dimension ref="A1:XDO63"/>
  <sheetViews>
    <sheetView zoomScale="85" zoomScaleNormal="85" workbookViewId="0">
      <pane xSplit="4" ySplit="3" topLeftCell="E23" activePane="bottomRight" state="frozen"/>
      <selection pane="topRight" activeCell="E1" sqref="E1"/>
      <selection pane="bottomLeft" activeCell="A23" sqref="A23"/>
      <selection pane="bottomRight" activeCell="A23" sqref="A23"/>
    </sheetView>
  </sheetViews>
  <sheetFormatPr baseColWidth="10" defaultColWidth="9.1640625" defaultRowHeight="15"/>
  <cols>
    <col min="1" max="1" width="46.6640625" style="7" customWidth="1"/>
    <col min="2" max="2" width="14.5" style="7" customWidth="1"/>
    <col min="3" max="3" width="14.5" style="8" hidden="1" customWidth="1"/>
    <col min="4" max="4" width="19.1640625" style="8" customWidth="1"/>
    <col min="5" max="5" width="24.33203125" style="8" customWidth="1"/>
    <col min="6" max="6" width="26.1640625" style="8" hidden="1" customWidth="1"/>
    <col min="7" max="7" width="16.33203125" style="8" hidden="1" customWidth="1"/>
    <col min="8" max="8" width="13" style="8" hidden="1" customWidth="1"/>
    <col min="9" max="9" width="17.1640625" style="8" hidden="1" customWidth="1"/>
    <col min="10" max="10" width="12.33203125" style="8" customWidth="1"/>
    <col min="11" max="11" width="14.6640625" style="9" hidden="1" customWidth="1"/>
    <col min="12" max="12" width="15.33203125" style="10" hidden="1" customWidth="1"/>
    <col min="13" max="13" width="14.33203125" style="9" hidden="1" customWidth="1"/>
    <col min="14" max="14" width="15.1640625" style="9" hidden="1" customWidth="1"/>
    <col min="15" max="15" width="17" style="7" hidden="1" customWidth="1"/>
    <col min="16" max="16" width="15.5" style="7" hidden="1" customWidth="1"/>
    <col min="17" max="18" width="13.6640625" style="7" hidden="1" customWidth="1"/>
    <col min="19" max="22" width="13.6640625" style="11" hidden="1" customWidth="1"/>
    <col min="23" max="23" width="15.33203125" style="12" hidden="1" customWidth="1"/>
    <col min="24" max="28" width="13.6640625" style="11" hidden="1" customWidth="1"/>
    <col min="29" max="29" width="16.6640625" style="13" customWidth="1"/>
    <col min="30" max="30" width="26.5" style="14" customWidth="1"/>
    <col min="31" max="32" width="16.5" style="15" hidden="1" customWidth="1"/>
    <col min="33" max="34" width="16.5" style="7" hidden="1" customWidth="1"/>
    <col min="35" max="36" width="16.5" style="7" customWidth="1"/>
    <col min="37" max="16343" width="9.1640625" style="7"/>
    <col min="16344" max="16384" width="11.5" customWidth="1"/>
  </cols>
  <sheetData>
    <row r="1" spans="1:36" ht="18">
      <c r="A1" s="16" t="s">
        <v>0</v>
      </c>
      <c r="B1" s="17"/>
      <c r="D1" s="17"/>
      <c r="K1" s="18"/>
      <c r="M1" s="19"/>
      <c r="N1" s="20"/>
      <c r="O1" s="21"/>
      <c r="T1" s="15"/>
      <c r="U1" s="15"/>
      <c r="AB1" s="11" t="s">
        <v>1</v>
      </c>
      <c r="AF1" s="22"/>
      <c r="AI1" s="15"/>
    </row>
    <row r="2" spans="1:36" ht="18.75" customHeight="1">
      <c r="A2" s="7" t="s">
        <v>406</v>
      </c>
      <c r="B2" s="17"/>
      <c r="K2" s="18"/>
      <c r="L2" s="23"/>
      <c r="M2" s="19"/>
      <c r="AF2" s="24"/>
      <c r="AI2" s="15"/>
    </row>
    <row r="3" spans="1:36" ht="45">
      <c r="A3" s="1" t="s">
        <v>2</v>
      </c>
      <c r="B3" s="1" t="s">
        <v>3</v>
      </c>
      <c r="C3" s="1" t="s">
        <v>402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25" t="s">
        <v>11</v>
      </c>
      <c r="L3" s="26" t="s">
        <v>12</v>
      </c>
      <c r="M3" s="27" t="s">
        <v>13</v>
      </c>
      <c r="N3" s="27" t="s">
        <v>14</v>
      </c>
      <c r="O3" s="27" t="s">
        <v>15</v>
      </c>
      <c r="P3" s="28" t="s">
        <v>16</v>
      </c>
      <c r="Q3" s="27">
        <v>45658</v>
      </c>
      <c r="R3" s="27">
        <v>45689</v>
      </c>
      <c r="S3" s="27">
        <v>45717</v>
      </c>
      <c r="T3" s="27">
        <v>45748</v>
      </c>
      <c r="U3" s="27">
        <v>45778</v>
      </c>
      <c r="V3" s="27">
        <v>45809</v>
      </c>
      <c r="W3" s="27">
        <v>45839</v>
      </c>
      <c r="X3" s="27">
        <v>45870</v>
      </c>
      <c r="Y3" s="27">
        <v>45901</v>
      </c>
      <c r="Z3" s="27">
        <v>45931</v>
      </c>
      <c r="AA3" s="27">
        <v>45962</v>
      </c>
      <c r="AB3" s="27">
        <v>45992</v>
      </c>
      <c r="AC3" s="27" t="s">
        <v>17</v>
      </c>
      <c r="AD3" s="27" t="s">
        <v>418</v>
      </c>
      <c r="AE3" s="172"/>
      <c r="AF3" s="27"/>
      <c r="AG3" s="27"/>
      <c r="AH3" s="29"/>
      <c r="AI3" s="30"/>
    </row>
    <row r="4" spans="1:36" s="7" customFormat="1" ht="27" customHeight="1">
      <c r="A4" s="31" t="s">
        <v>26</v>
      </c>
      <c r="B4" s="32" t="s">
        <v>19</v>
      </c>
      <c r="C4" s="32">
        <v>1</v>
      </c>
      <c r="D4" s="43" t="s">
        <v>25</v>
      </c>
      <c r="E4" s="43"/>
      <c r="F4" s="34"/>
      <c r="G4" s="34"/>
      <c r="H4" s="35"/>
      <c r="I4" s="35"/>
      <c r="J4" s="34"/>
      <c r="K4" s="38">
        <v>810000</v>
      </c>
      <c r="L4" s="37"/>
      <c r="M4" s="38">
        <f>K4*12</f>
        <v>9720000</v>
      </c>
      <c r="N4" s="51">
        <v>848332.15</v>
      </c>
      <c r="O4" s="44">
        <v>0</v>
      </c>
      <c r="P4" s="5">
        <f>SUM(N4:O4)</f>
        <v>848332.15</v>
      </c>
      <c r="Q4" s="6"/>
      <c r="R4" s="6"/>
      <c r="S4" s="40"/>
      <c r="T4" s="46"/>
      <c r="U4" s="6">
        <f>810000-38332</f>
        <v>771668</v>
      </c>
      <c r="V4" s="6">
        <f>K4</f>
        <v>810000</v>
      </c>
      <c r="W4" s="6">
        <f>K4</f>
        <v>810000</v>
      </c>
      <c r="X4" s="6">
        <f>K4</f>
        <v>810000</v>
      </c>
      <c r="Y4" s="6">
        <f>K4</f>
        <v>810000</v>
      </c>
      <c r="Z4" s="6">
        <f>K4</f>
        <v>810000</v>
      </c>
      <c r="AA4" s="6">
        <f>K4</f>
        <v>810000</v>
      </c>
      <c r="AB4" s="6">
        <f>K4</f>
        <v>810000</v>
      </c>
      <c r="AC4" s="41">
        <f t="shared" ref="AC4:AC20" si="0">T4+U4</f>
        <v>771668</v>
      </c>
      <c r="AD4" s="173">
        <v>1000</v>
      </c>
      <c r="AE4" s="15">
        <f t="shared" ref="AE4:AE20" si="1">SUM(K4:L4)*2</f>
        <v>1620000</v>
      </c>
      <c r="AF4" s="42">
        <f>P4-AE4</f>
        <v>-771667.85</v>
      </c>
      <c r="AG4" s="42"/>
      <c r="AH4" s="42">
        <f>(SUM(K4:L4)*2)-P4</f>
        <v>771667.85</v>
      </c>
      <c r="AI4" s="42"/>
    </row>
    <row r="5" spans="1:36" s="7" customFormat="1" ht="14.25" customHeight="1">
      <c r="A5" s="31" t="s">
        <v>39</v>
      </c>
      <c r="B5" s="53" t="s">
        <v>40</v>
      </c>
      <c r="C5" s="53">
        <v>3</v>
      </c>
      <c r="D5" s="43" t="s">
        <v>41</v>
      </c>
      <c r="E5" s="43" t="s">
        <v>42</v>
      </c>
      <c r="F5" s="33" t="s">
        <v>43</v>
      </c>
      <c r="G5" s="54">
        <v>45882</v>
      </c>
      <c r="H5" s="55" t="str">
        <f t="shared" ref="H5:H20" ca="1" si="2">IF((G5-TODAY())&lt;0,"EXPIRADO", IF((G5-TODAY())&lt;=60,"EM BREVE","NO PRAZO"))</f>
        <v>EXPIRADO</v>
      </c>
      <c r="I5" s="33"/>
      <c r="J5" s="56" t="s">
        <v>44</v>
      </c>
      <c r="K5" s="38">
        <v>60000</v>
      </c>
      <c r="L5" s="37"/>
      <c r="M5" s="38">
        <f>K5*12</f>
        <v>720000</v>
      </c>
      <c r="N5" s="51">
        <v>181857.31</v>
      </c>
      <c r="O5" s="51">
        <v>0</v>
      </c>
      <c r="P5" s="5">
        <f>SUM(O5:O5)</f>
        <v>0</v>
      </c>
      <c r="Q5" s="6"/>
      <c r="R5" s="6"/>
      <c r="S5" s="6">
        <f>K5</f>
        <v>60000</v>
      </c>
      <c r="T5" s="6">
        <f>K5</f>
        <v>60000</v>
      </c>
      <c r="U5" s="6">
        <f>K5</f>
        <v>60000</v>
      </c>
      <c r="V5" s="6">
        <f>K5</f>
        <v>60000</v>
      </c>
      <c r="W5" s="6">
        <f>K5</f>
        <v>60000</v>
      </c>
      <c r="X5" s="57">
        <f>K5</f>
        <v>60000</v>
      </c>
      <c r="Y5" s="6">
        <f>K5</f>
        <v>60000</v>
      </c>
      <c r="Z5" s="6">
        <f>K5</f>
        <v>60000</v>
      </c>
      <c r="AA5" s="6">
        <f>K5</f>
        <v>60000</v>
      </c>
      <c r="AB5" s="6">
        <f>K5</f>
        <v>60000</v>
      </c>
      <c r="AC5" s="41">
        <f t="shared" si="0"/>
        <v>120000</v>
      </c>
      <c r="AD5" s="174">
        <v>1000</v>
      </c>
      <c r="AE5" s="15">
        <f t="shared" si="1"/>
        <v>120000</v>
      </c>
      <c r="AF5" s="42">
        <f>P5-AE5</f>
        <v>-120000</v>
      </c>
      <c r="AG5" s="42">
        <f>-Z5-AA5</f>
        <v>-120000</v>
      </c>
      <c r="AH5" s="42">
        <f>(SUM(K5:L5)*2)-P5</f>
        <v>120000</v>
      </c>
      <c r="AI5" s="42"/>
    </row>
    <row r="6" spans="1:36" s="7" customFormat="1" ht="82.5" customHeight="1">
      <c r="A6" s="52" t="s">
        <v>62</v>
      </c>
      <c r="B6" s="53" t="s">
        <v>40</v>
      </c>
      <c r="C6" s="53">
        <v>2</v>
      </c>
      <c r="D6" s="63" t="s">
        <v>63</v>
      </c>
      <c r="E6" s="63" t="s">
        <v>64</v>
      </c>
      <c r="F6" s="73" t="s">
        <v>65</v>
      </c>
      <c r="G6" s="60">
        <v>46082</v>
      </c>
      <c r="H6" s="55" t="str">
        <f t="shared" ca="1" si="2"/>
        <v>NO PRAZO</v>
      </c>
      <c r="I6" s="55"/>
      <c r="J6" s="76" t="s">
        <v>66</v>
      </c>
      <c r="K6" s="6">
        <f>M6/12</f>
        <v>236095</v>
      </c>
      <c r="L6" s="77" t="s">
        <v>67</v>
      </c>
      <c r="M6" s="38">
        <v>2833140</v>
      </c>
      <c r="N6" s="3">
        <v>100</v>
      </c>
      <c r="O6" s="3">
        <v>201936.5</v>
      </c>
      <c r="P6" s="5">
        <f t="shared" ref="P6:P25" si="3">SUM(N6:O6)</f>
        <v>202036.5</v>
      </c>
      <c r="Q6" s="40"/>
      <c r="R6" s="40"/>
      <c r="S6" s="40"/>
      <c r="T6" s="6">
        <f>236037-202037</f>
        <v>34000</v>
      </c>
      <c r="U6" s="6">
        <f>K6</f>
        <v>236095</v>
      </c>
      <c r="V6" s="6">
        <f>K6</f>
        <v>236095</v>
      </c>
      <c r="W6" s="6">
        <f>K6</f>
        <v>236095</v>
      </c>
      <c r="X6" s="6">
        <f>K6</f>
        <v>236095</v>
      </c>
      <c r="Y6" s="6">
        <f>K6</f>
        <v>236095</v>
      </c>
      <c r="Z6" s="6">
        <f>K6</f>
        <v>236095</v>
      </c>
      <c r="AA6" s="6">
        <f>K6</f>
        <v>236095</v>
      </c>
      <c r="AB6" s="6">
        <f>K6</f>
        <v>236095</v>
      </c>
      <c r="AC6" s="41">
        <f t="shared" si="0"/>
        <v>270095</v>
      </c>
      <c r="AD6" s="174">
        <v>1000</v>
      </c>
      <c r="AE6" s="15">
        <f t="shared" si="1"/>
        <v>472190</v>
      </c>
      <c r="AF6" s="42"/>
      <c r="AG6" s="42">
        <v>-99075</v>
      </c>
      <c r="AH6" s="42">
        <f>(SUM(K6:L6)*2)-P6</f>
        <v>270153.5</v>
      </c>
      <c r="AI6" s="42"/>
    </row>
    <row r="7" spans="1:36" s="7" customFormat="1" ht="69" customHeight="1">
      <c r="A7" s="67" t="s">
        <v>96</v>
      </c>
      <c r="B7" s="85" t="s">
        <v>97</v>
      </c>
      <c r="C7" s="85">
        <v>2</v>
      </c>
      <c r="D7" s="86" t="s">
        <v>98</v>
      </c>
      <c r="E7" s="63" t="s">
        <v>99</v>
      </c>
      <c r="F7" s="73" t="s">
        <v>100</v>
      </c>
      <c r="G7" s="60">
        <v>46039</v>
      </c>
      <c r="H7" s="55" t="str">
        <f t="shared" ca="1" si="2"/>
        <v>NO PRAZO</v>
      </c>
      <c r="I7" s="33"/>
      <c r="J7" s="73" t="s">
        <v>101</v>
      </c>
      <c r="K7" s="6">
        <v>4000</v>
      </c>
      <c r="L7" s="37"/>
      <c r="M7" s="38">
        <f>K7*12</f>
        <v>48000</v>
      </c>
      <c r="N7" s="3">
        <v>1948.01</v>
      </c>
      <c r="O7" s="3">
        <v>0</v>
      </c>
      <c r="P7" s="5">
        <f t="shared" si="3"/>
        <v>1948.01</v>
      </c>
      <c r="Q7" s="46"/>
      <c r="R7" s="40"/>
      <c r="S7" s="6">
        <f>K7-P7</f>
        <v>2051.9899999999998</v>
      </c>
      <c r="T7" s="6">
        <f>K7-1948</f>
        <v>2052</v>
      </c>
      <c r="U7" s="6">
        <f>K7</f>
        <v>4000</v>
      </c>
      <c r="V7" s="6">
        <f>K7</f>
        <v>4000</v>
      </c>
      <c r="W7" s="6">
        <f>K7</f>
        <v>4000</v>
      </c>
      <c r="X7" s="6">
        <f>K7</f>
        <v>4000</v>
      </c>
      <c r="Y7" s="6">
        <f>K7</f>
        <v>4000</v>
      </c>
      <c r="Z7" s="6">
        <f>K7</f>
        <v>4000</v>
      </c>
      <c r="AA7" s="6">
        <f>K7</f>
        <v>4000</v>
      </c>
      <c r="AB7" s="6">
        <f>K7</f>
        <v>4000</v>
      </c>
      <c r="AC7" s="41">
        <f t="shared" si="0"/>
        <v>6052</v>
      </c>
      <c r="AD7" s="174">
        <v>1000</v>
      </c>
      <c r="AE7" s="15">
        <f t="shared" si="1"/>
        <v>8000</v>
      </c>
      <c r="AF7" s="42">
        <f t="shared" ref="AF7:AF12" si="4">P7-AE7</f>
        <v>-6051.99</v>
      </c>
      <c r="AG7" s="42"/>
      <c r="AH7" s="42"/>
      <c r="AI7" s="42"/>
    </row>
    <row r="8" spans="1:36" s="7" customFormat="1" ht="54.75" customHeight="1">
      <c r="A8" s="78" t="s">
        <v>155</v>
      </c>
      <c r="B8" s="68" t="s">
        <v>97</v>
      </c>
      <c r="C8" s="68">
        <v>2</v>
      </c>
      <c r="D8" s="43" t="s">
        <v>156</v>
      </c>
      <c r="E8" s="43" t="s">
        <v>157</v>
      </c>
      <c r="F8" s="33" t="s">
        <v>158</v>
      </c>
      <c r="G8" s="99">
        <v>46127</v>
      </c>
      <c r="H8" s="55" t="str">
        <f t="shared" ca="1" si="2"/>
        <v>NO PRAZO</v>
      </c>
      <c r="I8" s="33"/>
      <c r="J8" s="89" t="s">
        <v>159</v>
      </c>
      <c r="K8" s="6"/>
      <c r="L8" s="72">
        <f>12640.77</f>
        <v>12640.77</v>
      </c>
      <c r="M8" s="6">
        <f>L8*12</f>
        <v>151689.24</v>
      </c>
      <c r="N8" s="3">
        <v>13176.77</v>
      </c>
      <c r="O8" s="3">
        <v>0</v>
      </c>
      <c r="P8" s="5">
        <f t="shared" si="3"/>
        <v>13176.77</v>
      </c>
      <c r="Q8" s="6"/>
      <c r="R8" s="6"/>
      <c r="S8" s="40"/>
      <c r="T8" s="40"/>
      <c r="U8" s="6">
        <f>L8-536</f>
        <v>12104.77</v>
      </c>
      <c r="V8" s="6">
        <f t="shared" ref="V8:V16" si="5">L8</f>
        <v>12640.77</v>
      </c>
      <c r="W8" s="6">
        <f t="shared" ref="W8:W16" si="6">L8</f>
        <v>12640.77</v>
      </c>
      <c r="X8" s="6">
        <f t="shared" ref="X8:X16" si="7">L8</f>
        <v>12640.77</v>
      </c>
      <c r="Y8" s="62">
        <f t="shared" ref="Y8:Y16" si="8">L8</f>
        <v>12640.77</v>
      </c>
      <c r="Z8" s="62">
        <f t="shared" ref="Z8:Z16" si="9">L8</f>
        <v>12640.77</v>
      </c>
      <c r="AA8" s="6">
        <f t="shared" ref="AA8:AA16" si="10">L8</f>
        <v>12640.77</v>
      </c>
      <c r="AB8" s="6">
        <f t="shared" ref="AB8:AB16" si="11">L8</f>
        <v>12640.77</v>
      </c>
      <c r="AC8" s="41">
        <f t="shared" si="0"/>
        <v>12104.77</v>
      </c>
      <c r="AD8" s="174">
        <v>1000</v>
      </c>
      <c r="AE8" s="15">
        <f t="shared" si="1"/>
        <v>25281.54</v>
      </c>
      <c r="AF8" s="42">
        <f t="shared" si="4"/>
        <v>-12104.77</v>
      </c>
      <c r="AG8" s="42"/>
      <c r="AH8" s="42">
        <f t="shared" ref="AH8:AH13" si="12">(SUM(K8:L8)*2)-P8</f>
        <v>12104.77</v>
      </c>
      <c r="AI8" s="42"/>
    </row>
    <row r="9" spans="1:36" s="7" customFormat="1" ht="54.75" customHeight="1">
      <c r="A9" s="52" t="s">
        <v>160</v>
      </c>
      <c r="B9" s="85" t="s">
        <v>97</v>
      </c>
      <c r="C9" s="85">
        <v>1</v>
      </c>
      <c r="D9" s="86" t="s">
        <v>98</v>
      </c>
      <c r="E9" s="63" t="s">
        <v>161</v>
      </c>
      <c r="F9" s="73" t="s">
        <v>162</v>
      </c>
      <c r="G9" s="60">
        <v>45854</v>
      </c>
      <c r="H9" s="55" t="str">
        <f t="shared" ca="1" si="2"/>
        <v>EXPIRADO</v>
      </c>
      <c r="I9" s="55"/>
      <c r="J9" s="73" t="s">
        <v>163</v>
      </c>
      <c r="K9" s="6"/>
      <c r="L9" s="37">
        <f>M9/12</f>
        <v>22669.34</v>
      </c>
      <c r="M9" s="38">
        <v>272032.08</v>
      </c>
      <c r="N9" s="3">
        <v>24500.93</v>
      </c>
      <c r="O9" s="3">
        <v>0</v>
      </c>
      <c r="P9" s="5">
        <f t="shared" si="3"/>
        <v>24500.93</v>
      </c>
      <c r="Q9" s="40"/>
      <c r="R9" s="6"/>
      <c r="S9" s="40"/>
      <c r="T9" s="40"/>
      <c r="U9" s="6">
        <f>22669-1831.59</f>
        <v>20837.41</v>
      </c>
      <c r="V9" s="6">
        <f t="shared" si="5"/>
        <v>22669.34</v>
      </c>
      <c r="W9" s="57">
        <f t="shared" si="6"/>
        <v>22669.34</v>
      </c>
      <c r="X9" s="6">
        <f t="shared" si="7"/>
        <v>22669.34</v>
      </c>
      <c r="Y9" s="62">
        <f t="shared" si="8"/>
        <v>22669.34</v>
      </c>
      <c r="Z9" s="62">
        <f t="shared" si="9"/>
        <v>22669.34</v>
      </c>
      <c r="AA9" s="6">
        <f t="shared" si="10"/>
        <v>22669.34</v>
      </c>
      <c r="AB9" s="6">
        <f t="shared" si="11"/>
        <v>22669.34</v>
      </c>
      <c r="AC9" s="41">
        <f t="shared" si="0"/>
        <v>20837.41</v>
      </c>
      <c r="AD9" s="174">
        <v>1000</v>
      </c>
      <c r="AE9" s="15">
        <f t="shared" si="1"/>
        <v>45338.68</v>
      </c>
      <c r="AF9" s="42">
        <f t="shared" si="4"/>
        <v>-20837.75</v>
      </c>
      <c r="AG9" s="42"/>
      <c r="AH9" s="42">
        <f t="shared" si="12"/>
        <v>20837.75</v>
      </c>
      <c r="AI9" s="42"/>
    </row>
    <row r="10" spans="1:36" s="7" customFormat="1" ht="30">
      <c r="A10" s="67" t="s">
        <v>164</v>
      </c>
      <c r="B10" s="85" t="s">
        <v>97</v>
      </c>
      <c r="C10" s="85">
        <v>1</v>
      </c>
      <c r="D10" s="102" t="s">
        <v>165</v>
      </c>
      <c r="E10" s="43" t="s">
        <v>166</v>
      </c>
      <c r="F10" s="73" t="s">
        <v>167</v>
      </c>
      <c r="G10" s="60">
        <v>45766</v>
      </c>
      <c r="H10" s="55" t="str">
        <f t="shared" ca="1" si="2"/>
        <v>EXPIRADO</v>
      </c>
      <c r="I10" s="33" t="s">
        <v>120</v>
      </c>
      <c r="J10" s="73" t="s">
        <v>168</v>
      </c>
      <c r="K10" s="6"/>
      <c r="L10" s="72">
        <f>M10/12</f>
        <v>23238.880000000001</v>
      </c>
      <c r="M10" s="6">
        <v>278866.56</v>
      </c>
      <c r="N10" s="3">
        <v>2226.86</v>
      </c>
      <c r="O10" s="3">
        <v>270</v>
      </c>
      <c r="P10" s="5">
        <f t="shared" si="3"/>
        <v>2496.86</v>
      </c>
      <c r="Q10" s="40"/>
      <c r="R10" s="6"/>
      <c r="S10" s="6">
        <v>865.66</v>
      </c>
      <c r="T10" s="57">
        <f>L10-2497</f>
        <v>20741.88</v>
      </c>
      <c r="U10" s="6">
        <f t="shared" ref="U10:U16" si="13">L10</f>
        <v>23238.880000000001</v>
      </c>
      <c r="V10" s="6">
        <f t="shared" si="5"/>
        <v>23238.880000000001</v>
      </c>
      <c r="W10" s="6">
        <f t="shared" si="6"/>
        <v>23238.880000000001</v>
      </c>
      <c r="X10" s="6">
        <f t="shared" si="7"/>
        <v>23238.880000000001</v>
      </c>
      <c r="Y10" s="62">
        <f t="shared" si="8"/>
        <v>23238.880000000001</v>
      </c>
      <c r="Z10" s="62">
        <f t="shared" si="9"/>
        <v>23238.880000000001</v>
      </c>
      <c r="AA10" s="6">
        <f t="shared" si="10"/>
        <v>23238.880000000001</v>
      </c>
      <c r="AB10" s="6">
        <f t="shared" si="11"/>
        <v>23238.880000000001</v>
      </c>
      <c r="AC10" s="41">
        <f t="shared" si="0"/>
        <v>43980.76</v>
      </c>
      <c r="AD10" s="174">
        <v>1000</v>
      </c>
      <c r="AE10" s="15">
        <f t="shared" si="1"/>
        <v>46477.760000000002</v>
      </c>
      <c r="AF10" s="42">
        <f t="shared" si="4"/>
        <v>-43980.9</v>
      </c>
      <c r="AG10" s="42"/>
      <c r="AH10" s="42">
        <f t="shared" si="12"/>
        <v>43980.9</v>
      </c>
      <c r="AI10" s="42"/>
    </row>
    <row r="11" spans="1:36" s="7" customFormat="1" ht="76.5" customHeight="1">
      <c r="A11" s="78" t="s">
        <v>169</v>
      </c>
      <c r="B11" s="85" t="s">
        <v>97</v>
      </c>
      <c r="C11" s="85">
        <v>1</v>
      </c>
      <c r="D11" s="102" t="s">
        <v>170</v>
      </c>
      <c r="E11" s="43" t="s">
        <v>409</v>
      </c>
      <c r="F11" s="73" t="s">
        <v>171</v>
      </c>
      <c r="G11" s="60">
        <v>45929</v>
      </c>
      <c r="H11" s="55" t="str">
        <f t="shared" ca="1" si="2"/>
        <v>EXPIRADO</v>
      </c>
      <c r="I11" s="33" t="s">
        <v>410</v>
      </c>
      <c r="J11" s="73" t="s">
        <v>173</v>
      </c>
      <c r="K11" s="6"/>
      <c r="L11" s="72">
        <v>131667.49</v>
      </c>
      <c r="M11" s="6">
        <f t="shared" ref="M11:M16" si="14">L11*12</f>
        <v>1580009.88</v>
      </c>
      <c r="N11" s="3">
        <v>0</v>
      </c>
      <c r="O11" s="3">
        <v>0</v>
      </c>
      <c r="P11" s="5">
        <f t="shared" si="3"/>
        <v>0</v>
      </c>
      <c r="Q11" s="40"/>
      <c r="R11" s="6"/>
      <c r="S11" s="40"/>
      <c r="T11" s="6">
        <v>131667</v>
      </c>
      <c r="U11" s="6">
        <f t="shared" si="13"/>
        <v>131667.49</v>
      </c>
      <c r="V11" s="6">
        <f t="shared" si="5"/>
        <v>131667.49</v>
      </c>
      <c r="W11" s="6">
        <f t="shared" si="6"/>
        <v>131667.49</v>
      </c>
      <c r="X11" s="6">
        <f t="shared" si="7"/>
        <v>131667.49</v>
      </c>
      <c r="Y11" s="62">
        <f t="shared" si="8"/>
        <v>131667.49</v>
      </c>
      <c r="Z11" s="62">
        <f t="shared" si="9"/>
        <v>131667.49</v>
      </c>
      <c r="AA11" s="6">
        <f t="shared" si="10"/>
        <v>131667.49</v>
      </c>
      <c r="AB11" s="6">
        <f t="shared" si="11"/>
        <v>131667.49</v>
      </c>
      <c r="AC11" s="41">
        <f t="shared" si="0"/>
        <v>263334.49</v>
      </c>
      <c r="AD11" s="174">
        <v>1000</v>
      </c>
      <c r="AE11" s="15">
        <f t="shared" si="1"/>
        <v>263334.98</v>
      </c>
      <c r="AF11" s="42">
        <f t="shared" si="4"/>
        <v>-263334.98</v>
      </c>
      <c r="AG11" s="42"/>
      <c r="AH11" s="42">
        <f t="shared" si="12"/>
        <v>263334.98</v>
      </c>
      <c r="AI11" s="42"/>
    </row>
    <row r="12" spans="1:36" s="7" customFormat="1" ht="38.25" customHeight="1">
      <c r="A12" s="78" t="s">
        <v>178</v>
      </c>
      <c r="B12" s="85" t="s">
        <v>97</v>
      </c>
      <c r="C12" s="85">
        <v>1</v>
      </c>
      <c r="D12" s="102" t="s">
        <v>179</v>
      </c>
      <c r="E12" s="43" t="s">
        <v>180</v>
      </c>
      <c r="F12" s="73" t="s">
        <v>181</v>
      </c>
      <c r="G12" s="60">
        <v>45745</v>
      </c>
      <c r="H12" s="55" t="str">
        <f t="shared" ca="1" si="2"/>
        <v>EXPIRADO</v>
      </c>
      <c r="I12" s="33" t="s">
        <v>411</v>
      </c>
      <c r="J12" s="73" t="s">
        <v>182</v>
      </c>
      <c r="K12" s="6"/>
      <c r="L12" s="72">
        <v>183316.03</v>
      </c>
      <c r="M12" s="6">
        <f t="shared" si="14"/>
        <v>2199792.36</v>
      </c>
      <c r="N12" s="3">
        <v>0</v>
      </c>
      <c r="O12" s="3">
        <v>0</v>
      </c>
      <c r="P12" s="5">
        <f t="shared" si="3"/>
        <v>0</v>
      </c>
      <c r="Q12" s="40"/>
      <c r="R12" s="6"/>
      <c r="S12" s="57">
        <f>L12-P12</f>
        <v>183316.03</v>
      </c>
      <c r="T12" s="6">
        <f>L12</f>
        <v>183316.03</v>
      </c>
      <c r="U12" s="6">
        <f t="shared" si="13"/>
        <v>183316.03</v>
      </c>
      <c r="V12" s="6">
        <f t="shared" si="5"/>
        <v>183316.03</v>
      </c>
      <c r="W12" s="6">
        <f t="shared" si="6"/>
        <v>183316.03</v>
      </c>
      <c r="X12" s="6">
        <f t="shared" si="7"/>
        <v>183316.03</v>
      </c>
      <c r="Y12" s="62">
        <f t="shared" si="8"/>
        <v>183316.03</v>
      </c>
      <c r="Z12" s="62">
        <f t="shared" si="9"/>
        <v>183316.03</v>
      </c>
      <c r="AA12" s="6">
        <f t="shared" si="10"/>
        <v>183316.03</v>
      </c>
      <c r="AB12" s="6">
        <f t="shared" si="11"/>
        <v>183316.03</v>
      </c>
      <c r="AC12" s="41">
        <f t="shared" si="0"/>
        <v>366632.06</v>
      </c>
      <c r="AD12" s="174">
        <v>1000</v>
      </c>
      <c r="AE12" s="15">
        <f t="shared" si="1"/>
        <v>366632.06</v>
      </c>
      <c r="AF12" s="42">
        <f t="shared" si="4"/>
        <v>-366632.06</v>
      </c>
      <c r="AG12" s="42"/>
      <c r="AH12" s="42">
        <f t="shared" si="12"/>
        <v>366632.06</v>
      </c>
      <c r="AI12" s="42"/>
    </row>
    <row r="13" spans="1:36" s="7" customFormat="1" ht="41.25" customHeight="1">
      <c r="A13" s="82" t="s">
        <v>185</v>
      </c>
      <c r="B13" s="68" t="s">
        <v>97</v>
      </c>
      <c r="C13" s="68">
        <v>1</v>
      </c>
      <c r="D13" s="59" t="s">
        <v>186</v>
      </c>
      <c r="E13" s="59" t="s">
        <v>187</v>
      </c>
      <c r="F13" s="73" t="s">
        <v>188</v>
      </c>
      <c r="G13" s="99">
        <v>45902</v>
      </c>
      <c r="H13" s="55" t="str">
        <f t="shared" ca="1" si="2"/>
        <v>EXPIRADO</v>
      </c>
      <c r="I13" s="33"/>
      <c r="J13" s="73" t="s">
        <v>189</v>
      </c>
      <c r="K13" s="6"/>
      <c r="L13" s="72">
        <v>117871.46</v>
      </c>
      <c r="M13" s="6">
        <f t="shared" si="14"/>
        <v>1414457.52</v>
      </c>
      <c r="N13" s="6">
        <f>7661.65+41709.35</f>
        <v>49371</v>
      </c>
      <c r="O13" s="3">
        <v>0</v>
      </c>
      <c r="P13" s="5">
        <f t="shared" si="3"/>
        <v>49371</v>
      </c>
      <c r="Q13" s="40"/>
      <c r="R13" s="6"/>
      <c r="S13" s="40"/>
      <c r="T13" s="6">
        <f>117871-49371</f>
        <v>68500</v>
      </c>
      <c r="U13" s="6">
        <f t="shared" si="13"/>
        <v>117871.46</v>
      </c>
      <c r="V13" s="6">
        <f t="shared" si="5"/>
        <v>117871.46</v>
      </c>
      <c r="W13" s="6">
        <f t="shared" si="6"/>
        <v>117871.46</v>
      </c>
      <c r="X13" s="6">
        <f t="shared" si="7"/>
        <v>117871.46</v>
      </c>
      <c r="Y13" s="95">
        <f t="shared" si="8"/>
        <v>117871.46</v>
      </c>
      <c r="Z13" s="62">
        <f t="shared" si="9"/>
        <v>117871.46</v>
      </c>
      <c r="AA13" s="6">
        <f t="shared" si="10"/>
        <v>117871.46</v>
      </c>
      <c r="AB13" s="6">
        <f t="shared" si="11"/>
        <v>117871.46</v>
      </c>
      <c r="AC13" s="41">
        <f t="shared" si="0"/>
        <v>186371.46000000002</v>
      </c>
      <c r="AD13" s="174">
        <v>1000</v>
      </c>
      <c r="AE13" s="15">
        <f t="shared" si="1"/>
        <v>235742.92</v>
      </c>
      <c r="AF13" s="42"/>
      <c r="AG13" s="42">
        <v>-212997.86</v>
      </c>
      <c r="AH13" s="42">
        <f t="shared" si="12"/>
        <v>186371.92</v>
      </c>
      <c r="AI13" s="42"/>
      <c r="AJ13" s="15">
        <f>SUM(AC4:AC14)+390828.95</f>
        <v>6100000</v>
      </c>
    </row>
    <row r="14" spans="1:36" s="7" customFormat="1" ht="18.75" customHeight="1">
      <c r="A14" s="67" t="s">
        <v>190</v>
      </c>
      <c r="B14" s="85" t="s">
        <v>97</v>
      </c>
      <c r="C14" s="85">
        <v>1</v>
      </c>
      <c r="D14" s="86" t="s">
        <v>191</v>
      </c>
      <c r="E14" s="63">
        <v>69207850000161</v>
      </c>
      <c r="F14" s="73" t="s">
        <v>193</v>
      </c>
      <c r="G14" s="60">
        <v>45792</v>
      </c>
      <c r="H14" s="55" t="str">
        <f t="shared" ca="1" si="2"/>
        <v>EXPIRADO</v>
      </c>
      <c r="I14" s="55"/>
      <c r="J14" s="73" t="s">
        <v>194</v>
      </c>
      <c r="K14" s="6"/>
      <c r="L14" s="104">
        <v>1882331.1</v>
      </c>
      <c r="M14" s="6">
        <f t="shared" si="14"/>
        <v>22587973.200000003</v>
      </c>
      <c r="N14" s="3">
        <v>116566.68</v>
      </c>
      <c r="O14" s="105">
        <v>0</v>
      </c>
      <c r="P14" s="5">
        <f t="shared" si="3"/>
        <v>116566.68</v>
      </c>
      <c r="Q14" s="40"/>
      <c r="R14" s="6"/>
      <c r="S14" s="40"/>
      <c r="T14" s="6">
        <f>1882331-116567</f>
        <v>1765764</v>
      </c>
      <c r="U14" s="57">
        <f t="shared" si="13"/>
        <v>1882331.1</v>
      </c>
      <c r="V14" s="6">
        <f t="shared" si="5"/>
        <v>1882331.1</v>
      </c>
      <c r="W14" s="6">
        <f t="shared" si="6"/>
        <v>1882331.1</v>
      </c>
      <c r="X14" s="6">
        <f t="shared" si="7"/>
        <v>1882331.1</v>
      </c>
      <c r="Y14" s="62">
        <f t="shared" si="8"/>
        <v>1882331.1</v>
      </c>
      <c r="Z14" s="62">
        <f t="shared" si="9"/>
        <v>1882331.1</v>
      </c>
      <c r="AA14" s="6">
        <f t="shared" si="10"/>
        <v>1882331.1</v>
      </c>
      <c r="AB14" s="6">
        <f t="shared" si="11"/>
        <v>1882331.1</v>
      </c>
      <c r="AC14" s="41">
        <f t="shared" si="0"/>
        <v>3648095.1</v>
      </c>
      <c r="AD14" s="174">
        <v>1000</v>
      </c>
      <c r="AE14" s="15">
        <f t="shared" si="1"/>
        <v>3764662.2</v>
      </c>
      <c r="AF14" s="42"/>
      <c r="AG14" s="42">
        <f>P14-AE14</f>
        <v>-3648095.52</v>
      </c>
      <c r="AH14" s="42"/>
      <c r="AI14" s="42"/>
      <c r="AJ14" s="15">
        <f>6100000-SUM(AC4:AC14)</f>
        <v>390828.95000000019</v>
      </c>
    </row>
    <row r="15" spans="1:36" s="7" customFormat="1" ht="41.25" customHeight="1">
      <c r="A15" s="78" t="s">
        <v>195</v>
      </c>
      <c r="B15" s="85" t="s">
        <v>97</v>
      </c>
      <c r="C15" s="85">
        <v>1</v>
      </c>
      <c r="D15" s="86" t="s">
        <v>196</v>
      </c>
      <c r="E15" s="63" t="s">
        <v>197</v>
      </c>
      <c r="F15" s="73" t="s">
        <v>198</v>
      </c>
      <c r="G15" s="60">
        <v>46097</v>
      </c>
      <c r="H15" s="55" t="str">
        <f t="shared" ca="1" si="2"/>
        <v>NO PRAZO</v>
      </c>
      <c r="I15" s="33" t="s">
        <v>199</v>
      </c>
      <c r="J15" s="73" t="s">
        <v>200</v>
      </c>
      <c r="K15" s="6"/>
      <c r="L15" s="72">
        <v>1617878.59</v>
      </c>
      <c r="M15" s="38">
        <f t="shared" si="14"/>
        <v>19414543.080000002</v>
      </c>
      <c r="N15" s="3">
        <v>0</v>
      </c>
      <c r="O15" s="106">
        <v>0</v>
      </c>
      <c r="P15" s="5">
        <f t="shared" si="3"/>
        <v>0</v>
      </c>
      <c r="Q15" s="40"/>
      <c r="R15" s="6"/>
      <c r="S15" s="40"/>
      <c r="T15" s="6">
        <f>L15</f>
        <v>1617878.59</v>
      </c>
      <c r="U15" s="6">
        <f t="shared" si="13"/>
        <v>1617878.59</v>
      </c>
      <c r="V15" s="6">
        <f t="shared" si="5"/>
        <v>1617878.59</v>
      </c>
      <c r="W15" s="6">
        <f t="shared" si="6"/>
        <v>1617878.59</v>
      </c>
      <c r="X15" s="6">
        <f t="shared" si="7"/>
        <v>1617878.59</v>
      </c>
      <c r="Y15" s="62">
        <f t="shared" si="8"/>
        <v>1617878.59</v>
      </c>
      <c r="Z15" s="62">
        <f t="shared" si="9"/>
        <v>1617878.59</v>
      </c>
      <c r="AA15" s="6">
        <f t="shared" si="10"/>
        <v>1617878.59</v>
      </c>
      <c r="AB15" s="6">
        <f t="shared" si="11"/>
        <v>1617878.59</v>
      </c>
      <c r="AC15" s="41">
        <f t="shared" si="0"/>
        <v>3235757.18</v>
      </c>
      <c r="AD15" s="175">
        <v>1050</v>
      </c>
      <c r="AE15" s="15">
        <f t="shared" si="1"/>
        <v>3235757.18</v>
      </c>
      <c r="AF15" s="42"/>
      <c r="AG15" s="42">
        <f>P15-AE15</f>
        <v>-3235757.18</v>
      </c>
      <c r="AH15" s="42">
        <f>(SUM(K15:L15)*2)-P15</f>
        <v>3235757.18</v>
      </c>
      <c r="AI15" s="42"/>
      <c r="AJ15" s="15">
        <f>AC15-AJ14</f>
        <v>2844928.23</v>
      </c>
    </row>
    <row r="16" spans="1:36" s="7" customFormat="1" ht="27" customHeight="1">
      <c r="A16" s="67" t="s">
        <v>206</v>
      </c>
      <c r="B16" s="85" t="s">
        <v>97</v>
      </c>
      <c r="C16" s="85">
        <v>1</v>
      </c>
      <c r="D16" s="86" t="s">
        <v>207</v>
      </c>
      <c r="E16" s="63" t="s">
        <v>203</v>
      </c>
      <c r="F16" s="73" t="s">
        <v>208</v>
      </c>
      <c r="G16" s="60">
        <v>46166</v>
      </c>
      <c r="H16" s="55" t="str">
        <f t="shared" ca="1" si="2"/>
        <v>NO PRAZO</v>
      </c>
      <c r="I16" s="33"/>
      <c r="J16" s="73" t="s">
        <v>209</v>
      </c>
      <c r="K16" s="107"/>
      <c r="L16" s="37">
        <v>190000</v>
      </c>
      <c r="M16" s="38">
        <f t="shared" si="14"/>
        <v>2280000</v>
      </c>
      <c r="N16" s="3">
        <v>0</v>
      </c>
      <c r="O16" s="3">
        <v>0</v>
      </c>
      <c r="P16" s="5">
        <f t="shared" si="3"/>
        <v>0</v>
      </c>
      <c r="Q16" s="40"/>
      <c r="R16" s="6"/>
      <c r="S16" s="40"/>
      <c r="T16" s="6">
        <v>190000</v>
      </c>
      <c r="U16" s="6">
        <f t="shared" si="13"/>
        <v>190000</v>
      </c>
      <c r="V16" s="6">
        <f t="shared" si="5"/>
        <v>190000</v>
      </c>
      <c r="W16" s="6">
        <f t="shared" si="6"/>
        <v>190000</v>
      </c>
      <c r="X16" s="6">
        <f t="shared" si="7"/>
        <v>190000</v>
      </c>
      <c r="Y16" s="62">
        <f t="shared" si="8"/>
        <v>190000</v>
      </c>
      <c r="Z16" s="62">
        <f t="shared" si="9"/>
        <v>190000</v>
      </c>
      <c r="AA16" s="6">
        <f t="shared" si="10"/>
        <v>190000</v>
      </c>
      <c r="AB16" s="6">
        <f t="shared" si="11"/>
        <v>190000</v>
      </c>
      <c r="AC16" s="41">
        <f t="shared" si="0"/>
        <v>380000</v>
      </c>
      <c r="AD16" s="174">
        <v>1050</v>
      </c>
      <c r="AE16" s="15">
        <f t="shared" si="1"/>
        <v>380000</v>
      </c>
      <c r="AF16" s="42">
        <f>P16-AE16</f>
        <v>-380000</v>
      </c>
      <c r="AG16" s="42"/>
      <c r="AH16" s="42">
        <f>(SUM(K16:L16)*2)-P16</f>
        <v>380000</v>
      </c>
      <c r="AI16" s="42"/>
    </row>
    <row r="17" spans="1:36" s="7" customFormat="1" ht="76.5" customHeight="1">
      <c r="A17" s="67" t="s">
        <v>412</v>
      </c>
      <c r="B17" s="85" t="s">
        <v>97</v>
      </c>
      <c r="C17" s="85">
        <v>2</v>
      </c>
      <c r="D17" s="86" t="s">
        <v>216</v>
      </c>
      <c r="E17" s="63" t="s">
        <v>225</v>
      </c>
      <c r="F17" s="73" t="s">
        <v>226</v>
      </c>
      <c r="G17" s="60">
        <v>46146</v>
      </c>
      <c r="H17" s="55" t="str">
        <f t="shared" ca="1" si="2"/>
        <v>NO PRAZO</v>
      </c>
      <c r="I17" s="33"/>
      <c r="J17" s="73" t="s">
        <v>227</v>
      </c>
      <c r="K17" s="6">
        <v>145000</v>
      </c>
      <c r="L17" s="37"/>
      <c r="M17" s="38">
        <f>K17*12</f>
        <v>1740000</v>
      </c>
      <c r="N17" s="3">
        <f>90296.37+2393.36</f>
        <v>92689.73</v>
      </c>
      <c r="O17" s="3">
        <v>113737.72</v>
      </c>
      <c r="P17" s="5">
        <f t="shared" si="3"/>
        <v>206427.45</v>
      </c>
      <c r="Q17" s="40"/>
      <c r="R17" s="40"/>
      <c r="S17" s="40"/>
      <c r="T17" s="40"/>
      <c r="U17" s="6">
        <f>145000-61427</f>
        <v>83573</v>
      </c>
      <c r="V17" s="6">
        <f>K17</f>
        <v>145000</v>
      </c>
      <c r="W17" s="62">
        <f>K17</f>
        <v>145000</v>
      </c>
      <c r="X17" s="6">
        <f>K17</f>
        <v>145000</v>
      </c>
      <c r="Y17" s="6">
        <f>K17</f>
        <v>145000</v>
      </c>
      <c r="Z17" s="6">
        <f>K17</f>
        <v>145000</v>
      </c>
      <c r="AA17" s="96">
        <f>K17</f>
        <v>145000</v>
      </c>
      <c r="AB17" s="96">
        <f>K17</f>
        <v>145000</v>
      </c>
      <c r="AC17" s="41">
        <f t="shared" si="0"/>
        <v>83573</v>
      </c>
      <c r="AD17" s="174">
        <v>1050</v>
      </c>
      <c r="AE17" s="15">
        <f t="shared" si="1"/>
        <v>290000</v>
      </c>
      <c r="AF17" s="42">
        <f>P17-AE17</f>
        <v>-83572.549999999988</v>
      </c>
      <c r="AG17" s="42"/>
      <c r="AH17" s="42"/>
      <c r="AI17" s="42"/>
      <c r="AJ17" s="15">
        <f>SUM(AC15:AC25)</f>
        <v>4275683.2775000008</v>
      </c>
    </row>
    <row r="18" spans="1:36" s="7" customFormat="1" ht="40.5" customHeight="1">
      <c r="A18" s="78" t="s">
        <v>228</v>
      </c>
      <c r="B18" s="85" t="s">
        <v>97</v>
      </c>
      <c r="C18" s="85">
        <v>1</v>
      </c>
      <c r="D18" s="63" t="s">
        <v>229</v>
      </c>
      <c r="E18" s="63" t="s">
        <v>230</v>
      </c>
      <c r="F18" s="73" t="s">
        <v>231</v>
      </c>
      <c r="G18" s="60">
        <v>46097</v>
      </c>
      <c r="H18" s="55" t="str">
        <f t="shared" ca="1" si="2"/>
        <v>NO PRAZO</v>
      </c>
      <c r="I18" s="33" t="s">
        <v>232</v>
      </c>
      <c r="J18" s="73" t="s">
        <v>233</v>
      </c>
      <c r="K18" s="6"/>
      <c r="L18" s="37">
        <v>458615.91</v>
      </c>
      <c r="M18" s="38">
        <f>L18*12</f>
        <v>5503390.9199999999</v>
      </c>
      <c r="N18" s="3">
        <v>413328.12</v>
      </c>
      <c r="O18" s="3">
        <v>45809.43</v>
      </c>
      <c r="P18" s="5">
        <f t="shared" si="3"/>
        <v>459137.55</v>
      </c>
      <c r="Q18" s="40"/>
      <c r="R18" s="6"/>
      <c r="S18" s="6">
        <f>L18-O18</f>
        <v>412806.48</v>
      </c>
      <c r="T18" s="40"/>
      <c r="U18" s="6">
        <f>L18-521.64</f>
        <v>458094.26999999996</v>
      </c>
      <c r="V18" s="6">
        <f>L18</f>
        <v>458615.91</v>
      </c>
      <c r="W18" s="6">
        <f>L18</f>
        <v>458615.91</v>
      </c>
      <c r="X18" s="6">
        <f>L18</f>
        <v>458615.91</v>
      </c>
      <c r="Y18" s="6">
        <f>L18</f>
        <v>458615.91</v>
      </c>
      <c r="Z18" s="6">
        <f>L18</f>
        <v>458615.91</v>
      </c>
      <c r="AA18" s="6">
        <f>L18</f>
        <v>458615.91</v>
      </c>
      <c r="AB18" s="6">
        <f>L18</f>
        <v>458615.91</v>
      </c>
      <c r="AC18" s="41">
        <f t="shared" si="0"/>
        <v>458094.26999999996</v>
      </c>
      <c r="AD18" s="174">
        <v>1050</v>
      </c>
      <c r="AE18" s="15">
        <f t="shared" si="1"/>
        <v>917231.82</v>
      </c>
      <c r="AF18" s="42">
        <f>P18-AE18</f>
        <v>-458094.26999999996</v>
      </c>
      <c r="AG18" s="42"/>
      <c r="AH18" s="42">
        <f t="shared" ref="AH18:AH25" si="15">(SUM(K18:L18)*2)-P18</f>
        <v>458094.26999999996</v>
      </c>
      <c r="AI18" s="42"/>
      <c r="AJ18" s="7">
        <v>5798525.8899999997</v>
      </c>
    </row>
    <row r="19" spans="1:36" s="7" customFormat="1" ht="41.25" customHeight="1">
      <c r="A19" s="78" t="s">
        <v>242</v>
      </c>
      <c r="B19" s="85" t="s">
        <v>34</v>
      </c>
      <c r="C19" s="113">
        <v>1</v>
      </c>
      <c r="D19" s="63" t="s">
        <v>191</v>
      </c>
      <c r="E19" s="63" t="s">
        <v>244</v>
      </c>
      <c r="F19" s="73" t="s">
        <v>245</v>
      </c>
      <c r="G19" s="60">
        <v>45889</v>
      </c>
      <c r="H19" s="55" t="str">
        <f t="shared" ca="1" si="2"/>
        <v>EXPIRADO</v>
      </c>
      <c r="I19" s="33"/>
      <c r="J19" s="73" t="s">
        <v>246</v>
      </c>
      <c r="K19" s="6"/>
      <c r="L19" s="72">
        <f>M19/12</f>
        <v>5331.32</v>
      </c>
      <c r="M19" s="6">
        <v>63975.839999999997</v>
      </c>
      <c r="N19" s="3">
        <v>4688.29</v>
      </c>
      <c r="O19" s="3">
        <v>0</v>
      </c>
      <c r="P19" s="5">
        <f t="shared" si="3"/>
        <v>4688.29</v>
      </c>
      <c r="Q19" s="40"/>
      <c r="R19" s="40"/>
      <c r="S19" s="6">
        <f>L19-P19</f>
        <v>643.02999999999975</v>
      </c>
      <c r="T19" s="6">
        <f>L19-4688</f>
        <v>643.31999999999971</v>
      </c>
      <c r="U19" s="6">
        <f>L19</f>
        <v>5331.32</v>
      </c>
      <c r="V19" s="62">
        <f>L19</f>
        <v>5331.32</v>
      </c>
      <c r="W19" s="62">
        <f>L19</f>
        <v>5331.32</v>
      </c>
      <c r="X19" s="57">
        <f>L19</f>
        <v>5331.32</v>
      </c>
      <c r="Y19" s="6">
        <f>L19</f>
        <v>5331.32</v>
      </c>
      <c r="Z19" s="6">
        <f>L19</f>
        <v>5331.32</v>
      </c>
      <c r="AA19" s="6">
        <f>L19</f>
        <v>5331.32</v>
      </c>
      <c r="AB19" s="6">
        <f>L19</f>
        <v>5331.32</v>
      </c>
      <c r="AC19" s="41">
        <f t="shared" si="0"/>
        <v>5974.6399999999994</v>
      </c>
      <c r="AD19" s="174">
        <v>1050</v>
      </c>
      <c r="AE19" s="15">
        <f t="shared" si="1"/>
        <v>10662.64</v>
      </c>
      <c r="AF19" s="42"/>
      <c r="AG19" s="42">
        <v>-643.349999999999</v>
      </c>
      <c r="AH19" s="42">
        <f t="shared" si="15"/>
        <v>5974.3499999999995</v>
      </c>
      <c r="AI19" s="42"/>
      <c r="AJ19" s="15">
        <f>AJ13-AJ18</f>
        <v>301474.11000000034</v>
      </c>
    </row>
    <row r="20" spans="1:36" s="7" customFormat="1" ht="38.25" customHeight="1">
      <c r="A20" s="83" t="s">
        <v>247</v>
      </c>
      <c r="B20" s="85" t="s">
        <v>34</v>
      </c>
      <c r="C20" s="113">
        <v>1</v>
      </c>
      <c r="D20" s="86" t="s">
        <v>196</v>
      </c>
      <c r="E20" s="63" t="s">
        <v>248</v>
      </c>
      <c r="F20" s="73" t="s">
        <v>249</v>
      </c>
      <c r="G20" s="60">
        <v>45938</v>
      </c>
      <c r="H20" s="55" t="str">
        <f t="shared" ca="1" si="2"/>
        <v>EXPIRADO</v>
      </c>
      <c r="I20" s="33"/>
      <c r="J20" s="73" t="s">
        <v>250</v>
      </c>
      <c r="K20" s="6"/>
      <c r="L20" s="72">
        <v>23452.22</v>
      </c>
      <c r="M20" s="6">
        <f>L20*12</f>
        <v>281426.64</v>
      </c>
      <c r="N20" s="114">
        <v>23452.22</v>
      </c>
      <c r="O20" s="3">
        <v>0</v>
      </c>
      <c r="P20" s="5">
        <f t="shared" si="3"/>
        <v>23452.22</v>
      </c>
      <c r="Q20" s="46"/>
      <c r="R20" s="6"/>
      <c r="S20" s="40"/>
      <c r="T20" s="40"/>
      <c r="U20" s="6">
        <f>L20</f>
        <v>23452.22</v>
      </c>
      <c r="V20" s="62">
        <f>L20</f>
        <v>23452.22</v>
      </c>
      <c r="W20" s="62">
        <f>L20</f>
        <v>23452.22</v>
      </c>
      <c r="X20" s="6">
        <f>L20</f>
        <v>23452.22</v>
      </c>
      <c r="Y20" s="6">
        <f>L20</f>
        <v>23452.22</v>
      </c>
      <c r="Z20" s="57">
        <f>L20</f>
        <v>23452.22</v>
      </c>
      <c r="AA20" s="6">
        <f>L20</f>
        <v>23452.22</v>
      </c>
      <c r="AB20" s="6">
        <f>L20</f>
        <v>23452.22</v>
      </c>
      <c r="AC20" s="41">
        <f t="shared" si="0"/>
        <v>23452.22</v>
      </c>
      <c r="AD20" s="174">
        <v>1050</v>
      </c>
      <c r="AE20" s="15">
        <f t="shared" si="1"/>
        <v>46904.44</v>
      </c>
      <c r="AF20" s="42"/>
      <c r="AG20" s="42">
        <v>-46904.36</v>
      </c>
      <c r="AH20" s="42">
        <f t="shared" si="15"/>
        <v>23452.22</v>
      </c>
      <c r="AI20" s="42"/>
    </row>
    <row r="21" spans="1:36" s="7" customFormat="1" ht="75">
      <c r="A21" s="78" t="s">
        <v>405</v>
      </c>
      <c r="B21" s="68" t="s">
        <v>316</v>
      </c>
      <c r="C21" s="68">
        <v>2</v>
      </c>
      <c r="D21" s="33" t="s">
        <v>322</v>
      </c>
      <c r="E21" s="33"/>
      <c r="F21" s="33" t="s">
        <v>323</v>
      </c>
      <c r="G21" s="33" t="s">
        <v>324</v>
      </c>
      <c r="H21" s="55"/>
      <c r="I21" s="55"/>
      <c r="J21" s="71"/>
      <c r="K21" s="131">
        <v>285000</v>
      </c>
      <c r="L21" s="72"/>
      <c r="M21" s="6">
        <f>K21*12</f>
        <v>3420000</v>
      </c>
      <c r="N21" s="3">
        <f>61992.46+508007.54</f>
        <v>570000</v>
      </c>
      <c r="O21" s="3">
        <v>0</v>
      </c>
      <c r="P21" s="5">
        <f t="shared" si="3"/>
        <v>570000</v>
      </c>
      <c r="Q21" s="46"/>
      <c r="R21" s="131"/>
      <c r="S21" s="40"/>
      <c r="T21" s="46"/>
      <c r="U21" s="46"/>
      <c r="V21" s="131">
        <v>285000</v>
      </c>
      <c r="W21" s="131">
        <v>285000</v>
      </c>
      <c r="X21" s="131">
        <v>285000</v>
      </c>
      <c r="Y21" s="131">
        <v>285000</v>
      </c>
      <c r="Z21" s="131">
        <v>285000</v>
      </c>
      <c r="AA21" s="131">
        <v>285000</v>
      </c>
      <c r="AB21" s="131">
        <v>285000</v>
      </c>
      <c r="AC21" s="41">
        <v>50000</v>
      </c>
      <c r="AD21" s="174">
        <v>1050</v>
      </c>
      <c r="AE21" s="132"/>
      <c r="AF21" s="42"/>
      <c r="AG21" s="42"/>
      <c r="AH21" s="42">
        <f t="shared" si="15"/>
        <v>0</v>
      </c>
      <c r="AI21" s="42"/>
      <c r="AJ21" s="15" t="e">
        <f>AJ17+AC34+AC46</f>
        <v>#REF!</v>
      </c>
    </row>
    <row r="22" spans="1:36" s="7" customFormat="1" ht="60">
      <c r="A22" s="78" t="s">
        <v>408</v>
      </c>
      <c r="B22" s="68" t="s">
        <v>316</v>
      </c>
      <c r="C22" s="68">
        <v>2</v>
      </c>
      <c r="D22" s="33" t="s">
        <v>322</v>
      </c>
      <c r="E22" s="33"/>
      <c r="F22" s="134" t="s">
        <v>326</v>
      </c>
      <c r="G22" s="33" t="s">
        <v>327</v>
      </c>
      <c r="H22" s="55"/>
      <c r="I22" s="55"/>
      <c r="J22" s="71"/>
      <c r="K22" s="131">
        <v>28500</v>
      </c>
      <c r="L22" s="72"/>
      <c r="M22" s="6">
        <f>K22*12</f>
        <v>342000</v>
      </c>
      <c r="N22" s="3">
        <v>32106.5</v>
      </c>
      <c r="O22" s="3">
        <v>0</v>
      </c>
      <c r="P22" s="5">
        <f t="shared" si="3"/>
        <v>32106.5</v>
      </c>
      <c r="Q22" s="46"/>
      <c r="R22" s="131"/>
      <c r="S22" s="40"/>
      <c r="T22" s="46"/>
      <c r="U22" s="131">
        <f>28500-3607</f>
        <v>24893</v>
      </c>
      <c r="V22" s="131">
        <v>28500</v>
      </c>
      <c r="W22" s="131">
        <v>28500</v>
      </c>
      <c r="X22" s="131">
        <v>28500</v>
      </c>
      <c r="Y22" s="131">
        <v>28500</v>
      </c>
      <c r="Z22" s="131">
        <v>28500</v>
      </c>
      <c r="AA22" s="131">
        <v>28500</v>
      </c>
      <c r="AB22" s="131">
        <v>28500</v>
      </c>
      <c r="AC22" s="41">
        <f>T22+U22</f>
        <v>24893</v>
      </c>
      <c r="AD22" s="174">
        <v>1050</v>
      </c>
      <c r="AE22" s="132"/>
      <c r="AF22" s="42"/>
      <c r="AG22" s="42"/>
      <c r="AH22" s="42">
        <f t="shared" si="15"/>
        <v>24893.5</v>
      </c>
      <c r="AI22" s="42"/>
      <c r="AJ22" s="15">
        <v>12244660.119999999</v>
      </c>
    </row>
    <row r="23" spans="1:36" s="7" customFormat="1" ht="60">
      <c r="A23" s="78" t="s">
        <v>419</v>
      </c>
      <c r="B23" s="68" t="s">
        <v>316</v>
      </c>
      <c r="C23" s="68">
        <v>2</v>
      </c>
      <c r="D23" s="33" t="s">
        <v>322</v>
      </c>
      <c r="E23" s="33"/>
      <c r="F23" s="134" t="s">
        <v>329</v>
      </c>
      <c r="G23" s="33" t="s">
        <v>330</v>
      </c>
      <c r="H23" s="55"/>
      <c r="I23" s="55"/>
      <c r="J23" s="71"/>
      <c r="K23" s="131">
        <v>17500</v>
      </c>
      <c r="L23" s="72"/>
      <c r="M23" s="6">
        <f>K23*12</f>
        <v>210000</v>
      </c>
      <c r="N23" s="3">
        <v>22573.93</v>
      </c>
      <c r="O23" s="3">
        <v>5053.5600000000004</v>
      </c>
      <c r="P23" s="5">
        <f t="shared" si="3"/>
        <v>27627.49</v>
      </c>
      <c r="Q23" s="46"/>
      <c r="R23" s="131"/>
      <c r="S23" s="40"/>
      <c r="T23" s="46"/>
      <c r="U23" s="131">
        <f>17500-10127</f>
        <v>7373</v>
      </c>
      <c r="V23" s="131">
        <v>17500</v>
      </c>
      <c r="W23" s="131">
        <v>17500</v>
      </c>
      <c r="X23" s="131">
        <v>17500</v>
      </c>
      <c r="Y23" s="131">
        <v>17500</v>
      </c>
      <c r="Z23" s="131">
        <v>17500</v>
      </c>
      <c r="AA23" s="131">
        <v>17500</v>
      </c>
      <c r="AB23" s="131">
        <v>17500</v>
      </c>
      <c r="AC23" s="41">
        <f>T23+U23</f>
        <v>7373</v>
      </c>
      <c r="AD23" s="174">
        <v>1050</v>
      </c>
      <c r="AE23" s="132"/>
      <c r="AF23" s="42"/>
      <c r="AG23" s="42"/>
      <c r="AH23" s="42">
        <f t="shared" si="15"/>
        <v>7372.5099999999984</v>
      </c>
      <c r="AI23" s="42"/>
      <c r="AJ23" s="15" t="e">
        <f>AJ22-AJ21</f>
        <v>#REF!</v>
      </c>
    </row>
    <row r="24" spans="1:36" s="7" customFormat="1" ht="27" customHeight="1">
      <c r="A24" s="141" t="s">
        <v>403</v>
      </c>
      <c r="B24" s="68" t="s">
        <v>316</v>
      </c>
      <c r="C24" s="68">
        <v>1</v>
      </c>
      <c r="D24" s="69" t="s">
        <v>359</v>
      </c>
      <c r="E24" s="69" t="s">
        <v>244</v>
      </c>
      <c r="F24" s="73" t="s">
        <v>360</v>
      </c>
      <c r="G24" s="99">
        <v>45844</v>
      </c>
      <c r="H24" s="55" t="str">
        <f ca="1">IF((G24-TODAY())&lt;0,"EXPIRADO", IF((G24-TODAY())&lt;=60,"EM BREVE","NO PRAZO"))</f>
        <v>EXPIRADO</v>
      </c>
      <c r="I24" s="55"/>
      <c r="J24" s="76" t="s">
        <v>361</v>
      </c>
      <c r="K24" s="6"/>
      <c r="L24" s="72">
        <f>M24/12</f>
        <v>5039.3474999999999</v>
      </c>
      <c r="M24" s="6">
        <v>60472.17</v>
      </c>
      <c r="N24" s="3">
        <v>5205.7299999999996</v>
      </c>
      <c r="O24" s="3">
        <v>0</v>
      </c>
      <c r="P24" s="5">
        <f t="shared" si="3"/>
        <v>5205.7299999999996</v>
      </c>
      <c r="Q24" s="6"/>
      <c r="R24" s="6"/>
      <c r="S24" s="40"/>
      <c r="T24" s="40"/>
      <c r="U24" s="6">
        <f>L24-166.38</f>
        <v>4872.9674999999997</v>
      </c>
      <c r="V24" s="62">
        <f>L24</f>
        <v>5039.3474999999999</v>
      </c>
      <c r="W24" s="95">
        <f>L24</f>
        <v>5039.3474999999999</v>
      </c>
      <c r="X24" s="62">
        <f>L24</f>
        <v>5039.3474999999999</v>
      </c>
      <c r="Y24" s="62">
        <f>L24</f>
        <v>5039.3474999999999</v>
      </c>
      <c r="Z24" s="6">
        <f>L24</f>
        <v>5039.3474999999999</v>
      </c>
      <c r="AA24" s="6">
        <f>L24</f>
        <v>5039.3474999999999</v>
      </c>
      <c r="AB24" s="6">
        <f>L24</f>
        <v>5039.3474999999999</v>
      </c>
      <c r="AC24" s="41">
        <f>T24+U24</f>
        <v>4872.9674999999997</v>
      </c>
      <c r="AD24" s="174">
        <v>1050</v>
      </c>
      <c r="AE24" s="15">
        <f>L24*2</f>
        <v>10078.695</v>
      </c>
      <c r="AF24" s="42"/>
      <c r="AG24" s="42"/>
      <c r="AH24" s="42">
        <f t="shared" si="15"/>
        <v>4872.9650000000001</v>
      </c>
      <c r="AI24" s="42"/>
    </row>
    <row r="25" spans="1:36" s="7" customFormat="1" ht="14.25" customHeight="1">
      <c r="A25" s="143" t="s">
        <v>376</v>
      </c>
      <c r="B25" s="176" t="s">
        <v>371</v>
      </c>
      <c r="C25" s="68">
        <v>2</v>
      </c>
      <c r="D25" s="43" t="s">
        <v>377</v>
      </c>
      <c r="E25" s="43"/>
      <c r="F25" s="33" t="s">
        <v>378</v>
      </c>
      <c r="G25" s="54">
        <v>46001</v>
      </c>
      <c r="H25" s="55" t="str">
        <f ca="1">IF((G25-TODAY())&lt;0,"EXPIRADO", IF((G25-TODAY())&lt;=60,"EM BREVE","NO PRAZO"))</f>
        <v>EM BREVE</v>
      </c>
      <c r="I25" s="55"/>
      <c r="J25" s="33" t="s">
        <v>379</v>
      </c>
      <c r="K25" s="6">
        <v>2000</v>
      </c>
      <c r="L25" s="72"/>
      <c r="M25" s="6">
        <f>K25*12</f>
        <v>24000</v>
      </c>
      <c r="N25" s="3">
        <v>531.84</v>
      </c>
      <c r="O25" s="3">
        <v>1774.72</v>
      </c>
      <c r="P25" s="5">
        <f t="shared" si="3"/>
        <v>2306.56</v>
      </c>
      <c r="Q25" s="46"/>
      <c r="R25" s="40"/>
      <c r="S25" s="40"/>
      <c r="T25" s="40"/>
      <c r="U25" s="6">
        <f>K25-307</f>
        <v>1693</v>
      </c>
      <c r="V25" s="6">
        <f>K25</f>
        <v>2000</v>
      </c>
      <c r="W25" s="6">
        <f>K25</f>
        <v>2000</v>
      </c>
      <c r="X25" s="6">
        <f>K25</f>
        <v>2000</v>
      </c>
      <c r="Y25" s="6">
        <f>K25</f>
        <v>2000</v>
      </c>
      <c r="Z25" s="6">
        <f>K25</f>
        <v>2000</v>
      </c>
      <c r="AA25" s="6">
        <f>K25</f>
        <v>2000</v>
      </c>
      <c r="AB25" s="57">
        <f>K25</f>
        <v>2000</v>
      </c>
      <c r="AC25" s="41">
        <f>T25+U25</f>
        <v>1693</v>
      </c>
      <c r="AD25" s="174">
        <v>1050</v>
      </c>
      <c r="AE25" s="15">
        <f>K25*2</f>
        <v>4000</v>
      </c>
      <c r="AF25" s="42">
        <f>P25-AE25</f>
        <v>-1693.44</v>
      </c>
      <c r="AG25" s="42"/>
      <c r="AH25" s="42">
        <f t="shared" si="15"/>
        <v>1693.44</v>
      </c>
      <c r="AI25" s="42"/>
    </row>
    <row r="26" spans="1:36" s="7" customFormat="1">
      <c r="A26" s="161" t="s">
        <v>401</v>
      </c>
      <c r="B26" s="161"/>
      <c r="C26" s="162"/>
      <c r="D26" s="161"/>
      <c r="E26" s="161"/>
      <c r="F26" s="162"/>
      <c r="G26" s="161"/>
      <c r="H26" s="161"/>
      <c r="I26" s="161"/>
      <c r="J26" s="161"/>
      <c r="K26" s="163">
        <f t="shared" ref="K26:AC26" si="16">SUM(K4:K25)</f>
        <v>1588095</v>
      </c>
      <c r="L26" s="177">
        <f t="shared" si="16"/>
        <v>4674052.4575000005</v>
      </c>
      <c r="M26" s="163">
        <f t="shared" si="16"/>
        <v>75145769.49000001</v>
      </c>
      <c r="N26" s="163">
        <f t="shared" si="16"/>
        <v>2402656.0700000003</v>
      </c>
      <c r="O26" s="163">
        <f t="shared" si="16"/>
        <v>368581.92999999993</v>
      </c>
      <c r="P26" s="163">
        <f t="shared" si="16"/>
        <v>2589380.6900000004</v>
      </c>
      <c r="Q26" s="163">
        <f t="shared" si="16"/>
        <v>0</v>
      </c>
      <c r="R26" s="163">
        <f t="shared" si="16"/>
        <v>0</v>
      </c>
      <c r="S26" s="163">
        <f t="shared" si="16"/>
        <v>659683.18999999994</v>
      </c>
      <c r="T26" s="163">
        <f t="shared" si="16"/>
        <v>4074562.82</v>
      </c>
      <c r="U26" s="163">
        <f t="shared" si="16"/>
        <v>5860291.5074999994</v>
      </c>
      <c r="V26" s="163">
        <f t="shared" si="16"/>
        <v>6262147.4575000005</v>
      </c>
      <c r="W26" s="163">
        <f t="shared" si="16"/>
        <v>6262147.4575000005</v>
      </c>
      <c r="X26" s="163">
        <f t="shared" si="16"/>
        <v>6262147.4575000005</v>
      </c>
      <c r="Y26" s="163">
        <f t="shared" si="16"/>
        <v>6262147.4575000005</v>
      </c>
      <c r="Z26" s="163">
        <f t="shared" si="16"/>
        <v>6262147.4575000005</v>
      </c>
      <c r="AA26" s="163">
        <f t="shared" si="16"/>
        <v>6262147.4575000005</v>
      </c>
      <c r="AB26" s="163">
        <f t="shared" si="16"/>
        <v>6262147.4575000005</v>
      </c>
      <c r="AC26" s="164">
        <f t="shared" si="16"/>
        <v>9984854.3275000006</v>
      </c>
      <c r="AD26" s="161"/>
      <c r="AE26" s="158">
        <f>SUM(AE4:AE25)</f>
        <v>11862294.915000001</v>
      </c>
      <c r="AF26" s="158">
        <f>SUM(AF4:AF25)</f>
        <v>-2527970.56</v>
      </c>
      <c r="AG26" s="158">
        <f>SUM(AG4:AG25)</f>
        <v>-7363473.2700000005</v>
      </c>
      <c r="AH26" s="160">
        <f>SUM(AH4:AH25)</f>
        <v>6197194.1649999991</v>
      </c>
      <c r="AI26" s="42"/>
    </row>
    <row r="27" spans="1:36" s="7" customFormat="1">
      <c r="A27" s="150"/>
      <c r="B27" s="150"/>
      <c r="C27" s="151"/>
      <c r="D27" s="150"/>
      <c r="E27" s="150"/>
      <c r="F27" s="151"/>
      <c r="G27" s="150"/>
      <c r="H27" s="150"/>
      <c r="I27" s="150"/>
      <c r="J27" s="150"/>
      <c r="K27" s="152"/>
      <c r="L27" s="153"/>
      <c r="M27" s="152"/>
      <c r="N27" s="152"/>
      <c r="O27" s="150"/>
      <c r="P27" s="154"/>
      <c r="S27" s="11"/>
      <c r="T27" s="11"/>
      <c r="U27" s="11"/>
      <c r="V27" s="11"/>
      <c r="W27" s="12"/>
      <c r="X27" s="11"/>
      <c r="Y27" s="11"/>
      <c r="Z27" s="11"/>
      <c r="AA27" s="11"/>
      <c r="AB27" s="11"/>
      <c r="AC27" s="13"/>
      <c r="AD27" s="14"/>
      <c r="AE27" s="15"/>
      <c r="AF27" s="15"/>
    </row>
    <row r="28" spans="1:36" s="7" customFormat="1">
      <c r="C28" s="8"/>
      <c r="D28" s="8"/>
      <c r="E28" s="8"/>
      <c r="F28" s="8"/>
      <c r="G28" s="8"/>
      <c r="H28" s="8"/>
      <c r="I28" s="8"/>
      <c r="J28" s="8"/>
      <c r="K28" s="9"/>
      <c r="L28" s="10"/>
      <c r="M28" s="9"/>
      <c r="N28" s="9"/>
      <c r="O28" s="15"/>
      <c r="S28" s="11"/>
      <c r="T28" s="11"/>
      <c r="U28" s="11"/>
      <c r="V28" s="11"/>
      <c r="W28" s="12"/>
      <c r="X28" s="11"/>
      <c r="Y28" s="11"/>
      <c r="Z28" s="11"/>
      <c r="AA28" s="11"/>
      <c r="AB28" s="11"/>
      <c r="AC28" s="13"/>
      <c r="AD28" s="14"/>
      <c r="AE28" s="15"/>
      <c r="AF28" s="15"/>
      <c r="AG28" s="15" t="e">
        <f>#REF!</f>
        <v>#REF!</v>
      </c>
      <c r="AH28" s="15"/>
      <c r="AI28" s="15"/>
    </row>
    <row r="29" spans="1:36" s="7" customFormat="1">
      <c r="C29" s="8"/>
      <c r="D29" s="8"/>
      <c r="E29" s="8"/>
      <c r="F29" s="8"/>
      <c r="G29" s="8"/>
      <c r="H29" s="8"/>
      <c r="I29" s="8"/>
      <c r="J29" s="8"/>
      <c r="K29" s="9"/>
      <c r="L29" s="10"/>
      <c r="M29" s="9"/>
      <c r="N29" s="9"/>
      <c r="O29" s="15"/>
      <c r="S29" s="11"/>
      <c r="T29" s="11"/>
      <c r="U29" s="11"/>
      <c r="V29" s="11"/>
      <c r="W29" s="12"/>
      <c r="X29" s="11"/>
      <c r="Y29" s="11"/>
      <c r="Z29" s="11"/>
      <c r="AA29" s="11"/>
      <c r="AB29" s="11"/>
      <c r="AC29" s="13"/>
      <c r="AD29" s="14"/>
      <c r="AE29" s="15"/>
      <c r="AF29" s="15"/>
      <c r="AG29" s="15">
        <v>-6000000</v>
      </c>
      <c r="AH29" s="15"/>
      <c r="AI29" s="15"/>
    </row>
    <row r="30" spans="1:36" s="7" customFormat="1" ht="45">
      <c r="A30" s="2" t="s">
        <v>2</v>
      </c>
      <c r="B30" s="2" t="s">
        <v>3</v>
      </c>
      <c r="C30" s="2" t="s">
        <v>402</v>
      </c>
      <c r="D30" s="2" t="s">
        <v>4</v>
      </c>
      <c r="E30" s="2" t="s">
        <v>5</v>
      </c>
      <c r="F30" s="2" t="s">
        <v>6</v>
      </c>
      <c r="G30" s="2" t="s">
        <v>7</v>
      </c>
      <c r="H30" s="2" t="s">
        <v>8</v>
      </c>
      <c r="I30" s="2" t="s">
        <v>9</v>
      </c>
      <c r="J30" s="2" t="s">
        <v>10</v>
      </c>
      <c r="K30" s="2" t="s">
        <v>11</v>
      </c>
      <c r="L30" s="178" t="s">
        <v>12</v>
      </c>
      <c r="M30" s="179" t="s">
        <v>13</v>
      </c>
      <c r="N30" s="179" t="s">
        <v>14</v>
      </c>
      <c r="O30" s="179" t="s">
        <v>15</v>
      </c>
      <c r="P30" s="179" t="s">
        <v>16</v>
      </c>
      <c r="Q30" s="179">
        <v>45658</v>
      </c>
      <c r="R30" s="179">
        <v>45689</v>
      </c>
      <c r="S30" s="179">
        <v>45717</v>
      </c>
      <c r="T30" s="179">
        <v>45748</v>
      </c>
      <c r="U30" s="179">
        <v>45778</v>
      </c>
      <c r="V30" s="179">
        <v>45809</v>
      </c>
      <c r="W30" s="179">
        <v>45839</v>
      </c>
      <c r="X30" s="179">
        <v>45870</v>
      </c>
      <c r="Y30" s="179">
        <v>45901</v>
      </c>
      <c r="Z30" s="179">
        <v>45931</v>
      </c>
      <c r="AA30" s="179">
        <v>45962</v>
      </c>
      <c r="AB30" s="179">
        <v>45992</v>
      </c>
      <c r="AC30" s="179" t="s">
        <v>17</v>
      </c>
      <c r="AD30" s="14"/>
      <c r="AE30" s="15"/>
      <c r="AF30" s="15"/>
      <c r="AG30" s="15">
        <v>-1280820.8600000001</v>
      </c>
      <c r="AH30" s="15"/>
      <c r="AI30" s="15"/>
    </row>
    <row r="31" spans="1:36" s="7" customFormat="1" ht="30">
      <c r="A31" s="82" t="s">
        <v>116</v>
      </c>
      <c r="B31" s="68" t="s">
        <v>103</v>
      </c>
      <c r="C31" s="135"/>
      <c r="D31" s="43" t="s">
        <v>117</v>
      </c>
      <c r="E31" s="43" t="s">
        <v>118</v>
      </c>
      <c r="F31" s="135"/>
      <c r="G31" s="135"/>
      <c r="H31" s="135"/>
      <c r="I31" s="135"/>
      <c r="J31" s="135"/>
      <c r="K31" s="74"/>
      <c r="L31" s="128"/>
      <c r="M31" s="74"/>
      <c r="N31" s="74"/>
      <c r="O31" s="41"/>
      <c r="P31" s="71"/>
      <c r="Q31" s="71"/>
      <c r="R31" s="71"/>
      <c r="S31" s="62"/>
      <c r="T31" s="62"/>
      <c r="U31" s="62"/>
      <c r="V31" s="62"/>
      <c r="W31" s="180"/>
      <c r="X31" s="62"/>
      <c r="Y31" s="62"/>
      <c r="Z31" s="62"/>
      <c r="AA31" s="62"/>
      <c r="AB31" s="62"/>
      <c r="AC31" s="181">
        <v>14882</v>
      </c>
      <c r="AD31" s="14"/>
      <c r="AE31" s="15"/>
      <c r="AF31" s="15"/>
      <c r="AH31" s="15"/>
      <c r="AI31" s="15"/>
    </row>
    <row r="32" spans="1:36" s="7" customFormat="1" ht="30">
      <c r="A32" s="78" t="s">
        <v>122</v>
      </c>
      <c r="B32" s="68" t="s">
        <v>103</v>
      </c>
      <c r="C32" s="135"/>
      <c r="D32" s="43" t="s">
        <v>123</v>
      </c>
      <c r="E32" s="43" t="s">
        <v>124</v>
      </c>
      <c r="F32" s="135"/>
      <c r="G32" s="135"/>
      <c r="H32" s="135"/>
      <c r="I32" s="135"/>
      <c r="J32" s="135"/>
      <c r="K32" s="74"/>
      <c r="L32" s="128"/>
      <c r="M32" s="74"/>
      <c r="N32" s="74"/>
      <c r="O32" s="41"/>
      <c r="P32" s="71"/>
      <c r="Q32" s="71"/>
      <c r="R32" s="71"/>
      <c r="S32" s="62"/>
      <c r="T32" s="62"/>
      <c r="U32" s="62"/>
      <c r="V32" s="62"/>
      <c r="W32" s="180"/>
      <c r="X32" s="62"/>
      <c r="Y32" s="62"/>
      <c r="Z32" s="62"/>
      <c r="AA32" s="62"/>
      <c r="AB32" s="62"/>
      <c r="AC32" s="181">
        <v>568003.42000000004</v>
      </c>
      <c r="AD32" s="14"/>
      <c r="AE32" s="15"/>
      <c r="AF32" s="15"/>
      <c r="AG32" s="15" t="e">
        <f>SUM(AG28:AG29)</f>
        <v>#REF!</v>
      </c>
      <c r="AH32" s="15"/>
      <c r="AI32" s="15"/>
    </row>
    <row r="33" spans="1:35" s="7" customFormat="1">
      <c r="A33" s="78" t="s">
        <v>136</v>
      </c>
      <c r="B33" s="85" t="s">
        <v>103</v>
      </c>
      <c r="C33" s="135"/>
      <c r="D33" s="86" t="s">
        <v>137</v>
      </c>
      <c r="E33" s="63" t="s">
        <v>138</v>
      </c>
      <c r="F33" s="135"/>
      <c r="G33" s="135"/>
      <c r="H33" s="135"/>
      <c r="I33" s="135"/>
      <c r="J33" s="135"/>
      <c r="K33" s="74"/>
      <c r="L33" s="128"/>
      <c r="M33" s="74"/>
      <c r="N33" s="74"/>
      <c r="O33" s="71"/>
      <c r="P33" s="71"/>
      <c r="Q33" s="71"/>
      <c r="R33" s="71"/>
      <c r="S33" s="62"/>
      <c r="T33" s="62"/>
      <c r="U33" s="62"/>
      <c r="V33" s="62"/>
      <c r="W33" s="180"/>
      <c r="X33" s="62"/>
      <c r="Y33" s="62"/>
      <c r="Z33" s="62"/>
      <c r="AA33" s="62"/>
      <c r="AB33" s="62"/>
      <c r="AC33" s="181">
        <v>5836</v>
      </c>
      <c r="AD33" s="14"/>
      <c r="AE33" s="15"/>
      <c r="AF33" s="15"/>
      <c r="AG33" s="15" t="e">
        <f>AG32+#REF!</f>
        <v>#REF!</v>
      </c>
    </row>
    <row r="34" spans="1:35" ht="15" customHeight="1">
      <c r="A34" s="200" t="s">
        <v>401</v>
      </c>
      <c r="B34" s="200"/>
      <c r="C34" s="200"/>
      <c r="D34" s="200"/>
      <c r="E34" s="200"/>
      <c r="F34" s="2" t="s">
        <v>6</v>
      </c>
      <c r="G34" s="2" t="s">
        <v>7</v>
      </c>
      <c r="H34" s="2" t="s">
        <v>8</v>
      </c>
      <c r="I34" s="2" t="s">
        <v>9</v>
      </c>
      <c r="J34" s="2"/>
      <c r="K34" s="2" t="s">
        <v>11</v>
      </c>
      <c r="L34" s="178" t="s">
        <v>12</v>
      </c>
      <c r="M34" s="179" t="s">
        <v>13</v>
      </c>
      <c r="N34" s="179" t="s">
        <v>14</v>
      </c>
      <c r="O34" s="179" t="s">
        <v>15</v>
      </c>
      <c r="P34" s="179" t="s">
        <v>16</v>
      </c>
      <c r="Q34" s="179">
        <v>45658</v>
      </c>
      <c r="R34" s="179">
        <v>45689</v>
      </c>
      <c r="S34" s="179">
        <v>45717</v>
      </c>
      <c r="T34" s="179">
        <v>45748</v>
      </c>
      <c r="U34" s="179">
        <v>45778</v>
      </c>
      <c r="V34" s="179">
        <v>45809</v>
      </c>
      <c r="W34" s="179">
        <v>45839</v>
      </c>
      <c r="X34" s="179">
        <v>45870</v>
      </c>
      <c r="Y34" s="179">
        <v>45901</v>
      </c>
      <c r="Z34" s="179">
        <v>45931</v>
      </c>
      <c r="AA34" s="179">
        <v>45962</v>
      </c>
      <c r="AB34" s="179">
        <v>45992</v>
      </c>
      <c r="AC34" s="182">
        <f>SUM(AC31:AC33)</f>
        <v>588721.42000000004</v>
      </c>
    </row>
    <row r="35" spans="1:35" s="7" customFormat="1">
      <c r="C35" s="8"/>
      <c r="D35" s="8"/>
      <c r="E35" s="8"/>
      <c r="F35" s="8"/>
      <c r="G35" s="8"/>
      <c r="H35" s="8"/>
      <c r="I35" s="8"/>
      <c r="J35" s="8"/>
      <c r="K35" s="9"/>
      <c r="L35" s="10"/>
      <c r="M35" s="9"/>
      <c r="N35" s="9"/>
      <c r="S35" s="11"/>
      <c r="T35" s="11"/>
      <c r="U35" s="11"/>
      <c r="V35" s="11"/>
      <c r="W35" s="12"/>
      <c r="X35" s="11"/>
      <c r="Y35" s="11"/>
      <c r="Z35" s="11"/>
      <c r="AA35" s="11"/>
      <c r="AB35" s="11"/>
      <c r="AC35" s="13"/>
      <c r="AD35" s="14"/>
      <c r="AE35" s="15"/>
      <c r="AF35" s="15"/>
      <c r="AH35" s="15"/>
      <c r="AI35" s="15"/>
    </row>
    <row r="36" spans="1:35" s="7" customFormat="1" ht="45">
      <c r="A36" s="2" t="s">
        <v>2</v>
      </c>
      <c r="B36" s="2" t="s">
        <v>3</v>
      </c>
      <c r="C36" s="2" t="s">
        <v>402</v>
      </c>
      <c r="D36" s="2" t="s">
        <v>4</v>
      </c>
      <c r="E36" s="2" t="s">
        <v>5</v>
      </c>
      <c r="F36" s="2" t="s">
        <v>6</v>
      </c>
      <c r="G36" s="2" t="s">
        <v>7</v>
      </c>
      <c r="H36" s="2" t="s">
        <v>8</v>
      </c>
      <c r="I36" s="2" t="s">
        <v>9</v>
      </c>
      <c r="J36" s="2" t="s">
        <v>10</v>
      </c>
      <c r="K36" s="2" t="s">
        <v>11</v>
      </c>
      <c r="L36" s="178" t="s">
        <v>12</v>
      </c>
      <c r="M36" s="179" t="s">
        <v>13</v>
      </c>
      <c r="N36" s="179" t="s">
        <v>14</v>
      </c>
      <c r="O36" s="179" t="s">
        <v>15</v>
      </c>
      <c r="P36" s="179" t="s">
        <v>16</v>
      </c>
      <c r="Q36" s="179">
        <v>45658</v>
      </c>
      <c r="R36" s="179">
        <v>45689</v>
      </c>
      <c r="S36" s="179">
        <v>45717</v>
      </c>
      <c r="T36" s="179">
        <v>45748</v>
      </c>
      <c r="U36" s="179">
        <v>45778</v>
      </c>
      <c r="V36" s="179">
        <v>45809</v>
      </c>
      <c r="W36" s="179">
        <v>45839</v>
      </c>
      <c r="X36" s="179">
        <v>45870</v>
      </c>
      <c r="Y36" s="179">
        <v>45901</v>
      </c>
      <c r="Z36" s="179">
        <v>45931</v>
      </c>
      <c r="AA36" s="179">
        <v>45962</v>
      </c>
      <c r="AB36" s="179">
        <v>45992</v>
      </c>
      <c r="AC36" s="179" t="s">
        <v>17</v>
      </c>
      <c r="AD36" s="14"/>
      <c r="AE36" s="15"/>
      <c r="AF36" s="15"/>
      <c r="AH36" s="15"/>
      <c r="AI36" s="15"/>
    </row>
    <row r="37" spans="1:35" ht="35.25" customHeight="1">
      <c r="A37" s="115" t="s">
        <v>260</v>
      </c>
      <c r="B37" s="116" t="s">
        <v>261</v>
      </c>
      <c r="D37" s="117" t="s">
        <v>262</v>
      </c>
      <c r="E37" s="117" t="s">
        <v>416</v>
      </c>
      <c r="J37" s="118" t="s">
        <v>265</v>
      </c>
      <c r="AC37" s="183">
        <v>359669.2</v>
      </c>
    </row>
    <row r="38" spans="1:35" s="7" customFormat="1">
      <c r="A38" s="115" t="s">
        <v>266</v>
      </c>
      <c r="B38" s="116" t="s">
        <v>261</v>
      </c>
      <c r="C38" s="8"/>
      <c r="D38" s="117" t="s">
        <v>267</v>
      </c>
      <c r="E38" s="117" t="s">
        <v>268</v>
      </c>
      <c r="F38" s="8"/>
      <c r="G38" s="8"/>
      <c r="H38" s="8"/>
      <c r="I38" s="8"/>
      <c r="J38" s="118" t="s">
        <v>270</v>
      </c>
      <c r="K38" s="9"/>
      <c r="L38" s="10"/>
      <c r="M38" s="9"/>
      <c r="N38" s="9"/>
      <c r="S38" s="11"/>
      <c r="T38" s="11"/>
      <c r="U38" s="11"/>
      <c r="V38" s="11"/>
      <c r="W38" s="12"/>
      <c r="X38" s="11"/>
      <c r="Y38" s="11"/>
      <c r="Z38" s="11"/>
      <c r="AA38" s="11"/>
      <c r="AB38" s="11"/>
      <c r="AC38" s="41">
        <v>387647.54</v>
      </c>
      <c r="AD38" s="14"/>
      <c r="AE38" s="15"/>
      <c r="AF38" s="15"/>
      <c r="AH38" s="15"/>
      <c r="AI38" s="15"/>
    </row>
    <row r="39" spans="1:35" ht="45.75" customHeight="1">
      <c r="A39" s="143" t="s">
        <v>420</v>
      </c>
      <c r="B39" s="116" t="s">
        <v>261</v>
      </c>
      <c r="D39" s="117" t="s">
        <v>272</v>
      </c>
      <c r="E39" s="117" t="s">
        <v>273</v>
      </c>
      <c r="J39" s="55" t="s">
        <v>275</v>
      </c>
      <c r="AC39" s="41">
        <v>61167</v>
      </c>
    </row>
    <row r="40" spans="1:35" ht="15" customHeight="1">
      <c r="A40" s="125" t="s">
        <v>290</v>
      </c>
      <c r="B40" s="116" t="s">
        <v>261</v>
      </c>
      <c r="D40" s="117" t="s">
        <v>285</v>
      </c>
      <c r="E40" s="117" t="s">
        <v>291</v>
      </c>
      <c r="J40" s="33"/>
      <c r="AC40" s="41">
        <v>1638</v>
      </c>
    </row>
    <row r="41" spans="1:35" ht="15" customHeight="1">
      <c r="A41" s="125" t="s">
        <v>302</v>
      </c>
      <c r="B41" s="116" t="s">
        <v>261</v>
      </c>
      <c r="D41" s="117" t="s">
        <v>28</v>
      </c>
      <c r="E41" s="117" t="s">
        <v>303</v>
      </c>
      <c r="J41" s="33"/>
      <c r="AC41" s="41">
        <v>67257</v>
      </c>
    </row>
    <row r="42" spans="1:35" ht="15" customHeight="1">
      <c r="A42" s="125" t="s">
        <v>304</v>
      </c>
      <c r="B42" s="116" t="s">
        <v>261</v>
      </c>
      <c r="D42" s="117" t="s">
        <v>32</v>
      </c>
      <c r="E42" s="117" t="s">
        <v>305</v>
      </c>
      <c r="J42" s="33"/>
      <c r="AC42" s="41">
        <v>272700</v>
      </c>
    </row>
    <row r="43" spans="1:35" ht="15" customHeight="1">
      <c r="A43" s="125" t="s">
        <v>306</v>
      </c>
      <c r="B43" s="116" t="s">
        <v>261</v>
      </c>
      <c r="D43" s="117" t="s">
        <v>307</v>
      </c>
      <c r="E43" s="117"/>
      <c r="J43" s="33"/>
      <c r="AC43" s="41">
        <v>140000</v>
      </c>
    </row>
    <row r="44" spans="1:35" ht="30.75" customHeight="1">
      <c r="A44" s="67" t="s">
        <v>201</v>
      </c>
      <c r="B44" s="82" t="s">
        <v>97</v>
      </c>
      <c r="C44" s="85">
        <v>1</v>
      </c>
      <c r="D44" s="86" t="s">
        <v>202</v>
      </c>
      <c r="E44" s="63" t="s">
        <v>203</v>
      </c>
      <c r="F44" s="73" t="s">
        <v>204</v>
      </c>
      <c r="G44" s="60">
        <v>46020</v>
      </c>
      <c r="H44" s="55" t="str">
        <f ca="1">IF((G44-TODAY())&lt;0,"EXPIRADO", IF((G44-TODAY())&lt;=60,"EM BREVE","NO PRAZO"))</f>
        <v>EM BREVE</v>
      </c>
      <c r="I44" s="55"/>
      <c r="J44" s="73" t="s">
        <v>205</v>
      </c>
      <c r="K44" s="6"/>
      <c r="L44" s="72">
        <f>1205875.51+32423.44</f>
        <v>1238298.95</v>
      </c>
      <c r="M44" s="38">
        <f>L44*12</f>
        <v>14859587.399999999</v>
      </c>
      <c r="N44" s="3">
        <v>554.82000000000005</v>
      </c>
      <c r="O44" s="3">
        <v>0</v>
      </c>
      <c r="P44" s="5">
        <f>SUM(N44:O44)</f>
        <v>554.82000000000005</v>
      </c>
      <c r="Q44" s="40"/>
      <c r="R44" s="6"/>
      <c r="S44" s="6">
        <f>L44-O44</f>
        <v>1238298.95</v>
      </c>
      <c r="T44" s="6">
        <f>1238299-555</f>
        <v>1237744</v>
      </c>
      <c r="U44" s="6">
        <f>L44</f>
        <v>1238298.95</v>
      </c>
      <c r="V44" s="6">
        <f>L44</f>
        <v>1238298.95</v>
      </c>
      <c r="W44" s="6">
        <f>L44</f>
        <v>1238298.95</v>
      </c>
      <c r="X44" s="6">
        <f>L44</f>
        <v>1238298.95</v>
      </c>
      <c r="Y44" s="62">
        <f>L44</f>
        <v>1238298.95</v>
      </c>
      <c r="Z44" s="62">
        <f>L44</f>
        <v>1238298.95</v>
      </c>
      <c r="AA44" s="6">
        <f>L44</f>
        <v>1238298.95</v>
      </c>
      <c r="AB44" s="57">
        <f>L44</f>
        <v>1238298.95</v>
      </c>
      <c r="AC44" s="41">
        <f>T44+U44</f>
        <v>2476042.9500000002</v>
      </c>
      <c r="AE44" s="15">
        <f>SUM(K44:L44)*2</f>
        <v>2476597.9</v>
      </c>
      <c r="AF44" s="42"/>
      <c r="AG44" s="42">
        <f>P44-AE44</f>
        <v>-2476043.08</v>
      </c>
      <c r="AH44" s="42">
        <f>(SUM(K44:L44)*2)-P44</f>
        <v>2476043.08</v>
      </c>
      <c r="AI44" s="42"/>
    </row>
    <row r="45" spans="1:35" ht="33" customHeight="1">
      <c r="A45" s="78" t="s">
        <v>309</v>
      </c>
      <c r="B45" s="78" t="s">
        <v>310</v>
      </c>
      <c r="C45" s="68">
        <v>1</v>
      </c>
      <c r="D45" s="43" t="s">
        <v>311</v>
      </c>
      <c r="E45" s="43" t="s">
        <v>312</v>
      </c>
      <c r="F45" s="73" t="s">
        <v>313</v>
      </c>
      <c r="G45" s="127">
        <v>45909</v>
      </c>
      <c r="H45" s="55" t="str">
        <f ca="1">IF((G45-TODAY())&lt;0,"EXPIRADO", IF((G45-TODAY())&lt;=60,"EM BREVE","NO PRAZO"))</f>
        <v>EXPIRADO</v>
      </c>
      <c r="I45" s="33"/>
      <c r="J45" s="76" t="s">
        <v>314</v>
      </c>
      <c r="K45" s="6">
        <f>M45/12</f>
        <v>1500933.5674999999</v>
      </c>
      <c r="L45" s="128"/>
      <c r="M45" s="6">
        <v>18011202.809999999</v>
      </c>
      <c r="N45" s="3">
        <v>2013096.42</v>
      </c>
      <c r="O45" s="3">
        <v>0</v>
      </c>
      <c r="P45" s="5">
        <f>SUM(N45:O45)</f>
        <v>2013096.42</v>
      </c>
      <c r="Q45" s="6"/>
      <c r="R45" s="6"/>
      <c r="S45" s="40"/>
      <c r="T45" s="46"/>
      <c r="U45" s="62" t="e">
        <f>#REF!-512163</f>
        <v>#REF!</v>
      </c>
      <c r="V45" s="62" t="e">
        <f>#REF!</f>
        <v>#REF!</v>
      </c>
      <c r="W45" s="62" t="e">
        <f>#REF!</f>
        <v>#REF!</v>
      </c>
      <c r="X45" s="62" t="e">
        <f>#REF!</f>
        <v>#REF!</v>
      </c>
      <c r="Y45" s="95" t="e">
        <f>#REF!</f>
        <v>#REF!</v>
      </c>
      <c r="Z45" s="62" t="e">
        <f>#REF!</f>
        <v>#REF!</v>
      </c>
      <c r="AA45" s="6" t="e">
        <f>#REF!</f>
        <v>#REF!</v>
      </c>
      <c r="AB45" s="6" t="e">
        <f>#REF!</f>
        <v>#REF!</v>
      </c>
      <c r="AC45" s="41" t="e">
        <f>T45+U45</f>
        <v>#REF!</v>
      </c>
      <c r="AD45" s="129"/>
      <c r="AE45" s="15" t="e">
        <f>Z45+AA45</f>
        <v>#REF!</v>
      </c>
      <c r="AF45" s="42"/>
      <c r="AG45" s="42"/>
      <c r="AH45" s="42">
        <f>(SUM(K45:L45)*2)-P45</f>
        <v>988770.71499999985</v>
      </c>
      <c r="AI45" s="42"/>
    </row>
    <row r="46" spans="1:35" ht="15" customHeight="1">
      <c r="A46" s="200" t="s">
        <v>401</v>
      </c>
      <c r="B46" s="200"/>
      <c r="C46" s="200"/>
      <c r="D46" s="200"/>
      <c r="E46" s="200"/>
      <c r="F46" s="2" t="s">
        <v>6</v>
      </c>
      <c r="G46" s="2" t="s">
        <v>7</v>
      </c>
      <c r="H46" s="2" t="s">
        <v>8</v>
      </c>
      <c r="I46" s="2" t="s">
        <v>9</v>
      </c>
      <c r="J46" s="2"/>
      <c r="K46" s="2" t="s">
        <v>11</v>
      </c>
      <c r="L46" s="178" t="s">
        <v>12</v>
      </c>
      <c r="M46" s="179" t="s">
        <v>13</v>
      </c>
      <c r="N46" s="179" t="s">
        <v>14</v>
      </c>
      <c r="O46" s="179" t="s">
        <v>15</v>
      </c>
      <c r="P46" s="179" t="s">
        <v>16</v>
      </c>
      <c r="Q46" s="179">
        <v>45658</v>
      </c>
      <c r="R46" s="179">
        <v>45689</v>
      </c>
      <c r="S46" s="179">
        <v>45717</v>
      </c>
      <c r="T46" s="179">
        <v>45748</v>
      </c>
      <c r="U46" s="179">
        <v>45778</v>
      </c>
      <c r="V46" s="179">
        <v>45809</v>
      </c>
      <c r="W46" s="179">
        <v>45839</v>
      </c>
      <c r="X46" s="179">
        <v>45870</v>
      </c>
      <c r="Y46" s="179">
        <v>45901</v>
      </c>
      <c r="Z46" s="179">
        <v>45931</v>
      </c>
      <c r="AA46" s="179">
        <v>45962</v>
      </c>
      <c r="AB46" s="179">
        <v>45992</v>
      </c>
      <c r="AC46" s="182" t="e">
        <f>SUM(AC37:AC45)</f>
        <v>#REF!</v>
      </c>
    </row>
    <row r="49" spans="29:30" ht="33.75" customHeight="1">
      <c r="AC49" s="13" t="e">
        <f>AC46+AC34+AC26</f>
        <v>#REF!</v>
      </c>
      <c r="AD49" s="14" t="e">
        <f>AC46+AC34+SUM(AC15:AC25)</f>
        <v>#REF!</v>
      </c>
    </row>
    <row r="50" spans="29:30" ht="37.5" customHeight="1">
      <c r="AD50" s="14">
        <v>230</v>
      </c>
    </row>
    <row r="51" spans="29:30" ht="15" customHeight="1">
      <c r="AD51" s="14">
        <v>4865.55</v>
      </c>
    </row>
    <row r="52" spans="29:30" ht="15" customHeight="1">
      <c r="AD52" s="14">
        <v>100</v>
      </c>
    </row>
    <row r="53" spans="29:30" ht="15" customHeight="1">
      <c r="AD53" s="14">
        <v>206.06</v>
      </c>
    </row>
    <row r="54" spans="29:30" ht="15" customHeight="1">
      <c r="AD54" s="14">
        <v>100</v>
      </c>
    </row>
    <row r="55" spans="29:30" ht="15" customHeight="1">
      <c r="AD55" s="14">
        <v>3250</v>
      </c>
    </row>
    <row r="56" spans="29:30" ht="15" customHeight="1">
      <c r="AD56" s="14">
        <v>5000</v>
      </c>
    </row>
    <row r="57" spans="29:30" ht="15" customHeight="1">
      <c r="AD57" s="14">
        <v>2253</v>
      </c>
    </row>
    <row r="58" spans="29:30" ht="15" customHeight="1">
      <c r="AD58" s="14">
        <v>50773.59</v>
      </c>
    </row>
    <row r="59" spans="29:30" ht="15" customHeight="1">
      <c r="AD59" s="14">
        <v>0.1</v>
      </c>
    </row>
    <row r="60" spans="29:30" ht="15" customHeight="1">
      <c r="AD60" s="14">
        <v>192.79</v>
      </c>
    </row>
    <row r="62" spans="29:30" ht="15" customHeight="1">
      <c r="AD62" s="184">
        <v>11004172.039999999</v>
      </c>
    </row>
    <row r="63" spans="29:30" ht="15" customHeight="1">
      <c r="AD63" s="14" t="e">
        <f>AD62-SUM(AD49:AD60)</f>
        <v>#REF!</v>
      </c>
    </row>
  </sheetData>
  <autoFilter ref="A3:P25" xr:uid="{00000000-0009-0000-0000-000008000000}"/>
  <mergeCells count="2">
    <mergeCell ref="A34:E34"/>
    <mergeCell ref="A46:E46"/>
  </mergeCells>
  <conditionalFormatting sqref="H5:I25 H44:I45">
    <cfRule type="cellIs" dxfId="7" priority="2" operator="equal">
      <formula>"EXPIRADO"</formula>
    </cfRule>
    <cfRule type="cellIs" dxfId="6" priority="3" operator="equal">
      <formula>"NO PRAZO"</formula>
    </cfRule>
    <cfRule type="cellIs" dxfId="5" priority="4" operator="equal">
      <formula>"EM BREVE"</formula>
    </cfRule>
    <cfRule type="cellIs" dxfId="4" priority="5" operator="equal">
      <formula>0</formula>
    </cfRule>
  </conditionalFormatting>
  <conditionalFormatting sqref="J39">
    <cfRule type="cellIs" dxfId="3" priority="6" operator="equal">
      <formula>"EXPIRADO"</formula>
    </cfRule>
    <cfRule type="cellIs" dxfId="2" priority="7" operator="equal">
      <formula>"NO PRAZO"</formula>
    </cfRule>
    <cfRule type="cellIs" dxfId="1" priority="8" operator="equal">
      <formula>"EM BREVE"</formula>
    </cfRule>
    <cfRule type="cellIs" dxfId="0" priority="9" operator="equal">
      <formula>0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D99694"/>
  </sheetPr>
  <dimension ref="A1:XCT8"/>
  <sheetViews>
    <sheetView zoomScale="85" zoomScaleNormal="85" workbookViewId="0">
      <selection activeCell="A3" sqref="A3"/>
    </sheetView>
  </sheetViews>
  <sheetFormatPr baseColWidth="10" defaultColWidth="9.1640625" defaultRowHeight="15"/>
  <cols>
    <col min="1" max="1" width="6.5" style="185" customWidth="1"/>
    <col min="2" max="2" width="55.5" style="7" customWidth="1"/>
    <col min="3" max="3" width="16.33203125" style="8" customWidth="1"/>
    <col min="4" max="4" width="14.5" style="8" hidden="1" customWidth="1"/>
    <col min="5" max="5" width="19.1640625" style="8" customWidth="1"/>
    <col min="6" max="6" width="24.1640625" style="8" customWidth="1"/>
    <col min="7" max="7" width="12.33203125" style="8" customWidth="1"/>
    <col min="8" max="9" width="13.6640625" style="7" hidden="1" customWidth="1"/>
    <col min="10" max="10" width="16.6640625" style="13" customWidth="1"/>
    <col min="11" max="12" width="16.5" style="15" hidden="1" customWidth="1"/>
    <col min="13" max="14" width="16.5" style="7" hidden="1" customWidth="1"/>
    <col min="15" max="15" width="16.5" style="7" customWidth="1"/>
    <col min="16" max="16" width="9.1640625" style="7"/>
    <col min="17" max="17" width="21.5" style="7" customWidth="1"/>
    <col min="18" max="19" width="9.1640625" style="7"/>
    <col min="20" max="20" width="15" style="7" customWidth="1"/>
    <col min="21" max="16322" width="9.1640625" style="7"/>
    <col min="16323" max="16384" width="11.5" customWidth="1"/>
  </cols>
  <sheetData>
    <row r="1" spans="1:20" ht="18">
      <c r="A1" s="16" t="s">
        <v>404</v>
      </c>
      <c r="C1" s="186"/>
      <c r="E1" s="17"/>
      <c r="L1" s="22"/>
      <c r="O1" s="15"/>
    </row>
    <row r="2" spans="1:20" ht="18.75" customHeight="1">
      <c r="A2" s="7" t="s">
        <v>421</v>
      </c>
      <c r="C2" s="186"/>
      <c r="L2" s="24"/>
      <c r="O2" s="15"/>
    </row>
    <row r="3" spans="1:20" ht="27" customHeight="1">
      <c r="A3" s="201" t="s">
        <v>2</v>
      </c>
      <c r="B3" s="201"/>
      <c r="C3" s="1" t="s">
        <v>3</v>
      </c>
      <c r="D3" s="1" t="s">
        <v>402</v>
      </c>
      <c r="E3" s="1" t="s">
        <v>4</v>
      </c>
      <c r="F3" s="1" t="s">
        <v>5</v>
      </c>
      <c r="G3" s="1" t="s">
        <v>10</v>
      </c>
      <c r="H3" s="27">
        <v>45658</v>
      </c>
      <c r="I3" s="27">
        <v>45689</v>
      </c>
      <c r="J3" s="27" t="s">
        <v>17</v>
      </c>
      <c r="K3" s="27"/>
      <c r="L3" s="27"/>
      <c r="M3" s="27"/>
      <c r="N3" s="187"/>
      <c r="O3" s="27" t="s">
        <v>422</v>
      </c>
      <c r="T3" s="15"/>
    </row>
    <row r="4" spans="1:20" s="7" customFormat="1" ht="69" customHeight="1">
      <c r="A4" s="135">
        <v>1</v>
      </c>
      <c r="B4" s="82" t="s">
        <v>102</v>
      </c>
      <c r="C4" s="78" t="s">
        <v>103</v>
      </c>
      <c r="D4" s="68">
        <v>2</v>
      </c>
      <c r="E4" s="43" t="s">
        <v>98</v>
      </c>
      <c r="F4" s="88" t="s">
        <v>423</v>
      </c>
      <c r="G4" s="89" t="s">
        <v>106</v>
      </c>
      <c r="H4" s="6"/>
      <c r="I4" s="6"/>
      <c r="J4" s="183">
        <v>14000</v>
      </c>
      <c r="K4" s="41"/>
      <c r="L4" s="188"/>
      <c r="M4" s="188"/>
      <c r="N4" s="188"/>
      <c r="O4" s="189">
        <v>1000</v>
      </c>
      <c r="T4" s="15"/>
    </row>
    <row r="5" spans="1:20" s="7" customFormat="1" ht="14.25" customHeight="1">
      <c r="A5" s="135">
        <v>2</v>
      </c>
      <c r="B5" s="78" t="s">
        <v>136</v>
      </c>
      <c r="C5" s="82" t="s">
        <v>103</v>
      </c>
      <c r="D5" s="85">
        <v>3</v>
      </c>
      <c r="E5" s="86" t="s">
        <v>137</v>
      </c>
      <c r="F5" s="63" t="s">
        <v>138</v>
      </c>
      <c r="G5" s="60" t="s">
        <v>140</v>
      </c>
      <c r="H5" s="6"/>
      <c r="I5" s="6"/>
      <c r="J5" s="183">
        <v>5164</v>
      </c>
      <c r="K5" s="41"/>
      <c r="L5" s="188"/>
      <c r="M5" s="188"/>
      <c r="N5" s="188"/>
      <c r="O5" s="189">
        <v>1000</v>
      </c>
    </row>
    <row r="6" spans="1:20" s="7" customFormat="1" ht="41.25" customHeight="1">
      <c r="A6" s="135">
        <v>3</v>
      </c>
      <c r="B6" s="78" t="s">
        <v>141</v>
      </c>
      <c r="C6" s="82" t="s">
        <v>103</v>
      </c>
      <c r="D6" s="93">
        <v>2</v>
      </c>
      <c r="E6" s="63" t="s">
        <v>142</v>
      </c>
      <c r="F6" s="63" t="s">
        <v>143</v>
      </c>
      <c r="G6" s="59" t="s">
        <v>145</v>
      </c>
      <c r="H6" s="62"/>
      <c r="I6" s="62"/>
      <c r="J6" s="183">
        <v>916407</v>
      </c>
      <c r="K6" s="41" t="e">
        <f>SUM(#REF!)*2</f>
        <v>#REF!</v>
      </c>
      <c r="L6" s="188" t="e">
        <f>#REF!-K6</f>
        <v>#REF!</v>
      </c>
      <c r="M6" s="188"/>
      <c r="N6" s="188" t="e">
        <f>(SUM(#REF!)*2)-#REF!</f>
        <v>#REF!</v>
      </c>
      <c r="O6" s="189">
        <v>1000</v>
      </c>
    </row>
    <row r="7" spans="1:20" s="7" customFormat="1" ht="13.5" customHeight="1">
      <c r="A7" s="202" t="s">
        <v>401</v>
      </c>
      <c r="B7" s="202"/>
      <c r="C7" s="202"/>
      <c r="D7" s="202"/>
      <c r="E7" s="202"/>
      <c r="F7" s="202"/>
      <c r="G7" s="202"/>
      <c r="H7" s="158">
        <f t="shared" ref="H7:N7" si="0">SUM(H4:H6)</f>
        <v>0</v>
      </c>
      <c r="I7" s="158">
        <f t="shared" si="0"/>
        <v>0</v>
      </c>
      <c r="J7" s="165">
        <f t="shared" si="0"/>
        <v>935571</v>
      </c>
      <c r="K7" s="158" t="e">
        <f t="shared" si="0"/>
        <v>#REF!</v>
      </c>
      <c r="L7" s="158" t="e">
        <f t="shared" si="0"/>
        <v>#REF!</v>
      </c>
      <c r="M7" s="158">
        <f t="shared" si="0"/>
        <v>0</v>
      </c>
      <c r="N7" s="158" t="e">
        <f t="shared" si="0"/>
        <v>#REF!</v>
      </c>
      <c r="O7" s="158"/>
      <c r="Q7" s="190"/>
    </row>
    <row r="8" spans="1:20" s="7" customFormat="1">
      <c r="A8" s="8"/>
      <c r="B8" s="150"/>
      <c r="C8" s="151"/>
      <c r="D8" s="151"/>
      <c r="E8" s="150"/>
      <c r="F8" s="150"/>
      <c r="G8" s="150"/>
      <c r="J8" s="13"/>
      <c r="K8" s="15"/>
      <c r="L8" s="15"/>
    </row>
  </sheetData>
  <autoFilter ref="B3:G6" xr:uid="{00000000-0009-0000-0000-000009000000}"/>
  <mergeCells count="2">
    <mergeCell ref="A3:B3"/>
    <mergeCell ref="A7:G7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8</vt:i4>
      </vt:variant>
    </vt:vector>
  </HeadingPairs>
  <TitlesOfParts>
    <vt:vector size="12" baseType="lpstr">
      <vt:lpstr>I. Situação Atual</vt:lpstr>
      <vt:lpstr>Prog 03.06</vt:lpstr>
      <vt:lpstr>Prog 07.04</vt:lpstr>
      <vt:lpstr>Prog-17.03 PRC</vt:lpstr>
      <vt:lpstr>'Prog 03.06'!_xlcn.WorksheetConnection_II.SituaçãoAtualA2AA90</vt:lpstr>
      <vt:lpstr>'Prog 07.04'!_xlcn.WorksheetConnection_II.SituaçãoAtualA2AA90</vt:lpstr>
      <vt:lpstr>'Prog-17.03 PRC'!_xlcn.WorksheetConnection_II.SituaçãoAtualA2AA90</vt:lpstr>
      <vt:lpstr>_xlcn.WorksheetConnection_II.SituaçãoAtualA2AA90</vt:lpstr>
      <vt:lpstr>'Prog 03.06'!_xlcn.WorksheetConnection_II.SituaçãoAtualA2AA93</vt:lpstr>
      <vt:lpstr>'Prog 07.04'!_xlcn.WorksheetConnection_II.SituaçãoAtualA2AA93</vt:lpstr>
      <vt:lpstr>'Prog-17.03 PRC'!_xlcn.WorksheetConnection_II.SituaçãoAtualA2AA93</vt:lpstr>
      <vt:lpstr>_xlcn.WorksheetConnection_II.SituaçãoAtualA2AA93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02629381625</dc:creator>
  <cp:keywords/>
  <dc:description/>
  <cp:lastModifiedBy>Microsoft Office User</cp:lastModifiedBy>
  <cp:revision>964</cp:revision>
  <dcterms:created xsi:type="dcterms:W3CDTF">2016-01-04T13:55:05Z</dcterms:created>
  <dcterms:modified xsi:type="dcterms:W3CDTF">2025-11-03T14:32:26Z</dcterms:modified>
  <cp:category/>
  <cp:contentStatus/>
</cp:coreProperties>
</file>